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/>
  <xr:revisionPtr revIDLastSave="0" documentId="8_{094343D5-A88B-4C0B-96B9-53FEC51B1C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e_Clientes" sheetId="1" r:id="rId1"/>
    <sheet name="Base_Planos" sheetId="2" r:id="rId2"/>
    <sheet name="Base_Interacoes" sheetId="3" r:id="rId3"/>
    <sheet name="Base_Cancelamentos" sheetId="4" r:id="rId4"/>
    <sheet name="Consultas_PROCV_PROCX" sheetId="5" r:id="rId5"/>
    <sheet name="Resumo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Q817" i="1"/>
  <c r="S817" i="1" s="1"/>
  <c r="Q818" i="1"/>
  <c r="Q819" i="1"/>
  <c r="S819" i="1" s="1"/>
  <c r="Q820" i="1"/>
  <c r="S820" i="1" s="1"/>
  <c r="Q821" i="1"/>
  <c r="S821" i="1" s="1"/>
  <c r="Q822" i="1"/>
  <c r="S822" i="1" s="1"/>
  <c r="Q823" i="1"/>
  <c r="S823" i="1" s="1"/>
  <c r="Q824" i="1"/>
  <c r="S824" i="1" s="1"/>
  <c r="Q825" i="1"/>
  <c r="S825" i="1" s="1"/>
  <c r="Q826" i="1"/>
  <c r="S826" i="1" s="1"/>
  <c r="Q827" i="1"/>
  <c r="Q828" i="1"/>
  <c r="S828" i="1" s="1"/>
  <c r="Q829" i="1"/>
  <c r="Q830" i="1"/>
  <c r="Q831" i="1"/>
  <c r="S831" i="1" s="1"/>
  <c r="Q832" i="1"/>
  <c r="S832" i="1" s="1"/>
  <c r="Q833" i="1"/>
  <c r="S833" i="1" s="1"/>
  <c r="Q834" i="1"/>
  <c r="S834" i="1" s="1"/>
  <c r="Q835" i="1"/>
  <c r="S835" i="1" s="1"/>
  <c r="Q836" i="1"/>
  <c r="S836" i="1" s="1"/>
  <c r="Q837" i="1"/>
  <c r="Q838" i="1"/>
  <c r="Q839" i="1"/>
  <c r="Q840" i="1"/>
  <c r="S840" i="1" s="1"/>
  <c r="Q841" i="1"/>
  <c r="Q842" i="1"/>
  <c r="S842" i="1" s="1"/>
  <c r="Q843" i="1"/>
  <c r="Q844" i="1"/>
  <c r="S844" i="1" s="1"/>
  <c r="Q845" i="1"/>
  <c r="S845" i="1" s="1"/>
  <c r="Q846" i="1"/>
  <c r="Q847" i="1"/>
  <c r="S847" i="1" s="1"/>
  <c r="Q848" i="1"/>
  <c r="S848" i="1" s="1"/>
  <c r="Q849" i="1"/>
  <c r="S849" i="1" s="1"/>
  <c r="Q850" i="1"/>
  <c r="S850" i="1" s="1"/>
  <c r="Q851" i="1"/>
  <c r="S851" i="1" s="1"/>
  <c r="Q852" i="1"/>
  <c r="S852" i="1" s="1"/>
  <c r="Q853" i="1"/>
  <c r="S853" i="1" s="1"/>
  <c r="Q854" i="1"/>
  <c r="S854" i="1" s="1"/>
  <c r="Q855" i="1"/>
  <c r="S855" i="1" s="1"/>
  <c r="Q856" i="1"/>
  <c r="S856" i="1" s="1"/>
  <c r="Q857" i="1"/>
  <c r="S857" i="1" s="1"/>
  <c r="Q858" i="1"/>
  <c r="Q859" i="1"/>
  <c r="Q860" i="1"/>
  <c r="S860" i="1" s="1"/>
  <c r="Q861" i="1"/>
  <c r="S861" i="1" s="1"/>
  <c r="Q862" i="1"/>
  <c r="S862" i="1" s="1"/>
  <c r="Q863" i="1"/>
  <c r="S863" i="1" s="1"/>
  <c r="Q864" i="1"/>
  <c r="Q865" i="1"/>
  <c r="S865" i="1" s="1"/>
  <c r="Q866" i="1"/>
  <c r="S866" i="1" s="1"/>
  <c r="Q867" i="1"/>
  <c r="S867" i="1" s="1"/>
  <c r="Q868" i="1"/>
  <c r="S868" i="1" s="1"/>
  <c r="Q869" i="1"/>
  <c r="Q870" i="1"/>
  <c r="Q871" i="1"/>
  <c r="S871" i="1" s="1"/>
  <c r="Q872" i="1"/>
  <c r="S872" i="1" s="1"/>
  <c r="Q873" i="1"/>
  <c r="Q874" i="1"/>
  <c r="Q875" i="1"/>
  <c r="S875" i="1" s="1"/>
  <c r="Q876" i="1"/>
  <c r="Q877" i="1"/>
  <c r="S877" i="1" s="1"/>
  <c r="Q878" i="1"/>
  <c r="S878" i="1" s="1"/>
  <c r="Q879" i="1"/>
  <c r="Q880" i="1"/>
  <c r="S880" i="1" s="1"/>
  <c r="Q881" i="1"/>
  <c r="Q882" i="1"/>
  <c r="Q883" i="1"/>
  <c r="S883" i="1" s="1"/>
  <c r="Q884" i="1"/>
  <c r="S884" i="1" s="1"/>
  <c r="Q885" i="1"/>
  <c r="S885" i="1" s="1"/>
  <c r="Q886" i="1"/>
  <c r="Q887" i="1"/>
  <c r="Q888" i="1"/>
  <c r="S888" i="1" s="1"/>
  <c r="Q889" i="1"/>
  <c r="S889" i="1" s="1"/>
  <c r="Q890" i="1"/>
  <c r="S890" i="1" s="1"/>
  <c r="Q891" i="1"/>
  <c r="S891" i="1" s="1"/>
  <c r="Q892" i="1"/>
  <c r="S892" i="1" s="1"/>
  <c r="Q893" i="1"/>
  <c r="Q894" i="1"/>
  <c r="Q895" i="1"/>
  <c r="S895" i="1" s="1"/>
  <c r="Q896" i="1"/>
  <c r="S896" i="1" s="1"/>
  <c r="Q897" i="1"/>
  <c r="S897" i="1" s="1"/>
  <c r="Q898" i="1"/>
  <c r="Q899" i="1"/>
  <c r="S899" i="1" s="1"/>
  <c r="Q900" i="1"/>
  <c r="S900" i="1" s="1"/>
  <c r="Q901" i="1"/>
  <c r="S901" i="1" s="1"/>
  <c r="Q902" i="1"/>
  <c r="Q903" i="1"/>
  <c r="S903" i="1" s="1"/>
  <c r="Q904" i="1"/>
  <c r="S904" i="1" s="1"/>
  <c r="Q905" i="1"/>
  <c r="Q906" i="1"/>
  <c r="Q907" i="1"/>
  <c r="S907" i="1" s="1"/>
  <c r="Q908" i="1"/>
  <c r="Q909" i="1"/>
  <c r="S909" i="1" s="1"/>
  <c r="Q910" i="1"/>
  <c r="Q911" i="1"/>
  <c r="S911" i="1" s="1"/>
  <c r="Q912" i="1"/>
  <c r="S912" i="1" s="1"/>
  <c r="Q913" i="1"/>
  <c r="Q914" i="1"/>
  <c r="Q915" i="1"/>
  <c r="S915" i="1" s="1"/>
  <c r="Q916" i="1"/>
  <c r="S916" i="1" s="1"/>
  <c r="Q917" i="1"/>
  <c r="Q918" i="1"/>
  <c r="S918" i="1" s="1"/>
  <c r="Q919" i="1"/>
  <c r="S919" i="1" s="1"/>
  <c r="Q920" i="1"/>
  <c r="S920" i="1" s="1"/>
  <c r="Q921" i="1"/>
  <c r="Q922" i="1"/>
  <c r="S922" i="1" s="1"/>
  <c r="Q923" i="1"/>
  <c r="S923" i="1" s="1"/>
  <c r="Q924" i="1"/>
  <c r="S924" i="1" s="1"/>
  <c r="Q925" i="1"/>
  <c r="S925" i="1" s="1"/>
  <c r="Q926" i="1"/>
  <c r="S926" i="1" s="1"/>
  <c r="Q927" i="1"/>
  <c r="S927" i="1" s="1"/>
  <c r="Q928" i="1"/>
  <c r="S928" i="1" s="1"/>
  <c r="Q929" i="1"/>
  <c r="S929" i="1" s="1"/>
  <c r="Q930" i="1"/>
  <c r="S930" i="1" s="1"/>
  <c r="Q931" i="1"/>
  <c r="Q932" i="1"/>
  <c r="Q933" i="1"/>
  <c r="Q934" i="1"/>
  <c r="S934" i="1" s="1"/>
  <c r="Q935" i="1"/>
  <c r="S935" i="1" s="1"/>
  <c r="Q936" i="1"/>
  <c r="S936" i="1" s="1"/>
  <c r="Q937" i="1"/>
  <c r="Q938" i="1"/>
  <c r="S938" i="1" s="1"/>
  <c r="Q939" i="1"/>
  <c r="S939" i="1" s="1"/>
  <c r="Q940" i="1"/>
  <c r="S940" i="1" s="1"/>
  <c r="Q941" i="1"/>
  <c r="S941" i="1" s="1"/>
  <c r="Q942" i="1"/>
  <c r="S942" i="1" s="1"/>
  <c r="Q943" i="1"/>
  <c r="Q944" i="1"/>
  <c r="Q945" i="1"/>
  <c r="S945" i="1" s="1"/>
  <c r="Q946" i="1"/>
  <c r="S946" i="1" s="1"/>
  <c r="Q947" i="1"/>
  <c r="S947" i="1" s="1"/>
  <c r="Q948" i="1"/>
  <c r="S948" i="1" s="1"/>
  <c r="Q949" i="1"/>
  <c r="Q950" i="1"/>
  <c r="S950" i="1" s="1"/>
  <c r="Q951" i="1"/>
  <c r="S951" i="1" s="1"/>
  <c r="Q952" i="1"/>
  <c r="S952" i="1" s="1"/>
  <c r="Q953" i="1"/>
  <c r="S953" i="1" s="1"/>
  <c r="Q954" i="1"/>
  <c r="Q955" i="1"/>
  <c r="S955" i="1" s="1"/>
  <c r="Q956" i="1"/>
  <c r="Q957" i="1"/>
  <c r="S957" i="1" s="1"/>
  <c r="Q958" i="1"/>
  <c r="S958" i="1" s="1"/>
  <c r="Q959" i="1"/>
  <c r="Q960" i="1"/>
  <c r="Q961" i="1"/>
  <c r="S961" i="1" s="1"/>
  <c r="Q962" i="1"/>
  <c r="Q963" i="1"/>
  <c r="Q964" i="1"/>
  <c r="S964" i="1" s="1"/>
  <c r="Q965" i="1"/>
  <c r="S965" i="1" s="1"/>
  <c r="Q966" i="1"/>
  <c r="S966" i="1" s="1"/>
  <c r="Q967" i="1"/>
  <c r="S967" i="1" s="1"/>
  <c r="Q968" i="1"/>
  <c r="S968" i="1" s="1"/>
  <c r="Q969" i="1"/>
  <c r="S969" i="1" s="1"/>
  <c r="Q970" i="1"/>
  <c r="S970" i="1" s="1"/>
  <c r="Q971" i="1"/>
  <c r="Q972" i="1"/>
  <c r="S972" i="1" s="1"/>
  <c r="Q973" i="1"/>
  <c r="Q974" i="1"/>
  <c r="S974" i="1" s="1"/>
  <c r="Q975" i="1"/>
  <c r="Q976" i="1"/>
  <c r="Q977" i="1"/>
  <c r="Q978" i="1"/>
  <c r="S978" i="1" s="1"/>
  <c r="Q979" i="1"/>
  <c r="Q980" i="1"/>
  <c r="Q981" i="1"/>
  <c r="Q982" i="1"/>
  <c r="Q983" i="1"/>
  <c r="S983" i="1" s="1"/>
  <c r="Q984" i="1"/>
  <c r="Q985" i="1"/>
  <c r="Q986" i="1"/>
  <c r="S986" i="1" s="1"/>
  <c r="Q987" i="1"/>
  <c r="Q988" i="1"/>
  <c r="S988" i="1" s="1"/>
  <c r="Q989" i="1"/>
  <c r="S989" i="1" s="1"/>
  <c r="Q990" i="1"/>
  <c r="S990" i="1" s="1"/>
  <c r="Q991" i="1"/>
  <c r="S991" i="1" s="1"/>
  <c r="Q992" i="1"/>
  <c r="Q993" i="1"/>
  <c r="S993" i="1" s="1"/>
  <c r="Q994" i="1"/>
  <c r="S994" i="1" s="1"/>
  <c r="Q995" i="1"/>
  <c r="S995" i="1" s="1"/>
  <c r="Q996" i="1"/>
  <c r="S996" i="1" s="1"/>
  <c r="Q997" i="1"/>
  <c r="S997" i="1" s="1"/>
  <c r="Q998" i="1"/>
  <c r="Q999" i="1"/>
  <c r="S999" i="1" s="1"/>
  <c r="Q1000" i="1"/>
  <c r="S1000" i="1" s="1"/>
  <c r="Q1001" i="1"/>
  <c r="S1001" i="1" s="1"/>
  <c r="Q700" i="1"/>
  <c r="Q701" i="1"/>
  <c r="Q702" i="1"/>
  <c r="S702" i="1" s="1"/>
  <c r="Q703" i="1"/>
  <c r="S703" i="1" s="1"/>
  <c r="Q704" i="1"/>
  <c r="Q705" i="1"/>
  <c r="S705" i="1" s="1"/>
  <c r="Q706" i="1"/>
  <c r="Q707" i="1"/>
  <c r="S707" i="1" s="1"/>
  <c r="Q708" i="1"/>
  <c r="S708" i="1" s="1"/>
  <c r="Q709" i="1"/>
  <c r="Q710" i="1"/>
  <c r="S710" i="1" s="1"/>
  <c r="Q711" i="1"/>
  <c r="S711" i="1" s="1"/>
  <c r="Q712" i="1"/>
  <c r="S712" i="1" s="1"/>
  <c r="Q713" i="1"/>
  <c r="S713" i="1" s="1"/>
  <c r="Q714" i="1"/>
  <c r="Q715" i="1"/>
  <c r="S715" i="1" s="1"/>
  <c r="Q716" i="1"/>
  <c r="S716" i="1" s="1"/>
  <c r="Q717" i="1"/>
  <c r="S717" i="1" s="1"/>
  <c r="Q718" i="1"/>
  <c r="S718" i="1" s="1"/>
  <c r="Q719" i="1"/>
  <c r="S719" i="1" s="1"/>
  <c r="Q720" i="1"/>
  <c r="S720" i="1" s="1"/>
  <c r="Q721" i="1"/>
  <c r="S721" i="1" s="1"/>
  <c r="Q722" i="1"/>
  <c r="S722" i="1" s="1"/>
  <c r="Q723" i="1"/>
  <c r="S723" i="1" s="1"/>
  <c r="Q724" i="1"/>
  <c r="S724" i="1" s="1"/>
  <c r="Q725" i="1"/>
  <c r="S725" i="1" s="1"/>
  <c r="Q726" i="1"/>
  <c r="Q727" i="1"/>
  <c r="S727" i="1" s="1"/>
  <c r="Q728" i="1"/>
  <c r="S728" i="1" s="1"/>
  <c r="Q729" i="1"/>
  <c r="Q730" i="1"/>
  <c r="Q731" i="1"/>
  <c r="S731" i="1" s="1"/>
  <c r="Q732" i="1"/>
  <c r="S732" i="1" s="1"/>
  <c r="Q733" i="1"/>
  <c r="S733" i="1" s="1"/>
  <c r="Q734" i="1"/>
  <c r="Q735" i="1"/>
  <c r="Q736" i="1"/>
  <c r="S736" i="1" s="1"/>
  <c r="Q737" i="1"/>
  <c r="S737" i="1" s="1"/>
  <c r="Q738" i="1"/>
  <c r="S738" i="1" s="1"/>
  <c r="Q739" i="1"/>
  <c r="Q740" i="1"/>
  <c r="S740" i="1" s="1"/>
  <c r="Q741" i="1"/>
  <c r="Q742" i="1"/>
  <c r="S742" i="1" s="1"/>
  <c r="Q743" i="1"/>
  <c r="S743" i="1" s="1"/>
  <c r="Q744" i="1"/>
  <c r="Q745" i="1"/>
  <c r="S745" i="1" s="1"/>
  <c r="Q746" i="1"/>
  <c r="S746" i="1" s="1"/>
  <c r="Q747" i="1"/>
  <c r="S747" i="1" s="1"/>
  <c r="Q748" i="1"/>
  <c r="S748" i="1" s="1"/>
  <c r="Q749" i="1"/>
  <c r="S749" i="1" s="1"/>
  <c r="Q750" i="1"/>
  <c r="S750" i="1" s="1"/>
  <c r="Q751" i="1"/>
  <c r="S751" i="1" s="1"/>
  <c r="Q752" i="1"/>
  <c r="S752" i="1" s="1"/>
  <c r="Q753" i="1"/>
  <c r="S753" i="1" s="1"/>
  <c r="Q754" i="1"/>
  <c r="S754" i="1" s="1"/>
  <c r="Q755" i="1"/>
  <c r="Q756" i="1"/>
  <c r="Q757" i="1"/>
  <c r="S757" i="1" s="1"/>
  <c r="Q758" i="1"/>
  <c r="S758" i="1" s="1"/>
  <c r="Q759" i="1"/>
  <c r="S759" i="1" s="1"/>
  <c r="Q760" i="1"/>
  <c r="S760" i="1" s="1"/>
  <c r="Q761" i="1"/>
  <c r="S761" i="1" s="1"/>
  <c r="Q762" i="1"/>
  <c r="S762" i="1" s="1"/>
  <c r="Q763" i="1"/>
  <c r="S763" i="1" s="1"/>
  <c r="Q764" i="1"/>
  <c r="S764" i="1" s="1"/>
  <c r="Q765" i="1"/>
  <c r="S765" i="1" s="1"/>
  <c r="Q766" i="1"/>
  <c r="S766" i="1" s="1"/>
  <c r="Q767" i="1"/>
  <c r="S767" i="1" s="1"/>
  <c r="Q768" i="1"/>
  <c r="S768" i="1" s="1"/>
  <c r="Q769" i="1"/>
  <c r="Q770" i="1"/>
  <c r="S770" i="1" s="1"/>
  <c r="Q771" i="1"/>
  <c r="S771" i="1" s="1"/>
  <c r="Q772" i="1"/>
  <c r="Q773" i="1"/>
  <c r="S773" i="1" s="1"/>
  <c r="Q774" i="1"/>
  <c r="Q775" i="1"/>
  <c r="Q776" i="1"/>
  <c r="S776" i="1" s="1"/>
  <c r="Q777" i="1"/>
  <c r="S777" i="1" s="1"/>
  <c r="Q778" i="1"/>
  <c r="S778" i="1" s="1"/>
  <c r="Q779" i="1"/>
  <c r="S779" i="1" s="1"/>
  <c r="Q780" i="1"/>
  <c r="S780" i="1" s="1"/>
  <c r="Q781" i="1"/>
  <c r="S781" i="1" s="1"/>
  <c r="Q782" i="1"/>
  <c r="S782" i="1" s="1"/>
  <c r="Q783" i="1"/>
  <c r="S783" i="1" s="1"/>
  <c r="Q784" i="1"/>
  <c r="S784" i="1" s="1"/>
  <c r="Q785" i="1"/>
  <c r="S785" i="1" s="1"/>
  <c r="Q786" i="1"/>
  <c r="S786" i="1" s="1"/>
  <c r="Q787" i="1"/>
  <c r="S787" i="1" s="1"/>
  <c r="Q788" i="1"/>
  <c r="Q789" i="1"/>
  <c r="S789" i="1" s="1"/>
  <c r="Q790" i="1"/>
  <c r="S790" i="1" s="1"/>
  <c r="Q791" i="1"/>
  <c r="S791" i="1" s="1"/>
  <c r="Q792" i="1"/>
  <c r="S792" i="1" s="1"/>
  <c r="Q793" i="1"/>
  <c r="S793" i="1" s="1"/>
  <c r="Q794" i="1"/>
  <c r="S794" i="1" s="1"/>
  <c r="Q795" i="1"/>
  <c r="Q796" i="1"/>
  <c r="Q797" i="1"/>
  <c r="S797" i="1" s="1"/>
  <c r="Q798" i="1"/>
  <c r="S798" i="1" s="1"/>
  <c r="Q799" i="1"/>
  <c r="S799" i="1" s="1"/>
  <c r="Q800" i="1"/>
  <c r="S800" i="1" s="1"/>
  <c r="Q801" i="1"/>
  <c r="Q802" i="1"/>
  <c r="Q803" i="1"/>
  <c r="Q804" i="1"/>
  <c r="S804" i="1" s="1"/>
  <c r="Q805" i="1"/>
  <c r="Q806" i="1"/>
  <c r="Q807" i="1"/>
  <c r="S807" i="1" s="1"/>
  <c r="Q808" i="1"/>
  <c r="Q809" i="1"/>
  <c r="S809" i="1" s="1"/>
  <c r="Q810" i="1"/>
  <c r="S810" i="1" s="1"/>
  <c r="Q811" i="1"/>
  <c r="S811" i="1" s="1"/>
  <c r="Q812" i="1"/>
  <c r="S812" i="1" s="1"/>
  <c r="Q813" i="1"/>
  <c r="Q814" i="1"/>
  <c r="S814" i="1" s="1"/>
  <c r="Q815" i="1"/>
  <c r="S815" i="1" s="1"/>
  <c r="Q816" i="1"/>
  <c r="S816" i="1" s="1"/>
  <c r="Q636" i="1"/>
  <c r="S636" i="1" s="1"/>
  <c r="Q637" i="1"/>
  <c r="Q638" i="1"/>
  <c r="S638" i="1" s="1"/>
  <c r="Q639" i="1"/>
  <c r="S639" i="1" s="1"/>
  <c r="Q640" i="1"/>
  <c r="S640" i="1" s="1"/>
  <c r="Q641" i="1"/>
  <c r="S641" i="1" s="1"/>
  <c r="Q642" i="1"/>
  <c r="S642" i="1" s="1"/>
  <c r="Q643" i="1"/>
  <c r="S643" i="1" s="1"/>
  <c r="Q644" i="1"/>
  <c r="Q645" i="1"/>
  <c r="Q646" i="1"/>
  <c r="S646" i="1" s="1"/>
  <c r="Q647" i="1"/>
  <c r="Q648" i="1"/>
  <c r="S648" i="1" s="1"/>
  <c r="Q649" i="1"/>
  <c r="S649" i="1" s="1"/>
  <c r="Q650" i="1"/>
  <c r="Q651" i="1"/>
  <c r="S651" i="1" s="1"/>
  <c r="Q652" i="1"/>
  <c r="S652" i="1" s="1"/>
  <c r="Q653" i="1"/>
  <c r="Q654" i="1"/>
  <c r="S654" i="1" s="1"/>
  <c r="Q655" i="1"/>
  <c r="Q656" i="1"/>
  <c r="S656" i="1" s="1"/>
  <c r="Q657" i="1"/>
  <c r="S657" i="1" s="1"/>
  <c r="Q658" i="1"/>
  <c r="S658" i="1" s="1"/>
  <c r="Q659" i="1"/>
  <c r="S659" i="1" s="1"/>
  <c r="Q660" i="1"/>
  <c r="S660" i="1" s="1"/>
  <c r="Q661" i="1"/>
  <c r="S661" i="1" s="1"/>
  <c r="Q662" i="1"/>
  <c r="S662" i="1" s="1"/>
  <c r="Q663" i="1"/>
  <c r="S663" i="1" s="1"/>
  <c r="Q664" i="1"/>
  <c r="S664" i="1" s="1"/>
  <c r="Q665" i="1"/>
  <c r="Q666" i="1"/>
  <c r="S666" i="1" s="1"/>
  <c r="Q667" i="1"/>
  <c r="S667" i="1" s="1"/>
  <c r="Q668" i="1"/>
  <c r="S668" i="1" s="1"/>
  <c r="Q669" i="1"/>
  <c r="Q670" i="1"/>
  <c r="S670" i="1" s="1"/>
  <c r="Q671" i="1"/>
  <c r="S671" i="1" s="1"/>
  <c r="Q672" i="1"/>
  <c r="S672" i="1" s="1"/>
  <c r="Q673" i="1"/>
  <c r="S673" i="1" s="1"/>
  <c r="Q674" i="1"/>
  <c r="Q675" i="1"/>
  <c r="S675" i="1" s="1"/>
  <c r="Q676" i="1"/>
  <c r="S676" i="1" s="1"/>
  <c r="Q677" i="1"/>
  <c r="S677" i="1" s="1"/>
  <c r="Q678" i="1"/>
  <c r="Q679" i="1"/>
  <c r="S679" i="1" s="1"/>
  <c r="Q680" i="1"/>
  <c r="S680" i="1" s="1"/>
  <c r="Q681" i="1"/>
  <c r="Q682" i="1"/>
  <c r="Q683" i="1"/>
  <c r="S683" i="1" s="1"/>
  <c r="Q684" i="1"/>
  <c r="Q685" i="1"/>
  <c r="Q686" i="1"/>
  <c r="S686" i="1" s="1"/>
  <c r="Q687" i="1"/>
  <c r="S687" i="1" s="1"/>
  <c r="Q688" i="1"/>
  <c r="S688" i="1" s="1"/>
  <c r="Q689" i="1"/>
  <c r="S689" i="1" s="1"/>
  <c r="Q690" i="1"/>
  <c r="S690" i="1" s="1"/>
  <c r="Q691" i="1"/>
  <c r="S691" i="1" s="1"/>
  <c r="Q692" i="1"/>
  <c r="Q693" i="1"/>
  <c r="S693" i="1" s="1"/>
  <c r="Q694" i="1"/>
  <c r="Q695" i="1"/>
  <c r="S695" i="1" s="1"/>
  <c r="Q696" i="1"/>
  <c r="S696" i="1" s="1"/>
  <c r="Q697" i="1"/>
  <c r="Q698" i="1"/>
  <c r="S698" i="1" s="1"/>
  <c r="Q699" i="1"/>
  <c r="Q568" i="1"/>
  <c r="Q569" i="1"/>
  <c r="Q570" i="1"/>
  <c r="S570" i="1" s="1"/>
  <c r="Q571" i="1"/>
  <c r="S571" i="1" s="1"/>
  <c r="Q572" i="1"/>
  <c r="Q573" i="1"/>
  <c r="S573" i="1" s="1"/>
  <c r="Q574" i="1"/>
  <c r="S574" i="1" s="1"/>
  <c r="Q575" i="1"/>
  <c r="S575" i="1" s="1"/>
  <c r="Q576" i="1"/>
  <c r="Q577" i="1"/>
  <c r="Q578" i="1"/>
  <c r="S578" i="1" s="1"/>
  <c r="Q579" i="1"/>
  <c r="S579" i="1" s="1"/>
  <c r="Q580" i="1"/>
  <c r="S580" i="1" s="1"/>
  <c r="Q581" i="1"/>
  <c r="S581" i="1" s="1"/>
  <c r="Q582" i="1"/>
  <c r="S582" i="1" s="1"/>
  <c r="Q583" i="1"/>
  <c r="Q584" i="1"/>
  <c r="S584" i="1" s="1"/>
  <c r="Q585" i="1"/>
  <c r="S585" i="1" s="1"/>
  <c r="Q586" i="1"/>
  <c r="S586" i="1" s="1"/>
  <c r="Q587" i="1"/>
  <c r="Q588" i="1"/>
  <c r="S588" i="1" s="1"/>
  <c r="Q589" i="1"/>
  <c r="Q590" i="1"/>
  <c r="S590" i="1" s="1"/>
  <c r="Q591" i="1"/>
  <c r="S591" i="1" s="1"/>
  <c r="Q592" i="1"/>
  <c r="Q593" i="1"/>
  <c r="Q594" i="1"/>
  <c r="S594" i="1" s="1"/>
  <c r="Q595" i="1"/>
  <c r="S595" i="1" s="1"/>
  <c r="Q596" i="1"/>
  <c r="S596" i="1" s="1"/>
  <c r="Q597" i="1"/>
  <c r="S597" i="1" s="1"/>
  <c r="Q598" i="1"/>
  <c r="S598" i="1" s="1"/>
  <c r="Q599" i="1"/>
  <c r="S599" i="1" s="1"/>
  <c r="Q600" i="1"/>
  <c r="Q601" i="1"/>
  <c r="S601" i="1" s="1"/>
  <c r="Q602" i="1"/>
  <c r="S602" i="1" s="1"/>
  <c r="Q603" i="1"/>
  <c r="S603" i="1" s="1"/>
  <c r="Q604" i="1"/>
  <c r="Q605" i="1"/>
  <c r="S605" i="1" s="1"/>
  <c r="Q606" i="1"/>
  <c r="S606" i="1" s="1"/>
  <c r="Q607" i="1"/>
  <c r="Q608" i="1"/>
  <c r="S608" i="1" s="1"/>
  <c r="Q609" i="1"/>
  <c r="S609" i="1" s="1"/>
  <c r="Q610" i="1"/>
  <c r="S610" i="1" s="1"/>
  <c r="Q611" i="1"/>
  <c r="S611" i="1" s="1"/>
  <c r="Q612" i="1"/>
  <c r="S612" i="1" s="1"/>
  <c r="Q613" i="1"/>
  <c r="S613" i="1" s="1"/>
  <c r="Q614" i="1"/>
  <c r="S614" i="1" s="1"/>
  <c r="Q615" i="1"/>
  <c r="Q616" i="1"/>
  <c r="S616" i="1" s="1"/>
  <c r="Q617" i="1"/>
  <c r="S617" i="1" s="1"/>
  <c r="Q618" i="1"/>
  <c r="Q619" i="1"/>
  <c r="S619" i="1" s="1"/>
  <c r="Q620" i="1"/>
  <c r="S620" i="1" s="1"/>
  <c r="Q621" i="1"/>
  <c r="S621" i="1" s="1"/>
  <c r="Q622" i="1"/>
  <c r="S622" i="1" s="1"/>
  <c r="Q623" i="1"/>
  <c r="S623" i="1" s="1"/>
  <c r="Q624" i="1"/>
  <c r="S624" i="1" s="1"/>
  <c r="Q625" i="1"/>
  <c r="S625" i="1" s="1"/>
  <c r="Q626" i="1"/>
  <c r="Q627" i="1"/>
  <c r="S627" i="1" s="1"/>
  <c r="Q628" i="1"/>
  <c r="S628" i="1" s="1"/>
  <c r="Q629" i="1"/>
  <c r="S629" i="1" s="1"/>
  <c r="Q630" i="1"/>
  <c r="S630" i="1" s="1"/>
  <c r="Q631" i="1"/>
  <c r="S631" i="1" s="1"/>
  <c r="Q632" i="1"/>
  <c r="S632" i="1" s="1"/>
  <c r="Q633" i="1"/>
  <c r="S633" i="1" s="1"/>
  <c r="Q634" i="1"/>
  <c r="S634" i="1" s="1"/>
  <c r="Q635" i="1"/>
  <c r="Q503" i="1"/>
  <c r="Q504" i="1"/>
  <c r="Q505" i="1"/>
  <c r="Q506" i="1"/>
  <c r="S506" i="1" s="1"/>
  <c r="Q507" i="1"/>
  <c r="Q508" i="1"/>
  <c r="S508" i="1" s="1"/>
  <c r="Q509" i="1"/>
  <c r="Q510" i="1"/>
  <c r="S510" i="1" s="1"/>
  <c r="Q511" i="1"/>
  <c r="S511" i="1" s="1"/>
  <c r="Q512" i="1"/>
  <c r="S512" i="1" s="1"/>
  <c r="Q513" i="1"/>
  <c r="Q514" i="1"/>
  <c r="S514" i="1" s="1"/>
  <c r="Q515" i="1"/>
  <c r="S515" i="1" s="1"/>
  <c r="Q516" i="1"/>
  <c r="S516" i="1" s="1"/>
  <c r="Q517" i="1"/>
  <c r="S517" i="1" s="1"/>
  <c r="Q518" i="1"/>
  <c r="S518" i="1" s="1"/>
  <c r="Q519" i="1"/>
  <c r="S519" i="1" s="1"/>
  <c r="Q520" i="1"/>
  <c r="S520" i="1" s="1"/>
  <c r="Q521" i="1"/>
  <c r="S521" i="1" s="1"/>
  <c r="Q522" i="1"/>
  <c r="S522" i="1" s="1"/>
  <c r="Q523" i="1"/>
  <c r="S523" i="1" s="1"/>
  <c r="Q524" i="1"/>
  <c r="S524" i="1" s="1"/>
  <c r="Q525" i="1"/>
  <c r="Q526" i="1"/>
  <c r="S526" i="1" s="1"/>
  <c r="Q527" i="1"/>
  <c r="S527" i="1" s="1"/>
  <c r="Q528" i="1"/>
  <c r="S528" i="1" s="1"/>
  <c r="Q529" i="1"/>
  <c r="Q530" i="1"/>
  <c r="Q531" i="1"/>
  <c r="Q532" i="1"/>
  <c r="S532" i="1" s="1"/>
  <c r="Q533" i="1"/>
  <c r="S533" i="1" s="1"/>
  <c r="Q534" i="1"/>
  <c r="S534" i="1" s="1"/>
  <c r="Q535" i="1"/>
  <c r="S535" i="1" s="1"/>
  <c r="Q536" i="1"/>
  <c r="S536" i="1" s="1"/>
  <c r="Q537" i="1"/>
  <c r="S537" i="1" s="1"/>
  <c r="Q538" i="1"/>
  <c r="Q539" i="1"/>
  <c r="Q540" i="1"/>
  <c r="Q541" i="1"/>
  <c r="S541" i="1" s="1"/>
  <c r="Q542" i="1"/>
  <c r="S542" i="1" s="1"/>
  <c r="Q543" i="1"/>
  <c r="S543" i="1" s="1"/>
  <c r="Q544" i="1"/>
  <c r="Q545" i="1"/>
  <c r="Q546" i="1"/>
  <c r="S546" i="1" s="1"/>
  <c r="Q547" i="1"/>
  <c r="S547" i="1" s="1"/>
  <c r="Q548" i="1"/>
  <c r="S548" i="1" s="1"/>
  <c r="Q549" i="1"/>
  <c r="S549" i="1" s="1"/>
  <c r="Q550" i="1"/>
  <c r="S550" i="1" s="1"/>
  <c r="Q551" i="1"/>
  <c r="S551" i="1" s="1"/>
  <c r="Q552" i="1"/>
  <c r="S552" i="1" s="1"/>
  <c r="Q553" i="1"/>
  <c r="S553" i="1" s="1"/>
  <c r="Q554" i="1"/>
  <c r="S554" i="1" s="1"/>
  <c r="Q555" i="1"/>
  <c r="S555" i="1" s="1"/>
  <c r="Q556" i="1"/>
  <c r="S556" i="1" s="1"/>
  <c r="Q557" i="1"/>
  <c r="S557" i="1" s="1"/>
  <c r="Q558" i="1"/>
  <c r="S558" i="1" s="1"/>
  <c r="Q559" i="1"/>
  <c r="S559" i="1" s="1"/>
  <c r="Q560" i="1"/>
  <c r="S560" i="1" s="1"/>
  <c r="Q561" i="1"/>
  <c r="Q562" i="1"/>
  <c r="S562" i="1" s="1"/>
  <c r="Q563" i="1"/>
  <c r="Q564" i="1"/>
  <c r="Q565" i="1"/>
  <c r="S565" i="1" s="1"/>
  <c r="Q566" i="1"/>
  <c r="Q567" i="1"/>
  <c r="Q492" i="1"/>
  <c r="Q493" i="1"/>
  <c r="S493" i="1" s="1"/>
  <c r="Q494" i="1"/>
  <c r="S494" i="1" s="1"/>
  <c r="Q495" i="1"/>
  <c r="S495" i="1" s="1"/>
  <c r="Q496" i="1"/>
  <c r="S496" i="1" s="1"/>
  <c r="Q497" i="1"/>
  <c r="S497" i="1" s="1"/>
  <c r="Q498" i="1"/>
  <c r="S498" i="1" s="1"/>
  <c r="Q499" i="1"/>
  <c r="Q500" i="1"/>
  <c r="Q501" i="1"/>
  <c r="S501" i="1" s="1"/>
  <c r="Q502" i="1"/>
  <c r="S502" i="1" s="1"/>
  <c r="Q484" i="1"/>
  <c r="S484" i="1" s="1"/>
  <c r="Q485" i="1"/>
  <c r="S485" i="1" s="1"/>
  <c r="Q486" i="1"/>
  <c r="S486" i="1" s="1"/>
  <c r="Q487" i="1"/>
  <c r="Q488" i="1"/>
  <c r="S488" i="1" s="1"/>
  <c r="Q489" i="1"/>
  <c r="Q490" i="1"/>
  <c r="Q491" i="1"/>
  <c r="Q470" i="1"/>
  <c r="S470" i="1" s="1"/>
  <c r="Q471" i="1"/>
  <c r="Q472" i="1"/>
  <c r="S472" i="1" s="1"/>
  <c r="Q473" i="1"/>
  <c r="S473" i="1" s="1"/>
  <c r="Q474" i="1"/>
  <c r="Q475" i="1"/>
  <c r="Q476" i="1"/>
  <c r="S476" i="1" s="1"/>
  <c r="Q477" i="1"/>
  <c r="S477" i="1" s="1"/>
  <c r="Q478" i="1"/>
  <c r="Q479" i="1"/>
  <c r="S479" i="1" s="1"/>
  <c r="Q480" i="1"/>
  <c r="S480" i="1" s="1"/>
  <c r="Q481" i="1"/>
  <c r="S481" i="1" s="1"/>
  <c r="Q482" i="1"/>
  <c r="S482" i="1" s="1"/>
  <c r="Q483" i="1"/>
  <c r="S483" i="1" s="1"/>
  <c r="Q469" i="1"/>
  <c r="S469" i="1" s="1"/>
  <c r="Q246" i="1"/>
  <c r="S246" i="1" s="1"/>
  <c r="Q378" i="1"/>
  <c r="S378" i="1" s="1"/>
  <c r="Q379" i="1"/>
  <c r="S379" i="1" s="1"/>
  <c r="Q380" i="1"/>
  <c r="S380" i="1" s="1"/>
  <c r="Q381" i="1"/>
  <c r="Q382" i="1"/>
  <c r="S382" i="1" s="1"/>
  <c r="Q383" i="1"/>
  <c r="S383" i="1" s="1"/>
  <c r="Q384" i="1"/>
  <c r="Q385" i="1"/>
  <c r="S385" i="1" s="1"/>
  <c r="Q386" i="1"/>
  <c r="S386" i="1" s="1"/>
  <c r="Q387" i="1"/>
  <c r="S387" i="1" s="1"/>
  <c r="Q388" i="1"/>
  <c r="S388" i="1" s="1"/>
  <c r="Q389" i="1"/>
  <c r="S389" i="1" s="1"/>
  <c r="Q390" i="1"/>
  <c r="S390" i="1" s="1"/>
  <c r="Q391" i="1"/>
  <c r="S391" i="1" s="1"/>
  <c r="Q392" i="1"/>
  <c r="Q393" i="1"/>
  <c r="S393" i="1" s="1"/>
  <c r="Q394" i="1"/>
  <c r="S394" i="1" s="1"/>
  <c r="Q395" i="1"/>
  <c r="Q396" i="1"/>
  <c r="S396" i="1" s="1"/>
  <c r="Q397" i="1"/>
  <c r="S397" i="1" s="1"/>
  <c r="Q398" i="1"/>
  <c r="S398" i="1" s="1"/>
  <c r="Q399" i="1"/>
  <c r="S399" i="1" s="1"/>
  <c r="Q400" i="1"/>
  <c r="S400" i="1" s="1"/>
  <c r="Q401" i="1"/>
  <c r="S401" i="1" s="1"/>
  <c r="Q402" i="1"/>
  <c r="S402" i="1" s="1"/>
  <c r="Q403" i="1"/>
  <c r="Q404" i="1"/>
  <c r="S404" i="1" s="1"/>
  <c r="Q405" i="1"/>
  <c r="S405" i="1" s="1"/>
  <c r="Q406" i="1"/>
  <c r="S406" i="1" s="1"/>
  <c r="Q407" i="1"/>
  <c r="S407" i="1" s="1"/>
  <c r="Q408" i="1"/>
  <c r="S408" i="1" s="1"/>
  <c r="Q409" i="1"/>
  <c r="S409" i="1" s="1"/>
  <c r="Q410" i="1"/>
  <c r="S410" i="1" s="1"/>
  <c r="Q411" i="1"/>
  <c r="S411" i="1" s="1"/>
  <c r="Q412" i="1"/>
  <c r="Q413" i="1"/>
  <c r="S413" i="1" s="1"/>
  <c r="Q414" i="1"/>
  <c r="Q415" i="1"/>
  <c r="S415" i="1" s="1"/>
  <c r="Q416" i="1"/>
  <c r="S416" i="1" s="1"/>
  <c r="Q417" i="1"/>
  <c r="S417" i="1" s="1"/>
  <c r="Q418" i="1"/>
  <c r="S418" i="1" s="1"/>
  <c r="Q419" i="1"/>
  <c r="S419" i="1" s="1"/>
  <c r="Q420" i="1"/>
  <c r="S420" i="1" s="1"/>
  <c r="Q421" i="1"/>
  <c r="Q422" i="1"/>
  <c r="Q423" i="1"/>
  <c r="S423" i="1" s="1"/>
  <c r="Q424" i="1"/>
  <c r="Q425" i="1"/>
  <c r="S425" i="1" s="1"/>
  <c r="Q426" i="1"/>
  <c r="S426" i="1" s="1"/>
  <c r="Q427" i="1"/>
  <c r="Q428" i="1"/>
  <c r="S428" i="1" s="1"/>
  <c r="Q429" i="1"/>
  <c r="S429" i="1" s="1"/>
  <c r="Q430" i="1"/>
  <c r="Q431" i="1"/>
  <c r="S431" i="1" s="1"/>
  <c r="Q432" i="1"/>
  <c r="Q433" i="1"/>
  <c r="S433" i="1" s="1"/>
  <c r="Q434" i="1"/>
  <c r="S434" i="1" s="1"/>
  <c r="Q435" i="1"/>
  <c r="S435" i="1" s="1"/>
  <c r="Q436" i="1"/>
  <c r="S436" i="1" s="1"/>
  <c r="Q437" i="1"/>
  <c r="S437" i="1" s="1"/>
  <c r="Q438" i="1"/>
  <c r="S438" i="1" s="1"/>
  <c r="Q439" i="1"/>
  <c r="S439" i="1" s="1"/>
  <c r="Q440" i="1"/>
  <c r="S440" i="1" s="1"/>
  <c r="Q441" i="1"/>
  <c r="S441" i="1" s="1"/>
  <c r="Q442" i="1"/>
  <c r="Q443" i="1"/>
  <c r="S443" i="1" s="1"/>
  <c r="Q444" i="1"/>
  <c r="S444" i="1" s="1"/>
  <c r="Q445" i="1"/>
  <c r="S445" i="1" s="1"/>
  <c r="Q446" i="1"/>
  <c r="Q447" i="1"/>
  <c r="S447" i="1" s="1"/>
  <c r="Q448" i="1"/>
  <c r="S448" i="1" s="1"/>
  <c r="Q449" i="1"/>
  <c r="S449" i="1" s="1"/>
  <c r="Q450" i="1"/>
  <c r="S450" i="1" s="1"/>
  <c r="Q451" i="1"/>
  <c r="Q452" i="1"/>
  <c r="S452" i="1" s="1"/>
  <c r="Q453" i="1"/>
  <c r="S453" i="1" s="1"/>
  <c r="Q454" i="1"/>
  <c r="S454" i="1" s="1"/>
  <c r="Q455" i="1"/>
  <c r="Q456" i="1"/>
  <c r="S456" i="1" s="1"/>
  <c r="Q457" i="1"/>
  <c r="S457" i="1" s="1"/>
  <c r="Q458" i="1"/>
  <c r="Q459" i="1"/>
  <c r="Q460" i="1"/>
  <c r="S460" i="1" s="1"/>
  <c r="Q461" i="1"/>
  <c r="Q462" i="1"/>
  <c r="Q463" i="1"/>
  <c r="S463" i="1" s="1"/>
  <c r="Q464" i="1"/>
  <c r="S464" i="1" s="1"/>
  <c r="Q465" i="1"/>
  <c r="S465" i="1" s="1"/>
  <c r="Q466" i="1"/>
  <c r="S466" i="1" s="1"/>
  <c r="Q467" i="1"/>
  <c r="S467" i="1" s="1"/>
  <c r="Q468" i="1"/>
  <c r="S468" i="1" s="1"/>
  <c r="Q247" i="1"/>
  <c r="S247" i="1" s="1"/>
  <c r="Q248" i="1"/>
  <c r="Q249" i="1"/>
  <c r="S249" i="1" s="1"/>
  <c r="Q250" i="1"/>
  <c r="S250" i="1" s="1"/>
  <c r="Q251" i="1"/>
  <c r="Q252" i="1"/>
  <c r="Q253" i="1"/>
  <c r="S253" i="1" s="1"/>
  <c r="Q254" i="1"/>
  <c r="S254" i="1" s="1"/>
  <c r="Q255" i="1"/>
  <c r="Q256" i="1"/>
  <c r="S256" i="1" s="1"/>
  <c r="Q257" i="1"/>
  <c r="S257" i="1" s="1"/>
  <c r="Q258" i="1"/>
  <c r="S258" i="1" s="1"/>
  <c r="Q259" i="1"/>
  <c r="S259" i="1" s="1"/>
  <c r="Q260" i="1"/>
  <c r="S260" i="1" s="1"/>
  <c r="Q261" i="1"/>
  <c r="S261" i="1" s="1"/>
  <c r="Q262" i="1"/>
  <c r="S262" i="1" s="1"/>
  <c r="Q263" i="1"/>
  <c r="S263" i="1" s="1"/>
  <c r="Q264" i="1"/>
  <c r="Q265" i="1"/>
  <c r="S265" i="1" s="1"/>
  <c r="Q266" i="1"/>
  <c r="Q267" i="1"/>
  <c r="Q268" i="1"/>
  <c r="Q269" i="1"/>
  <c r="Q270" i="1"/>
  <c r="S270" i="1" s="1"/>
  <c r="Q271" i="1"/>
  <c r="S271" i="1" s="1"/>
  <c r="Q272" i="1"/>
  <c r="S272" i="1" s="1"/>
  <c r="Q273" i="1"/>
  <c r="S273" i="1" s="1"/>
  <c r="Q274" i="1"/>
  <c r="S274" i="1" s="1"/>
  <c r="Q275" i="1"/>
  <c r="S275" i="1" s="1"/>
  <c r="Q276" i="1"/>
  <c r="Q277" i="1"/>
  <c r="Q278" i="1"/>
  <c r="S278" i="1" s="1"/>
  <c r="Q279" i="1"/>
  <c r="S279" i="1" s="1"/>
  <c r="Q280" i="1"/>
  <c r="Q281" i="1"/>
  <c r="Q282" i="1"/>
  <c r="Q283" i="1"/>
  <c r="S283" i="1" s="1"/>
  <c r="Q284" i="1"/>
  <c r="Q285" i="1"/>
  <c r="S285" i="1" s="1"/>
  <c r="Q286" i="1"/>
  <c r="Q287" i="1"/>
  <c r="S287" i="1" s="1"/>
  <c r="Q288" i="1"/>
  <c r="S288" i="1" s="1"/>
  <c r="Q289" i="1"/>
  <c r="S289" i="1" s="1"/>
  <c r="Q290" i="1"/>
  <c r="Q291" i="1"/>
  <c r="S291" i="1" s="1"/>
  <c r="Q292" i="1"/>
  <c r="S292" i="1" s="1"/>
  <c r="Q293" i="1"/>
  <c r="S293" i="1" s="1"/>
  <c r="Q294" i="1"/>
  <c r="S294" i="1" s="1"/>
  <c r="Q295" i="1"/>
  <c r="S295" i="1" s="1"/>
  <c r="Q296" i="1"/>
  <c r="S296" i="1" s="1"/>
  <c r="Q297" i="1"/>
  <c r="S297" i="1" s="1"/>
  <c r="Q298" i="1"/>
  <c r="S298" i="1" s="1"/>
  <c r="Q299" i="1"/>
  <c r="S299" i="1" s="1"/>
  <c r="Q300" i="1"/>
  <c r="S300" i="1" s="1"/>
  <c r="Q301" i="1"/>
  <c r="S301" i="1" s="1"/>
  <c r="Q302" i="1"/>
  <c r="Q303" i="1"/>
  <c r="S303" i="1" s="1"/>
  <c r="Q304" i="1"/>
  <c r="S304" i="1" s="1"/>
  <c r="Q305" i="1"/>
  <c r="S305" i="1" s="1"/>
  <c r="Q306" i="1"/>
  <c r="Q307" i="1"/>
  <c r="Q308" i="1"/>
  <c r="Q309" i="1"/>
  <c r="S309" i="1" s="1"/>
  <c r="Q310" i="1"/>
  <c r="S310" i="1" s="1"/>
  <c r="Q311" i="1"/>
  <c r="S311" i="1" s="1"/>
  <c r="Q312" i="1"/>
  <c r="S312" i="1" s="1"/>
  <c r="Q313" i="1"/>
  <c r="S313" i="1" s="1"/>
  <c r="Q314" i="1"/>
  <c r="S314" i="1" s="1"/>
  <c r="Q315" i="1"/>
  <c r="Q316" i="1"/>
  <c r="Q317" i="1"/>
  <c r="Q318" i="1"/>
  <c r="S318" i="1" s="1"/>
  <c r="Q319" i="1"/>
  <c r="S319" i="1" s="1"/>
  <c r="Q320" i="1"/>
  <c r="S320" i="1" s="1"/>
  <c r="Q321" i="1"/>
  <c r="Q322" i="1"/>
  <c r="Q323" i="1"/>
  <c r="S323" i="1" s="1"/>
  <c r="Q324" i="1"/>
  <c r="S324" i="1" s="1"/>
  <c r="Q325" i="1"/>
  <c r="S325" i="1" s="1"/>
  <c r="Q326" i="1"/>
  <c r="S326" i="1" s="1"/>
  <c r="Q327" i="1"/>
  <c r="S327" i="1" s="1"/>
  <c r="Q328" i="1"/>
  <c r="S328" i="1" s="1"/>
  <c r="Q329" i="1"/>
  <c r="S329" i="1" s="1"/>
  <c r="Q330" i="1"/>
  <c r="S330" i="1" s="1"/>
  <c r="Q331" i="1"/>
  <c r="S331" i="1" s="1"/>
  <c r="Q332" i="1"/>
  <c r="S332" i="1" s="1"/>
  <c r="Q333" i="1"/>
  <c r="S333" i="1" s="1"/>
  <c r="Q334" i="1"/>
  <c r="S334" i="1" s="1"/>
  <c r="Q335" i="1"/>
  <c r="S335" i="1" s="1"/>
  <c r="Q336" i="1"/>
  <c r="S336" i="1" s="1"/>
  <c r="Q337" i="1"/>
  <c r="S337" i="1" s="1"/>
  <c r="Q338" i="1"/>
  <c r="Q339" i="1"/>
  <c r="S339" i="1" s="1"/>
  <c r="Q340" i="1"/>
  <c r="Q341" i="1"/>
  <c r="Q342" i="1"/>
  <c r="S342" i="1" s="1"/>
  <c r="Q343" i="1"/>
  <c r="Q344" i="1"/>
  <c r="Q345" i="1"/>
  <c r="Q346" i="1"/>
  <c r="Q347" i="1"/>
  <c r="S347" i="1" s="1"/>
  <c r="Q348" i="1"/>
  <c r="S348" i="1" s="1"/>
  <c r="Q349" i="1"/>
  <c r="Q350" i="1"/>
  <c r="S350" i="1" s="1"/>
  <c r="Q351" i="1"/>
  <c r="S351" i="1" s="1"/>
  <c r="Q352" i="1"/>
  <c r="S352" i="1" s="1"/>
  <c r="Q353" i="1"/>
  <c r="Q354" i="1"/>
  <c r="Q355" i="1"/>
  <c r="S355" i="1" s="1"/>
  <c r="Q356" i="1"/>
  <c r="S356" i="1" s="1"/>
  <c r="Q357" i="1"/>
  <c r="S357" i="1" s="1"/>
  <c r="Q358" i="1"/>
  <c r="S358" i="1" s="1"/>
  <c r="Q359" i="1"/>
  <c r="S359" i="1" s="1"/>
  <c r="Q360" i="1"/>
  <c r="Q361" i="1"/>
  <c r="S361" i="1" s="1"/>
  <c r="Q362" i="1"/>
  <c r="S362" i="1" s="1"/>
  <c r="Q363" i="1"/>
  <c r="S363" i="1" s="1"/>
  <c r="Q364" i="1"/>
  <c r="Q365" i="1"/>
  <c r="S365" i="1" s="1"/>
  <c r="Q366" i="1"/>
  <c r="Q367" i="1"/>
  <c r="S367" i="1" s="1"/>
  <c r="Q368" i="1"/>
  <c r="S368" i="1" s="1"/>
  <c r="Q369" i="1"/>
  <c r="Q370" i="1"/>
  <c r="Q371" i="1"/>
  <c r="S371" i="1" s="1"/>
  <c r="Q372" i="1"/>
  <c r="S372" i="1" s="1"/>
  <c r="Q373" i="1"/>
  <c r="S373" i="1" s="1"/>
  <c r="Q374" i="1"/>
  <c r="S374" i="1" s="1"/>
  <c r="Q375" i="1"/>
  <c r="S375" i="1" s="1"/>
  <c r="Q376" i="1"/>
  <c r="S376" i="1" s="1"/>
  <c r="Q377" i="1"/>
  <c r="Q114" i="1"/>
  <c r="S114" i="1" s="1"/>
  <c r="Q115" i="1"/>
  <c r="S115" i="1" s="1"/>
  <c r="Q116" i="1"/>
  <c r="Q117" i="1"/>
  <c r="S117" i="1" s="1"/>
  <c r="Q118" i="1"/>
  <c r="S118" i="1" s="1"/>
  <c r="Q119" i="1"/>
  <c r="S119" i="1" s="1"/>
  <c r="Q120" i="1"/>
  <c r="S120" i="1" s="1"/>
  <c r="Q121" i="1"/>
  <c r="Q122" i="1"/>
  <c r="S122" i="1" s="1"/>
  <c r="Q123" i="1"/>
  <c r="S123" i="1" s="1"/>
  <c r="Q124" i="1"/>
  <c r="S124" i="1" s="1"/>
  <c r="Q125" i="1"/>
  <c r="Q126" i="1"/>
  <c r="S126" i="1" s="1"/>
  <c r="Q127" i="1"/>
  <c r="S127" i="1" s="1"/>
  <c r="Q128" i="1"/>
  <c r="S128" i="1" s="1"/>
  <c r="Q129" i="1"/>
  <c r="S129" i="1" s="1"/>
  <c r="Q130" i="1"/>
  <c r="S130" i="1" s="1"/>
  <c r="Q131" i="1"/>
  <c r="S131" i="1" s="1"/>
  <c r="Q132" i="1"/>
  <c r="S132" i="1" s="1"/>
  <c r="Q133" i="1"/>
  <c r="S133" i="1" s="1"/>
  <c r="Q134" i="1"/>
  <c r="S134" i="1" s="1"/>
  <c r="Q135" i="1"/>
  <c r="Q136" i="1"/>
  <c r="S136" i="1" s="1"/>
  <c r="Q137" i="1"/>
  <c r="S137" i="1" s="1"/>
  <c r="Q138" i="1"/>
  <c r="S138" i="1" s="1"/>
  <c r="Q139" i="1"/>
  <c r="S139" i="1" s="1"/>
  <c r="Q140" i="1"/>
  <c r="S140" i="1" s="1"/>
  <c r="Q141" i="1"/>
  <c r="S141" i="1" s="1"/>
  <c r="Q142" i="1"/>
  <c r="S142" i="1" s="1"/>
  <c r="Q143" i="1"/>
  <c r="S143" i="1" s="1"/>
  <c r="Q144" i="1"/>
  <c r="Q145" i="1"/>
  <c r="S145" i="1" s="1"/>
  <c r="Q146" i="1"/>
  <c r="S146" i="1" s="1"/>
  <c r="Q147" i="1"/>
  <c r="S147" i="1" s="1"/>
  <c r="Q148" i="1"/>
  <c r="Q149" i="1"/>
  <c r="S149" i="1" s="1"/>
  <c r="Q150" i="1"/>
  <c r="S150" i="1" s="1"/>
  <c r="Q151" i="1"/>
  <c r="S151" i="1" s="1"/>
  <c r="Q152" i="1"/>
  <c r="Q153" i="1"/>
  <c r="S153" i="1" s="1"/>
  <c r="Q154" i="1"/>
  <c r="Q155" i="1"/>
  <c r="S155" i="1" s="1"/>
  <c r="Q156" i="1"/>
  <c r="S156" i="1" s="1"/>
  <c r="Q157" i="1"/>
  <c r="S157" i="1" s="1"/>
  <c r="Q158" i="1"/>
  <c r="S158" i="1" s="1"/>
  <c r="Q159" i="1"/>
  <c r="Q160" i="1"/>
  <c r="S160" i="1" s="1"/>
  <c r="Q161" i="1"/>
  <c r="S161" i="1" s="1"/>
  <c r="Q162" i="1"/>
  <c r="S162" i="1" s="1"/>
  <c r="Q163" i="1"/>
  <c r="S163" i="1" s="1"/>
  <c r="Q164" i="1"/>
  <c r="S164" i="1" s="1"/>
  <c r="Q165" i="1"/>
  <c r="Q166" i="1"/>
  <c r="S166" i="1" s="1"/>
  <c r="Q167" i="1"/>
  <c r="S167" i="1" s="1"/>
  <c r="Q168" i="1"/>
  <c r="Q169" i="1"/>
  <c r="S169" i="1" s="1"/>
  <c r="Q170" i="1"/>
  <c r="S170" i="1" s="1"/>
  <c r="Q171" i="1"/>
  <c r="S171" i="1" s="1"/>
  <c r="Q172" i="1"/>
  <c r="Q173" i="1"/>
  <c r="S173" i="1" s="1"/>
  <c r="Q174" i="1"/>
  <c r="S174" i="1" s="1"/>
  <c r="Q175" i="1"/>
  <c r="S175" i="1" s="1"/>
  <c r="Q176" i="1"/>
  <c r="Q177" i="1"/>
  <c r="S177" i="1" s="1"/>
  <c r="Q178" i="1"/>
  <c r="Q179" i="1"/>
  <c r="Q180" i="1"/>
  <c r="Q181" i="1"/>
  <c r="S181" i="1" s="1"/>
  <c r="Q182" i="1"/>
  <c r="Q183" i="1"/>
  <c r="Q184" i="1"/>
  <c r="S184" i="1" s="1"/>
  <c r="Q185" i="1"/>
  <c r="S185" i="1" s="1"/>
  <c r="Q186" i="1"/>
  <c r="S186" i="1" s="1"/>
  <c r="Q187" i="1"/>
  <c r="S187" i="1" s="1"/>
  <c r="Q188" i="1"/>
  <c r="S188" i="1" s="1"/>
  <c r="Q189" i="1"/>
  <c r="S189" i="1" s="1"/>
  <c r="Q190" i="1"/>
  <c r="Q191" i="1"/>
  <c r="S191" i="1" s="1"/>
  <c r="Q192" i="1"/>
  <c r="S192" i="1" s="1"/>
  <c r="Q193" i="1"/>
  <c r="S193" i="1" s="1"/>
  <c r="Q194" i="1"/>
  <c r="S194" i="1" s="1"/>
  <c r="Q195" i="1"/>
  <c r="S195" i="1" s="1"/>
  <c r="Q196" i="1"/>
  <c r="S196" i="1" s="1"/>
  <c r="Q197" i="1"/>
  <c r="S197" i="1" s="1"/>
  <c r="Q198" i="1"/>
  <c r="S198" i="1" s="1"/>
  <c r="Q199" i="1"/>
  <c r="S199" i="1" s="1"/>
  <c r="Q200" i="1"/>
  <c r="Q201" i="1"/>
  <c r="Q202" i="1"/>
  <c r="S202" i="1" s="1"/>
  <c r="Q203" i="1"/>
  <c r="Q204" i="1"/>
  <c r="S204" i="1" s="1"/>
  <c r="Q205" i="1"/>
  <c r="S205" i="1" s="1"/>
  <c r="Q206" i="1"/>
  <c r="S206" i="1" s="1"/>
  <c r="Q207" i="1"/>
  <c r="S207" i="1" s="1"/>
  <c r="Q208" i="1"/>
  <c r="S208" i="1" s="1"/>
  <c r="Q209" i="1"/>
  <c r="S209" i="1" s="1"/>
  <c r="Q210" i="1"/>
  <c r="S210" i="1" s="1"/>
  <c r="Q211" i="1"/>
  <c r="S211" i="1" s="1"/>
  <c r="Q212" i="1"/>
  <c r="S212" i="1" s="1"/>
  <c r="Q213" i="1"/>
  <c r="S213" i="1" s="1"/>
  <c r="Q214" i="1"/>
  <c r="S214" i="1" s="1"/>
  <c r="Q215" i="1"/>
  <c r="S215" i="1" s="1"/>
  <c r="Q216" i="1"/>
  <c r="S216" i="1" s="1"/>
  <c r="Q217" i="1"/>
  <c r="S217" i="1" s="1"/>
  <c r="Q218" i="1"/>
  <c r="S218" i="1" s="1"/>
  <c r="Q219" i="1"/>
  <c r="S219" i="1" s="1"/>
  <c r="Q220" i="1"/>
  <c r="Q221" i="1"/>
  <c r="Q222" i="1"/>
  <c r="S222" i="1" s="1"/>
  <c r="Q223" i="1"/>
  <c r="S223" i="1" s="1"/>
  <c r="Q224" i="1"/>
  <c r="Q225" i="1"/>
  <c r="S225" i="1" s="1"/>
  <c r="Q226" i="1"/>
  <c r="Q227" i="1"/>
  <c r="S227" i="1" s="1"/>
  <c r="Q228" i="1"/>
  <c r="S228" i="1" s="1"/>
  <c r="Q229" i="1"/>
  <c r="Q230" i="1"/>
  <c r="Q231" i="1"/>
  <c r="Q232" i="1"/>
  <c r="S232" i="1" s="1"/>
  <c r="Q233" i="1"/>
  <c r="S233" i="1" s="1"/>
  <c r="Q234" i="1"/>
  <c r="Q235" i="1"/>
  <c r="S235" i="1" s="1"/>
  <c r="Q236" i="1"/>
  <c r="Q237" i="1"/>
  <c r="S237" i="1" s="1"/>
  <c r="Q238" i="1"/>
  <c r="S238" i="1" s="1"/>
  <c r="Q239" i="1"/>
  <c r="Q240" i="1"/>
  <c r="S240" i="1" s="1"/>
  <c r="Q241" i="1"/>
  <c r="S241" i="1" s="1"/>
  <c r="Q242" i="1"/>
  <c r="S242" i="1" s="1"/>
  <c r="Q243" i="1"/>
  <c r="Q244" i="1"/>
  <c r="S244" i="1" s="1"/>
  <c r="Q245" i="1"/>
  <c r="Q108" i="1"/>
  <c r="S108" i="1" s="1"/>
  <c r="Q109" i="1"/>
  <c r="Q110" i="1"/>
  <c r="S110" i="1" s="1"/>
  <c r="Q111" i="1"/>
  <c r="Q112" i="1"/>
  <c r="S112" i="1" s="1"/>
  <c r="Q113" i="1"/>
  <c r="S113" i="1" s="1"/>
  <c r="Q3" i="1"/>
  <c r="S3" i="1" s="1"/>
  <c r="Q4" i="1"/>
  <c r="Q5" i="1"/>
  <c r="Q6" i="1"/>
  <c r="S6" i="1" s="1"/>
  <c r="Q7" i="1"/>
  <c r="S7" i="1" s="1"/>
  <c r="Q8" i="1"/>
  <c r="S8" i="1" s="1"/>
  <c r="Q9" i="1"/>
  <c r="S9" i="1" s="1"/>
  <c r="Q10" i="1"/>
  <c r="S10" i="1" s="1"/>
  <c r="Q11" i="1"/>
  <c r="S11" i="1" s="1"/>
  <c r="Q12" i="1"/>
  <c r="Q13" i="1"/>
  <c r="S13" i="1" s="1"/>
  <c r="Q14" i="1"/>
  <c r="Q15" i="1"/>
  <c r="S15" i="1" s="1"/>
  <c r="Q16" i="1"/>
  <c r="Q17" i="1"/>
  <c r="S17" i="1" s="1"/>
  <c r="Q18" i="1"/>
  <c r="S18" i="1" s="1"/>
  <c r="Q19" i="1"/>
  <c r="Q20" i="1"/>
  <c r="S20" i="1" s="1"/>
  <c r="Q21" i="1"/>
  <c r="S21" i="1" s="1"/>
  <c r="Q22" i="1"/>
  <c r="S22" i="1" s="1"/>
  <c r="Q23" i="1"/>
  <c r="Q24" i="1"/>
  <c r="Q25" i="1"/>
  <c r="S25" i="1" s="1"/>
  <c r="Q26" i="1"/>
  <c r="Q27" i="1"/>
  <c r="Q28" i="1"/>
  <c r="S28" i="1" s="1"/>
  <c r="Q29" i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Q39" i="1"/>
  <c r="S39" i="1" s="1"/>
  <c r="Q40" i="1"/>
  <c r="S40" i="1" s="1"/>
  <c r="Q41" i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Q49" i="1"/>
  <c r="S49" i="1" s="1"/>
  <c r="Q50" i="1"/>
  <c r="S50" i="1" s="1"/>
  <c r="Q51" i="1"/>
  <c r="Q52" i="1"/>
  <c r="S52" i="1" s="1"/>
  <c r="Q53" i="1"/>
  <c r="Q54" i="1"/>
  <c r="Q55" i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Q71" i="1"/>
  <c r="S71" i="1" s="1"/>
  <c r="Q72" i="1"/>
  <c r="S72" i="1" s="1"/>
  <c r="Q73" i="1"/>
  <c r="S73" i="1" s="1"/>
  <c r="Q74" i="1"/>
  <c r="S74" i="1" s="1"/>
  <c r="Q75" i="1"/>
  <c r="Q76" i="1"/>
  <c r="S76" i="1" s="1"/>
  <c r="Q77" i="1"/>
  <c r="S77" i="1" s="1"/>
  <c r="Q78" i="1"/>
  <c r="Q79" i="1"/>
  <c r="S79" i="1" s="1"/>
  <c r="Q80" i="1"/>
  <c r="Q81" i="1"/>
  <c r="Q82" i="1"/>
  <c r="Q83" i="1"/>
  <c r="S83" i="1" s="1"/>
  <c r="Q84" i="1"/>
  <c r="S84" i="1" s="1"/>
  <c r="Q85" i="1"/>
  <c r="Q86" i="1"/>
  <c r="Q87" i="1"/>
  <c r="Q88" i="1"/>
  <c r="S88" i="1" s="1"/>
  <c r="Q89" i="1"/>
  <c r="Q90" i="1"/>
  <c r="S90" i="1" s="1"/>
  <c r="Q91" i="1"/>
  <c r="Q92" i="1"/>
  <c r="S92" i="1" s="1"/>
  <c r="Q93" i="1"/>
  <c r="Q94" i="1"/>
  <c r="S94" i="1" s="1"/>
  <c r="Q95" i="1"/>
  <c r="Q96" i="1"/>
  <c r="S96" i="1" s="1"/>
  <c r="Q97" i="1"/>
  <c r="Q98" i="1"/>
  <c r="S98" i="1" s="1"/>
  <c r="Q99" i="1"/>
  <c r="S99" i="1" s="1"/>
  <c r="Q100" i="1"/>
  <c r="S100" i="1" s="1"/>
  <c r="Q101" i="1"/>
  <c r="S101" i="1" s="1"/>
  <c r="Q102" i="1"/>
  <c r="S102" i="1" s="1"/>
  <c r="Q103" i="1"/>
  <c r="Q104" i="1"/>
  <c r="Q105" i="1"/>
  <c r="Q106" i="1"/>
  <c r="S106" i="1" s="1"/>
  <c r="Q107" i="1"/>
  <c r="S107" i="1" s="1"/>
  <c r="Q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2" i="1"/>
  <c r="P2" i="1" s="1"/>
  <c r="B11" i="5"/>
  <c r="B10" i="5"/>
  <c r="B7" i="5"/>
  <c r="B8" i="5" s="1"/>
  <c r="B6" i="5"/>
  <c r="B10" i="6"/>
  <c r="B9" i="6"/>
  <c r="B8" i="6"/>
  <c r="B6" i="6"/>
  <c r="B5" i="6"/>
  <c r="B4" i="6"/>
  <c r="H293" i="4"/>
  <c r="G293" i="4"/>
  <c r="F293" i="4"/>
  <c r="H292" i="4"/>
  <c r="G292" i="4"/>
  <c r="F292" i="4"/>
  <c r="H291" i="4"/>
  <c r="G291" i="4"/>
  <c r="F291" i="4"/>
  <c r="H290" i="4"/>
  <c r="G290" i="4"/>
  <c r="F290" i="4"/>
  <c r="H289" i="4"/>
  <c r="G289" i="4"/>
  <c r="F289" i="4"/>
  <c r="H288" i="4"/>
  <c r="G288" i="4"/>
  <c r="F288" i="4"/>
  <c r="H287" i="4"/>
  <c r="G287" i="4"/>
  <c r="F287" i="4"/>
  <c r="H286" i="4"/>
  <c r="G286" i="4"/>
  <c r="F286" i="4"/>
  <c r="H285" i="4"/>
  <c r="G285" i="4"/>
  <c r="F285" i="4"/>
  <c r="H284" i="4"/>
  <c r="G284" i="4"/>
  <c r="F284" i="4"/>
  <c r="H283" i="4"/>
  <c r="G283" i="4"/>
  <c r="F283" i="4"/>
  <c r="H282" i="4"/>
  <c r="G282" i="4"/>
  <c r="F282" i="4"/>
  <c r="H281" i="4"/>
  <c r="G281" i="4"/>
  <c r="F281" i="4"/>
  <c r="H280" i="4"/>
  <c r="G280" i="4"/>
  <c r="F280" i="4"/>
  <c r="H279" i="4"/>
  <c r="G279" i="4"/>
  <c r="F279" i="4"/>
  <c r="H278" i="4"/>
  <c r="G278" i="4"/>
  <c r="F278" i="4"/>
  <c r="H277" i="4"/>
  <c r="G277" i="4"/>
  <c r="F277" i="4"/>
  <c r="H276" i="4"/>
  <c r="G276" i="4"/>
  <c r="F276" i="4"/>
  <c r="H275" i="4"/>
  <c r="G275" i="4"/>
  <c r="F275" i="4"/>
  <c r="H274" i="4"/>
  <c r="G274" i="4"/>
  <c r="F274" i="4"/>
  <c r="H273" i="4"/>
  <c r="G273" i="4"/>
  <c r="F273" i="4"/>
  <c r="H272" i="4"/>
  <c r="G272" i="4"/>
  <c r="F272" i="4"/>
  <c r="H271" i="4"/>
  <c r="G271" i="4"/>
  <c r="F271" i="4"/>
  <c r="H270" i="4"/>
  <c r="G270" i="4"/>
  <c r="F270" i="4"/>
  <c r="H269" i="4"/>
  <c r="G269" i="4"/>
  <c r="F269" i="4"/>
  <c r="H268" i="4"/>
  <c r="G268" i="4"/>
  <c r="F268" i="4"/>
  <c r="H267" i="4"/>
  <c r="G267" i="4"/>
  <c r="F267" i="4"/>
  <c r="H266" i="4"/>
  <c r="G266" i="4"/>
  <c r="F266" i="4"/>
  <c r="H265" i="4"/>
  <c r="G265" i="4"/>
  <c r="F265" i="4"/>
  <c r="H264" i="4"/>
  <c r="G264" i="4"/>
  <c r="F264" i="4"/>
  <c r="H263" i="4"/>
  <c r="G263" i="4"/>
  <c r="F263" i="4"/>
  <c r="H262" i="4"/>
  <c r="G262" i="4"/>
  <c r="F262" i="4"/>
  <c r="H261" i="4"/>
  <c r="G261" i="4"/>
  <c r="F261" i="4"/>
  <c r="H260" i="4"/>
  <c r="G260" i="4"/>
  <c r="F260" i="4"/>
  <c r="H259" i="4"/>
  <c r="G259" i="4"/>
  <c r="F259" i="4"/>
  <c r="H258" i="4"/>
  <c r="G258" i="4"/>
  <c r="F258" i="4"/>
  <c r="H257" i="4"/>
  <c r="G257" i="4"/>
  <c r="F257" i="4"/>
  <c r="H256" i="4"/>
  <c r="G256" i="4"/>
  <c r="F256" i="4"/>
  <c r="H255" i="4"/>
  <c r="G255" i="4"/>
  <c r="F255" i="4"/>
  <c r="H254" i="4"/>
  <c r="G254" i="4"/>
  <c r="F254" i="4"/>
  <c r="H253" i="4"/>
  <c r="G253" i="4"/>
  <c r="F253" i="4"/>
  <c r="H252" i="4"/>
  <c r="G252" i="4"/>
  <c r="F252" i="4"/>
  <c r="H251" i="4"/>
  <c r="G251" i="4"/>
  <c r="F251" i="4"/>
  <c r="H250" i="4"/>
  <c r="G250" i="4"/>
  <c r="F250" i="4"/>
  <c r="H249" i="4"/>
  <c r="G249" i="4"/>
  <c r="F249" i="4"/>
  <c r="H248" i="4"/>
  <c r="G248" i="4"/>
  <c r="F248" i="4"/>
  <c r="H247" i="4"/>
  <c r="G247" i="4"/>
  <c r="F247" i="4"/>
  <c r="H246" i="4"/>
  <c r="G246" i="4"/>
  <c r="F246" i="4"/>
  <c r="H245" i="4"/>
  <c r="G245" i="4"/>
  <c r="F245" i="4"/>
  <c r="H244" i="4"/>
  <c r="G244" i="4"/>
  <c r="F244" i="4"/>
  <c r="H243" i="4"/>
  <c r="G243" i="4"/>
  <c r="F243" i="4"/>
  <c r="H242" i="4"/>
  <c r="G242" i="4"/>
  <c r="F242" i="4"/>
  <c r="H241" i="4"/>
  <c r="G241" i="4"/>
  <c r="F241" i="4"/>
  <c r="H240" i="4"/>
  <c r="G240" i="4"/>
  <c r="F240" i="4"/>
  <c r="H239" i="4"/>
  <c r="G239" i="4"/>
  <c r="F239" i="4"/>
  <c r="H238" i="4"/>
  <c r="G238" i="4"/>
  <c r="F238" i="4"/>
  <c r="H237" i="4"/>
  <c r="G237" i="4"/>
  <c r="F237" i="4"/>
  <c r="H236" i="4"/>
  <c r="G236" i="4"/>
  <c r="F236" i="4"/>
  <c r="H235" i="4"/>
  <c r="G235" i="4"/>
  <c r="F235" i="4"/>
  <c r="H234" i="4"/>
  <c r="G234" i="4"/>
  <c r="F234" i="4"/>
  <c r="H233" i="4"/>
  <c r="G233" i="4"/>
  <c r="F233" i="4"/>
  <c r="H232" i="4"/>
  <c r="G232" i="4"/>
  <c r="F232" i="4"/>
  <c r="H231" i="4"/>
  <c r="G231" i="4"/>
  <c r="F231" i="4"/>
  <c r="H230" i="4"/>
  <c r="G230" i="4"/>
  <c r="F230" i="4"/>
  <c r="H229" i="4"/>
  <c r="G229" i="4"/>
  <c r="F229" i="4"/>
  <c r="H228" i="4"/>
  <c r="G228" i="4"/>
  <c r="F228" i="4"/>
  <c r="H227" i="4"/>
  <c r="G227" i="4"/>
  <c r="F227" i="4"/>
  <c r="H226" i="4"/>
  <c r="G226" i="4"/>
  <c r="F226" i="4"/>
  <c r="H225" i="4"/>
  <c r="G225" i="4"/>
  <c r="F225" i="4"/>
  <c r="H224" i="4"/>
  <c r="G224" i="4"/>
  <c r="F224" i="4"/>
  <c r="H223" i="4"/>
  <c r="G223" i="4"/>
  <c r="F223" i="4"/>
  <c r="H222" i="4"/>
  <c r="G222" i="4"/>
  <c r="F222" i="4"/>
  <c r="H221" i="4"/>
  <c r="G221" i="4"/>
  <c r="F221" i="4"/>
  <c r="H220" i="4"/>
  <c r="G220" i="4"/>
  <c r="F220" i="4"/>
  <c r="H219" i="4"/>
  <c r="G219" i="4"/>
  <c r="F219" i="4"/>
  <c r="H218" i="4"/>
  <c r="G218" i="4"/>
  <c r="F218" i="4"/>
  <c r="H217" i="4"/>
  <c r="G217" i="4"/>
  <c r="F217" i="4"/>
  <c r="H216" i="4"/>
  <c r="G216" i="4"/>
  <c r="F216" i="4"/>
  <c r="H215" i="4"/>
  <c r="G215" i="4"/>
  <c r="F215" i="4"/>
  <c r="H214" i="4"/>
  <c r="G214" i="4"/>
  <c r="F214" i="4"/>
  <c r="H213" i="4"/>
  <c r="G213" i="4"/>
  <c r="F213" i="4"/>
  <c r="H212" i="4"/>
  <c r="G212" i="4"/>
  <c r="F212" i="4"/>
  <c r="H211" i="4"/>
  <c r="G211" i="4"/>
  <c r="F211" i="4"/>
  <c r="H210" i="4"/>
  <c r="G210" i="4"/>
  <c r="F210" i="4"/>
  <c r="H209" i="4"/>
  <c r="G209" i="4"/>
  <c r="F209" i="4"/>
  <c r="H208" i="4"/>
  <c r="G208" i="4"/>
  <c r="F208" i="4"/>
  <c r="H207" i="4"/>
  <c r="G207" i="4"/>
  <c r="F207" i="4"/>
  <c r="H206" i="4"/>
  <c r="G206" i="4"/>
  <c r="F206" i="4"/>
  <c r="H205" i="4"/>
  <c r="G205" i="4"/>
  <c r="F205" i="4"/>
  <c r="H204" i="4"/>
  <c r="G204" i="4"/>
  <c r="F204" i="4"/>
  <c r="H203" i="4"/>
  <c r="G203" i="4"/>
  <c r="F203" i="4"/>
  <c r="H202" i="4"/>
  <c r="G202" i="4"/>
  <c r="F202" i="4"/>
  <c r="H201" i="4"/>
  <c r="G201" i="4"/>
  <c r="F201" i="4"/>
  <c r="H200" i="4"/>
  <c r="G200" i="4"/>
  <c r="F200" i="4"/>
  <c r="H199" i="4"/>
  <c r="G199" i="4"/>
  <c r="F199" i="4"/>
  <c r="H198" i="4"/>
  <c r="G198" i="4"/>
  <c r="F198" i="4"/>
  <c r="H197" i="4"/>
  <c r="G197" i="4"/>
  <c r="F197" i="4"/>
  <c r="H196" i="4"/>
  <c r="G196" i="4"/>
  <c r="F196" i="4"/>
  <c r="H195" i="4"/>
  <c r="G195" i="4"/>
  <c r="F195" i="4"/>
  <c r="H194" i="4"/>
  <c r="G194" i="4"/>
  <c r="F194" i="4"/>
  <c r="H193" i="4"/>
  <c r="G193" i="4"/>
  <c r="F193" i="4"/>
  <c r="H192" i="4"/>
  <c r="G192" i="4"/>
  <c r="F192" i="4"/>
  <c r="H191" i="4"/>
  <c r="G191" i="4"/>
  <c r="F191" i="4"/>
  <c r="H190" i="4"/>
  <c r="G190" i="4"/>
  <c r="F190" i="4"/>
  <c r="H189" i="4"/>
  <c r="G189" i="4"/>
  <c r="F189" i="4"/>
  <c r="H188" i="4"/>
  <c r="G188" i="4"/>
  <c r="F188" i="4"/>
  <c r="H187" i="4"/>
  <c r="G187" i="4"/>
  <c r="F187" i="4"/>
  <c r="H186" i="4"/>
  <c r="G186" i="4"/>
  <c r="F186" i="4"/>
  <c r="H185" i="4"/>
  <c r="G185" i="4"/>
  <c r="F185" i="4"/>
  <c r="H184" i="4"/>
  <c r="G184" i="4"/>
  <c r="F184" i="4"/>
  <c r="H183" i="4"/>
  <c r="G183" i="4"/>
  <c r="F183" i="4"/>
  <c r="H182" i="4"/>
  <c r="G182" i="4"/>
  <c r="F182" i="4"/>
  <c r="H181" i="4"/>
  <c r="G181" i="4"/>
  <c r="F181" i="4"/>
  <c r="H180" i="4"/>
  <c r="G180" i="4"/>
  <c r="F180" i="4"/>
  <c r="H179" i="4"/>
  <c r="G179" i="4"/>
  <c r="F179" i="4"/>
  <c r="H178" i="4"/>
  <c r="G178" i="4"/>
  <c r="F178" i="4"/>
  <c r="H177" i="4"/>
  <c r="G177" i="4"/>
  <c r="F177" i="4"/>
  <c r="H176" i="4"/>
  <c r="G176" i="4"/>
  <c r="F176" i="4"/>
  <c r="H175" i="4"/>
  <c r="G175" i="4"/>
  <c r="F175" i="4"/>
  <c r="H174" i="4"/>
  <c r="G174" i="4"/>
  <c r="F174" i="4"/>
  <c r="H173" i="4"/>
  <c r="G173" i="4"/>
  <c r="F173" i="4"/>
  <c r="H172" i="4"/>
  <c r="G172" i="4"/>
  <c r="F172" i="4"/>
  <c r="H171" i="4"/>
  <c r="G171" i="4"/>
  <c r="F171" i="4"/>
  <c r="H170" i="4"/>
  <c r="G170" i="4"/>
  <c r="F170" i="4"/>
  <c r="H169" i="4"/>
  <c r="G169" i="4"/>
  <c r="F169" i="4"/>
  <c r="H168" i="4"/>
  <c r="G168" i="4"/>
  <c r="F168" i="4"/>
  <c r="H167" i="4"/>
  <c r="G167" i="4"/>
  <c r="F167" i="4"/>
  <c r="H166" i="4"/>
  <c r="G166" i="4"/>
  <c r="F166" i="4"/>
  <c r="H165" i="4"/>
  <c r="G165" i="4"/>
  <c r="F165" i="4"/>
  <c r="H164" i="4"/>
  <c r="G164" i="4"/>
  <c r="F164" i="4"/>
  <c r="H163" i="4"/>
  <c r="G163" i="4"/>
  <c r="F163" i="4"/>
  <c r="H162" i="4"/>
  <c r="G162" i="4"/>
  <c r="F162" i="4"/>
  <c r="H161" i="4"/>
  <c r="G161" i="4"/>
  <c r="F161" i="4"/>
  <c r="H160" i="4"/>
  <c r="G160" i="4"/>
  <c r="F160" i="4"/>
  <c r="H159" i="4"/>
  <c r="G159" i="4"/>
  <c r="F159" i="4"/>
  <c r="H158" i="4"/>
  <c r="G158" i="4"/>
  <c r="F158" i="4"/>
  <c r="H157" i="4"/>
  <c r="G157" i="4"/>
  <c r="F157" i="4"/>
  <c r="H156" i="4"/>
  <c r="G156" i="4"/>
  <c r="F156" i="4"/>
  <c r="H155" i="4"/>
  <c r="G155" i="4"/>
  <c r="F155" i="4"/>
  <c r="H154" i="4"/>
  <c r="G154" i="4"/>
  <c r="F154" i="4"/>
  <c r="H153" i="4"/>
  <c r="G153" i="4"/>
  <c r="F153" i="4"/>
  <c r="H152" i="4"/>
  <c r="G152" i="4"/>
  <c r="F152" i="4"/>
  <c r="H151" i="4"/>
  <c r="G151" i="4"/>
  <c r="F151" i="4"/>
  <c r="H150" i="4"/>
  <c r="G150" i="4"/>
  <c r="F150" i="4"/>
  <c r="H149" i="4"/>
  <c r="G149" i="4"/>
  <c r="F149" i="4"/>
  <c r="H148" i="4"/>
  <c r="G148" i="4"/>
  <c r="F148" i="4"/>
  <c r="H147" i="4"/>
  <c r="G147" i="4"/>
  <c r="F147" i="4"/>
  <c r="H146" i="4"/>
  <c r="G146" i="4"/>
  <c r="F146" i="4"/>
  <c r="H145" i="4"/>
  <c r="G145" i="4"/>
  <c r="F145" i="4"/>
  <c r="H144" i="4"/>
  <c r="G144" i="4"/>
  <c r="F144" i="4"/>
  <c r="H143" i="4"/>
  <c r="G143" i="4"/>
  <c r="F143" i="4"/>
  <c r="H142" i="4"/>
  <c r="G142" i="4"/>
  <c r="F142" i="4"/>
  <c r="H141" i="4"/>
  <c r="G141" i="4"/>
  <c r="F141" i="4"/>
  <c r="H140" i="4"/>
  <c r="G140" i="4"/>
  <c r="F140" i="4"/>
  <c r="H139" i="4"/>
  <c r="G139" i="4"/>
  <c r="F139" i="4"/>
  <c r="H138" i="4"/>
  <c r="G138" i="4"/>
  <c r="F138" i="4"/>
  <c r="H137" i="4"/>
  <c r="G137" i="4"/>
  <c r="F137" i="4"/>
  <c r="H136" i="4"/>
  <c r="G136" i="4"/>
  <c r="F136" i="4"/>
  <c r="H135" i="4"/>
  <c r="G135" i="4"/>
  <c r="F135" i="4"/>
  <c r="H134" i="4"/>
  <c r="G134" i="4"/>
  <c r="F134" i="4"/>
  <c r="H133" i="4"/>
  <c r="G133" i="4"/>
  <c r="F133" i="4"/>
  <c r="H132" i="4"/>
  <c r="G132" i="4"/>
  <c r="F132" i="4"/>
  <c r="H131" i="4"/>
  <c r="G131" i="4"/>
  <c r="F131" i="4"/>
  <c r="H130" i="4"/>
  <c r="G130" i="4"/>
  <c r="F130" i="4"/>
  <c r="H129" i="4"/>
  <c r="G129" i="4"/>
  <c r="F129" i="4"/>
  <c r="H128" i="4"/>
  <c r="G128" i="4"/>
  <c r="F128" i="4"/>
  <c r="H127" i="4"/>
  <c r="G127" i="4"/>
  <c r="F127" i="4"/>
  <c r="H126" i="4"/>
  <c r="G126" i="4"/>
  <c r="F126" i="4"/>
  <c r="H125" i="4"/>
  <c r="G125" i="4"/>
  <c r="F125" i="4"/>
  <c r="H124" i="4"/>
  <c r="G124" i="4"/>
  <c r="F124" i="4"/>
  <c r="H123" i="4"/>
  <c r="G123" i="4"/>
  <c r="F123" i="4"/>
  <c r="H122" i="4"/>
  <c r="G122" i="4"/>
  <c r="F122" i="4"/>
  <c r="H121" i="4"/>
  <c r="G121" i="4"/>
  <c r="F121" i="4"/>
  <c r="H120" i="4"/>
  <c r="G120" i="4"/>
  <c r="F120" i="4"/>
  <c r="H119" i="4"/>
  <c r="G119" i="4"/>
  <c r="F119" i="4"/>
  <c r="H118" i="4"/>
  <c r="G118" i="4"/>
  <c r="F118" i="4"/>
  <c r="H117" i="4"/>
  <c r="G117" i="4"/>
  <c r="F117" i="4"/>
  <c r="H116" i="4"/>
  <c r="G116" i="4"/>
  <c r="F116" i="4"/>
  <c r="H115" i="4"/>
  <c r="G115" i="4"/>
  <c r="F115" i="4"/>
  <c r="H114" i="4"/>
  <c r="G114" i="4"/>
  <c r="F114" i="4"/>
  <c r="H113" i="4"/>
  <c r="G113" i="4"/>
  <c r="F113" i="4"/>
  <c r="H112" i="4"/>
  <c r="G112" i="4"/>
  <c r="F112" i="4"/>
  <c r="H111" i="4"/>
  <c r="G111" i="4"/>
  <c r="F111" i="4"/>
  <c r="H110" i="4"/>
  <c r="G110" i="4"/>
  <c r="F110" i="4"/>
  <c r="H109" i="4"/>
  <c r="G109" i="4"/>
  <c r="F109" i="4"/>
  <c r="H108" i="4"/>
  <c r="G108" i="4"/>
  <c r="F108" i="4"/>
  <c r="H107" i="4"/>
  <c r="G107" i="4"/>
  <c r="F107" i="4"/>
  <c r="H106" i="4"/>
  <c r="G106" i="4"/>
  <c r="F106" i="4"/>
  <c r="H105" i="4"/>
  <c r="G105" i="4"/>
  <c r="F105" i="4"/>
  <c r="H104" i="4"/>
  <c r="G104" i="4"/>
  <c r="F104" i="4"/>
  <c r="H103" i="4"/>
  <c r="G103" i="4"/>
  <c r="F103" i="4"/>
  <c r="H102" i="4"/>
  <c r="G102" i="4"/>
  <c r="F102" i="4"/>
  <c r="H101" i="4"/>
  <c r="G101" i="4"/>
  <c r="F101" i="4"/>
  <c r="H100" i="4"/>
  <c r="G100" i="4"/>
  <c r="F100" i="4"/>
  <c r="H99" i="4"/>
  <c r="G99" i="4"/>
  <c r="F99" i="4"/>
  <c r="H98" i="4"/>
  <c r="G98" i="4"/>
  <c r="F98" i="4"/>
  <c r="H97" i="4"/>
  <c r="G97" i="4"/>
  <c r="F97" i="4"/>
  <c r="H96" i="4"/>
  <c r="G96" i="4"/>
  <c r="F96" i="4"/>
  <c r="H95" i="4"/>
  <c r="G95" i="4"/>
  <c r="F95" i="4"/>
  <c r="H94" i="4"/>
  <c r="G94" i="4"/>
  <c r="F94" i="4"/>
  <c r="H93" i="4"/>
  <c r="G93" i="4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F88" i="4"/>
  <c r="H87" i="4"/>
  <c r="G87" i="4"/>
  <c r="F87" i="4"/>
  <c r="H86" i="4"/>
  <c r="G86" i="4"/>
  <c r="F86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1" i="4"/>
  <c r="G71" i="4"/>
  <c r="F71" i="4"/>
  <c r="H70" i="4"/>
  <c r="G70" i="4"/>
  <c r="F70" i="4"/>
  <c r="H69" i="4"/>
  <c r="G69" i="4"/>
  <c r="F69" i="4"/>
  <c r="H68" i="4"/>
  <c r="G68" i="4"/>
  <c r="F68" i="4"/>
  <c r="H67" i="4"/>
  <c r="G67" i="4"/>
  <c r="F67" i="4"/>
  <c r="H66" i="4"/>
  <c r="G66" i="4"/>
  <c r="F66" i="4"/>
  <c r="H65" i="4"/>
  <c r="G65" i="4"/>
  <c r="F65" i="4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H2" i="4"/>
  <c r="G2" i="4"/>
  <c r="F2" i="4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B9" i="5" s="1"/>
  <c r="I2" i="1"/>
  <c r="S2" i="1" l="1"/>
  <c r="S105" i="1"/>
  <c r="S104" i="1"/>
  <c r="S103" i="1"/>
  <c r="S97" i="1"/>
  <c r="S95" i="1"/>
  <c r="S93" i="1"/>
  <c r="S91" i="1"/>
  <c r="S89" i="1"/>
  <c r="S87" i="1"/>
  <c r="S86" i="1"/>
  <c r="S85" i="1"/>
  <c r="S82" i="1"/>
  <c r="S81" i="1"/>
  <c r="S80" i="1"/>
  <c r="S78" i="1"/>
  <c r="S75" i="1"/>
  <c r="S70" i="1"/>
  <c r="S55" i="1"/>
  <c r="S54" i="1"/>
  <c r="S53" i="1"/>
  <c r="S51" i="1"/>
  <c r="S48" i="1"/>
  <c r="S41" i="1"/>
  <c r="S38" i="1"/>
  <c r="S29" i="1"/>
  <c r="S27" i="1"/>
  <c r="S26" i="1"/>
  <c r="S24" i="1"/>
  <c r="S23" i="1"/>
  <c r="S19" i="1"/>
  <c r="S16" i="1"/>
  <c r="S14" i="1"/>
  <c r="S12" i="1"/>
  <c r="S5" i="1"/>
  <c r="S4" i="1"/>
  <c r="S111" i="1"/>
  <c r="S109" i="1"/>
  <c r="S245" i="1"/>
  <c r="S243" i="1"/>
  <c r="S239" i="1"/>
  <c r="S236" i="1"/>
  <c r="S234" i="1"/>
  <c r="S231" i="1"/>
  <c r="S230" i="1"/>
  <c r="S229" i="1"/>
  <c r="S226" i="1"/>
  <c r="S224" i="1"/>
  <c r="S221" i="1"/>
  <c r="S220" i="1"/>
  <c r="S203" i="1"/>
  <c r="S201" i="1"/>
  <c r="S200" i="1"/>
  <c r="S190" i="1"/>
  <c r="S183" i="1"/>
  <c r="S182" i="1"/>
  <c r="S180" i="1"/>
  <c r="S179" i="1"/>
  <c r="S178" i="1"/>
  <c r="S176" i="1"/>
  <c r="S172" i="1"/>
  <c r="S168" i="1"/>
  <c r="S165" i="1"/>
  <c r="S159" i="1"/>
  <c r="S154" i="1"/>
  <c r="S152" i="1"/>
  <c r="S148" i="1"/>
  <c r="S144" i="1"/>
  <c r="S135" i="1"/>
  <c r="S125" i="1"/>
  <c r="S121" i="1"/>
  <c r="S116" i="1"/>
  <c r="S377" i="1"/>
  <c r="S370" i="1"/>
  <c r="S369" i="1"/>
  <c r="S366" i="1"/>
  <c r="S364" i="1"/>
  <c r="S360" i="1"/>
  <c r="S354" i="1"/>
  <c r="S353" i="1"/>
  <c r="S349" i="1"/>
  <c r="S346" i="1"/>
  <c r="S345" i="1"/>
  <c r="S344" i="1"/>
  <c r="S343" i="1"/>
  <c r="S341" i="1"/>
  <c r="S340" i="1"/>
  <c r="S338" i="1"/>
  <c r="S322" i="1"/>
  <c r="S321" i="1"/>
  <c r="S317" i="1"/>
  <c r="S316" i="1"/>
  <c r="S315" i="1"/>
  <c r="S308" i="1"/>
  <c r="S307" i="1"/>
  <c r="S306" i="1"/>
  <c r="S302" i="1"/>
  <c r="S290" i="1"/>
  <c r="S286" i="1"/>
  <c r="S284" i="1"/>
  <c r="S282" i="1"/>
  <c r="S281" i="1"/>
  <c r="S280" i="1"/>
  <c r="S277" i="1"/>
  <c r="S276" i="1"/>
  <c r="S269" i="1"/>
  <c r="S268" i="1"/>
  <c r="S267" i="1"/>
  <c r="S266" i="1"/>
  <c r="S264" i="1"/>
  <c r="S255" i="1"/>
  <c r="S252" i="1"/>
  <c r="S251" i="1"/>
  <c r="S248" i="1"/>
  <c r="S462" i="1"/>
  <c r="S461" i="1"/>
  <c r="S459" i="1"/>
  <c r="S458" i="1"/>
  <c r="S455" i="1"/>
  <c r="S451" i="1"/>
  <c r="S446" i="1"/>
  <c r="S442" i="1"/>
  <c r="S432" i="1"/>
  <c r="S430" i="1"/>
  <c r="S427" i="1"/>
  <c r="S424" i="1"/>
  <c r="S422" i="1"/>
  <c r="S421" i="1"/>
  <c r="S414" i="1"/>
  <c r="S412" i="1"/>
  <c r="S403" i="1"/>
  <c r="S395" i="1"/>
  <c r="S392" i="1"/>
  <c r="S384" i="1"/>
  <c r="S381" i="1"/>
  <c r="S478" i="1"/>
  <c r="S475" i="1"/>
  <c r="S474" i="1"/>
  <c r="S471" i="1"/>
  <c r="S491" i="1"/>
  <c r="S490" i="1"/>
  <c r="S489" i="1"/>
  <c r="S487" i="1"/>
  <c r="S500" i="1"/>
  <c r="S499" i="1"/>
  <c r="S492" i="1"/>
  <c r="S567" i="1"/>
  <c r="S566" i="1"/>
  <c r="S564" i="1"/>
  <c r="S563" i="1"/>
  <c r="S561" i="1"/>
  <c r="S545" i="1"/>
  <c r="S544" i="1"/>
  <c r="S540" i="1"/>
  <c r="S539" i="1"/>
  <c r="S538" i="1"/>
  <c r="S531" i="1"/>
  <c r="S530" i="1"/>
  <c r="S529" i="1"/>
  <c r="S525" i="1"/>
  <c r="S513" i="1"/>
  <c r="S509" i="1"/>
  <c r="S507" i="1"/>
  <c r="S505" i="1"/>
  <c r="S504" i="1"/>
  <c r="S503" i="1"/>
  <c r="S635" i="1"/>
  <c r="S626" i="1"/>
  <c r="S618" i="1"/>
  <c r="S615" i="1"/>
  <c r="S607" i="1"/>
  <c r="S604" i="1"/>
  <c r="S600" i="1"/>
  <c r="S593" i="1"/>
  <c r="S592" i="1"/>
  <c r="S589" i="1"/>
  <c r="S587" i="1"/>
  <c r="S583" i="1"/>
  <c r="S577" i="1"/>
  <c r="S576" i="1"/>
  <c r="S572" i="1"/>
  <c r="S569" i="1"/>
  <c r="S568" i="1"/>
  <c r="S699" i="1"/>
  <c r="S697" i="1"/>
  <c r="S694" i="1"/>
  <c r="S692" i="1"/>
  <c r="S685" i="1"/>
  <c r="S684" i="1"/>
  <c r="S682" i="1"/>
  <c r="S681" i="1"/>
  <c r="S678" i="1"/>
  <c r="S674" i="1"/>
  <c r="S669" i="1"/>
  <c r="S665" i="1"/>
  <c r="S655" i="1"/>
  <c r="S653" i="1"/>
  <c r="S650" i="1"/>
  <c r="S647" i="1"/>
  <c r="S645" i="1"/>
  <c r="S644" i="1"/>
  <c r="S637" i="1"/>
  <c r="S813" i="1"/>
  <c r="S808" i="1"/>
  <c r="S806" i="1"/>
  <c r="S805" i="1"/>
  <c r="S803" i="1"/>
  <c r="S802" i="1"/>
  <c r="S801" i="1"/>
  <c r="S796" i="1"/>
  <c r="S795" i="1"/>
  <c r="S788" i="1"/>
  <c r="S775" i="1"/>
  <c r="S774" i="1"/>
  <c r="S772" i="1"/>
  <c r="S769" i="1"/>
  <c r="S756" i="1"/>
  <c r="S755" i="1"/>
  <c r="S744" i="1"/>
  <c r="S741" i="1"/>
  <c r="S739" i="1"/>
  <c r="S735" i="1"/>
  <c r="S734" i="1"/>
  <c r="S730" i="1"/>
  <c r="S729" i="1"/>
  <c r="S726" i="1"/>
  <c r="S714" i="1"/>
  <c r="S709" i="1"/>
  <c r="S706" i="1"/>
  <c r="S704" i="1"/>
  <c r="S701" i="1"/>
  <c r="S700" i="1"/>
  <c r="S998" i="1"/>
  <c r="S992" i="1"/>
  <c r="S987" i="1"/>
  <c r="S985" i="1"/>
  <c r="S984" i="1"/>
  <c r="S982" i="1"/>
  <c r="S981" i="1"/>
  <c r="S980" i="1"/>
  <c r="S979" i="1"/>
  <c r="S977" i="1"/>
  <c r="S976" i="1"/>
  <c r="S975" i="1"/>
  <c r="S973" i="1"/>
  <c r="S971" i="1"/>
  <c r="S963" i="1"/>
  <c r="S962" i="1"/>
  <c r="S960" i="1"/>
  <c r="S959" i="1"/>
  <c r="S956" i="1"/>
  <c r="S954" i="1"/>
  <c r="S949" i="1"/>
  <c r="S944" i="1"/>
  <c r="S943" i="1"/>
  <c r="S937" i="1"/>
  <c r="S933" i="1"/>
  <c r="S932" i="1"/>
  <c r="S931" i="1"/>
  <c r="S921" i="1"/>
  <c r="S917" i="1"/>
  <c r="S914" i="1"/>
  <c r="S913" i="1"/>
  <c r="S910" i="1"/>
  <c r="S908" i="1"/>
  <c r="S906" i="1"/>
  <c r="S905" i="1"/>
  <c r="S902" i="1"/>
  <c r="S898" i="1"/>
  <c r="S894" i="1"/>
  <c r="S893" i="1"/>
  <c r="S887" i="1"/>
  <c r="S886" i="1"/>
  <c r="S882" i="1"/>
  <c r="S881" i="1"/>
  <c r="S879" i="1"/>
  <c r="S876" i="1"/>
  <c r="S874" i="1"/>
  <c r="S873" i="1"/>
  <c r="S870" i="1"/>
  <c r="S869" i="1"/>
  <c r="S864" i="1"/>
  <c r="S859" i="1"/>
  <c r="S858" i="1"/>
  <c r="S846" i="1"/>
  <c r="S843" i="1"/>
  <c r="S841" i="1"/>
  <c r="S839" i="1"/>
  <c r="S838" i="1"/>
  <c r="S837" i="1"/>
  <c r="S830" i="1"/>
  <c r="S829" i="1"/>
  <c r="S827" i="1"/>
  <c r="S818" i="1"/>
  <c r="B7" i="6"/>
</calcChain>
</file>

<file path=xl/sharedStrings.xml><?xml version="1.0" encoding="utf-8"?>
<sst xmlns="http://schemas.openxmlformats.org/spreadsheetml/2006/main" count="21300" uniqueCount="3995">
  <si>
    <t>ID_Cliente</t>
  </si>
  <si>
    <t>Nome_Cliente</t>
  </si>
  <si>
    <t>Cidade</t>
  </si>
  <si>
    <t>UF</t>
  </si>
  <si>
    <t>Idade</t>
  </si>
  <si>
    <t>Segmento</t>
  </si>
  <si>
    <t>Canal_Aquisicao</t>
  </si>
  <si>
    <t>Plano_ID</t>
  </si>
  <si>
    <t>Nome_Plano_PROCX</t>
  </si>
  <si>
    <t>Valor_Plano_PROCV</t>
  </si>
  <si>
    <t>Data_Entrada</t>
  </si>
  <si>
    <t>Mes_Entrada</t>
  </si>
  <si>
    <t>Status</t>
  </si>
  <si>
    <t>Data_Cancelamento</t>
  </si>
  <si>
    <t>Tempo_Cliente_Dias</t>
  </si>
  <si>
    <t>Faixa_Tempo_Cliente</t>
  </si>
  <si>
    <t>Churn</t>
  </si>
  <si>
    <t>NPS</t>
  </si>
  <si>
    <t>Receita_Perdida</t>
  </si>
  <si>
    <t>Classificacao_NPS</t>
  </si>
  <si>
    <t>Risco_Churn</t>
  </si>
  <si>
    <t>Atrasos_Pagamento</t>
  </si>
  <si>
    <t>Uso_30d</t>
  </si>
  <si>
    <t>Mensalidade_Paga</t>
  </si>
  <si>
    <t>Tempo_Cliente_Meses</t>
  </si>
  <si>
    <t>Risco_Churn2</t>
  </si>
  <si>
    <t>C0001</t>
  </si>
  <si>
    <t>Valentina Souza</t>
  </si>
  <si>
    <t>São Paulo</t>
  </si>
  <si>
    <t>SP</t>
  </si>
  <si>
    <t>Pessoa Física</t>
  </si>
  <si>
    <t>LinkedIn</t>
  </si>
  <si>
    <t>P001</t>
  </si>
  <si>
    <t>2023-07</t>
  </si>
  <si>
    <t>Cancelado</t>
  </si>
  <si>
    <t>Médio</t>
  </si>
  <si>
    <t>C0002</t>
  </si>
  <si>
    <t>Thiago Silva</t>
  </si>
  <si>
    <t>Goiânia</t>
  </si>
  <si>
    <t>GO</t>
  </si>
  <si>
    <t>Pequena Empresa</t>
  </si>
  <si>
    <t>Parceiro</t>
  </si>
  <si>
    <t>P002</t>
  </si>
  <si>
    <t>2026-04</t>
  </si>
  <si>
    <t>Ativo</t>
  </si>
  <si>
    <t>Alto</t>
  </si>
  <si>
    <t>C0003</t>
  </si>
  <si>
    <t>Eduarda Costa</t>
  </si>
  <si>
    <t>Santo André</t>
  </si>
  <si>
    <t>2024-12</t>
  </si>
  <si>
    <t>Baixo</t>
  </si>
  <si>
    <t>C0004</t>
  </si>
  <si>
    <t>João Nascimento</t>
  </si>
  <si>
    <t>Guarulhos</t>
  </si>
  <si>
    <t>MEI</t>
  </si>
  <si>
    <t>Instagram</t>
  </si>
  <si>
    <t>2024-04</t>
  </si>
  <si>
    <t>C0005</t>
  </si>
  <si>
    <t>Lucas Martins</t>
  </si>
  <si>
    <t>Curitiba</t>
  </si>
  <si>
    <t>PR</t>
  </si>
  <si>
    <t>P004</t>
  </si>
  <si>
    <t>2023-12</t>
  </si>
  <si>
    <t>C0006</t>
  </si>
  <si>
    <t>Rafael Ferreira</t>
  </si>
  <si>
    <t>Osasco</t>
  </si>
  <si>
    <t>Média Empresa</t>
  </si>
  <si>
    <t>Google Ads</t>
  </si>
  <si>
    <t>2023-03</t>
  </si>
  <si>
    <t>C0007</t>
  </si>
  <si>
    <t>Gabriela Barbosa</t>
  </si>
  <si>
    <t>Salvador</t>
  </si>
  <si>
    <t>BA</t>
  </si>
  <si>
    <t>Orgânico</t>
  </si>
  <si>
    <t>2026-02</t>
  </si>
  <si>
    <t>C0008</t>
  </si>
  <si>
    <t>Eduarda Rocha</t>
  </si>
  <si>
    <t>Fortaleza</t>
  </si>
  <si>
    <t>CE</t>
  </si>
  <si>
    <t>2023-11</t>
  </si>
  <si>
    <t>C0009</t>
  </si>
  <si>
    <t>Rafael Silva</t>
  </si>
  <si>
    <t>P005</t>
  </si>
  <si>
    <t>2024-11</t>
  </si>
  <si>
    <t>C0010</t>
  </si>
  <si>
    <t>Queila Lima</t>
  </si>
  <si>
    <t>P006</t>
  </si>
  <si>
    <t>2025-11</t>
  </si>
  <si>
    <t>C0011</t>
  </si>
  <si>
    <t>Gustavo Silva</t>
  </si>
  <si>
    <t>Campinas</t>
  </si>
  <si>
    <t>2024-09</t>
  </si>
  <si>
    <t>C0012</t>
  </si>
  <si>
    <t>Rafael Pereira</t>
  </si>
  <si>
    <t>Belo Horizonte</t>
  </si>
  <si>
    <t>MG</t>
  </si>
  <si>
    <t>Indicação</t>
  </si>
  <si>
    <t>2025-05</t>
  </si>
  <si>
    <t>C0013</t>
  </si>
  <si>
    <t>Wesley Martins</t>
  </si>
  <si>
    <t>C0014</t>
  </si>
  <si>
    <t>Enzo Ribeiro</t>
  </si>
  <si>
    <t>Rio de Janeiro</t>
  </si>
  <si>
    <t>RJ</t>
  </si>
  <si>
    <t>E-mail marketing</t>
  </si>
  <si>
    <t>2023-09</t>
  </si>
  <si>
    <t>C0015</t>
  </si>
  <si>
    <t>Wesley Araújo</t>
  </si>
  <si>
    <t>Recife</t>
  </si>
  <si>
    <t>PE</t>
  </si>
  <si>
    <t>C0016</t>
  </si>
  <si>
    <t>Felipe Almeida</t>
  </si>
  <si>
    <t>P003</t>
  </si>
  <si>
    <t>C0017</t>
  </si>
  <si>
    <t>Enzo Ferreira</t>
  </si>
  <si>
    <t>2023-05</t>
  </si>
  <si>
    <t>C0018</t>
  </si>
  <si>
    <t>Nicolas Dias</t>
  </si>
  <si>
    <t>2023-04</t>
  </si>
  <si>
    <t>C0019</t>
  </si>
  <si>
    <t>Queila Oliveira</t>
  </si>
  <si>
    <t>C0020</t>
  </si>
  <si>
    <t>Nicolas Teixeira</t>
  </si>
  <si>
    <t>2024-10</t>
  </si>
  <si>
    <t>C0021</t>
  </si>
  <si>
    <t>Gustavo Oliveira</t>
  </si>
  <si>
    <t>2024-03</t>
  </si>
  <si>
    <t>C0022</t>
  </si>
  <si>
    <t>Felipe Melo</t>
  </si>
  <si>
    <t>C0023</t>
  </si>
  <si>
    <t>2024-05</t>
  </si>
  <si>
    <t>C0024</t>
  </si>
  <si>
    <t>Zeca Melo</t>
  </si>
  <si>
    <t>C0025</t>
  </si>
  <si>
    <t>Lucas Santos</t>
  </si>
  <si>
    <t>C0026</t>
  </si>
  <si>
    <t>Ana Lima</t>
  </si>
  <si>
    <t>Barueri</t>
  </si>
  <si>
    <t>C0027</t>
  </si>
  <si>
    <t>Olívia Martins</t>
  </si>
  <si>
    <t>Porto Alegre</t>
  </si>
  <si>
    <t>RS</t>
  </si>
  <si>
    <t>2024-07</t>
  </si>
  <si>
    <t>C0028</t>
  </si>
  <si>
    <t>Rafael Ribeiro</t>
  </si>
  <si>
    <t>2024-06</t>
  </si>
  <si>
    <t>C0029</t>
  </si>
  <si>
    <t>Fernanda Teixeira</t>
  </si>
  <si>
    <t>2026-01</t>
  </si>
  <si>
    <t>C0030</t>
  </si>
  <si>
    <t>Wesley Ribeiro</t>
  </si>
  <si>
    <t>C0031</t>
  </si>
  <si>
    <t>Nicolas Carvalho</t>
  </si>
  <si>
    <t>2023-01</t>
  </si>
  <si>
    <t>C0032</t>
  </si>
  <si>
    <t>Olívia Costa</t>
  </si>
  <si>
    <t>2024-08</t>
  </si>
  <si>
    <t>C0033</t>
  </si>
  <si>
    <t>João Ferreira</t>
  </si>
  <si>
    <t>2025-08</t>
  </si>
  <si>
    <t>C0034</t>
  </si>
  <si>
    <t>Yasmin Carvalho</t>
  </si>
  <si>
    <t>2023-08</t>
  </si>
  <si>
    <t>C0035</t>
  </si>
  <si>
    <t>Gustavo Souza</t>
  </si>
  <si>
    <t>YouTube</t>
  </si>
  <si>
    <t>P007</t>
  </si>
  <si>
    <t>2025-06</t>
  </si>
  <si>
    <t>C0036</t>
  </si>
  <si>
    <t>Felipe Barbosa</t>
  </si>
  <si>
    <t>2025-12</t>
  </si>
  <si>
    <t>C0037</t>
  </si>
  <si>
    <t>Karina Dias</t>
  </si>
  <si>
    <t>C0038</t>
  </si>
  <si>
    <t>Yasmin Silva</t>
  </si>
  <si>
    <t>C0039</t>
  </si>
  <si>
    <t>Thiago Ferreira</t>
  </si>
  <si>
    <t>C0040</t>
  </si>
  <si>
    <t>Thiago Dias</t>
  </si>
  <si>
    <t>C0041</t>
  </si>
  <si>
    <t>Marina Almeida</t>
  </si>
  <si>
    <t>C0042</t>
  </si>
  <si>
    <t>Bianca Silva</t>
  </si>
  <si>
    <t>C0043</t>
  </si>
  <si>
    <t>Thiago Nascimento</t>
  </si>
  <si>
    <t>C0044</t>
  </si>
  <si>
    <t>Yasmin Costa</t>
  </si>
  <si>
    <t>C0045</t>
  </si>
  <si>
    <t>Nicolas Martins</t>
  </si>
  <si>
    <t>2025-09</t>
  </si>
  <si>
    <t>C0046</t>
  </si>
  <si>
    <t>Felipe Rocha</t>
  </si>
  <si>
    <t>C0047</t>
  </si>
  <si>
    <t>Olívia Teixeira</t>
  </si>
  <si>
    <t>C0048</t>
  </si>
  <si>
    <t>Gabriela Oliveira</t>
  </si>
  <si>
    <t>2025-10</t>
  </si>
  <si>
    <t>C0049</t>
  </si>
  <si>
    <t>Sofia Martins</t>
  </si>
  <si>
    <t>C0050</t>
  </si>
  <si>
    <t>Karina Souza</t>
  </si>
  <si>
    <t>Enterprise</t>
  </si>
  <si>
    <t>C0051</t>
  </si>
  <si>
    <t>Lucas Lima</t>
  </si>
  <si>
    <t>C0052</t>
  </si>
  <si>
    <t>Ana Teixeira</t>
  </si>
  <si>
    <t>C0053</t>
  </si>
  <si>
    <t>Eduarda Pereira</t>
  </si>
  <si>
    <t>C0054</t>
  </si>
  <si>
    <t>João Teixeira</t>
  </si>
  <si>
    <t>C0055</t>
  </si>
  <si>
    <t>Olívia Nascimento</t>
  </si>
  <si>
    <t>2025-07</t>
  </si>
  <si>
    <t>C0056</t>
  </si>
  <si>
    <t>Gustavo Costa</t>
  </si>
  <si>
    <t>2023-10</t>
  </si>
  <si>
    <t>C0057</t>
  </si>
  <si>
    <t>Olívia Souza</t>
  </si>
  <si>
    <t>C0058</t>
  </si>
  <si>
    <t>Isabela Silva</t>
  </si>
  <si>
    <t>C0059</t>
  </si>
  <si>
    <t>Felipe Teixeira</t>
  </si>
  <si>
    <t>2025-04</t>
  </si>
  <si>
    <t>C0060</t>
  </si>
  <si>
    <t>Wesley Carvalho</t>
  </si>
  <si>
    <t>C0061</t>
  </si>
  <si>
    <t>Rafael Melo</t>
  </si>
  <si>
    <t>C0062</t>
  </si>
  <si>
    <t>Fernanda Barbosa</t>
  </si>
  <si>
    <t>C0063</t>
  </si>
  <si>
    <t>Diego Pereira</t>
  </si>
  <si>
    <t>C0064</t>
  </si>
  <si>
    <t>Fernanda Pereira</t>
  </si>
  <si>
    <t>C0065</t>
  </si>
  <si>
    <t>Pedro Pereira</t>
  </si>
  <si>
    <t>C0066</t>
  </si>
  <si>
    <t>Henrique Araújo</t>
  </si>
  <si>
    <t>C0067</t>
  </si>
  <si>
    <t>Enzo Melo</t>
  </si>
  <si>
    <t>C0068</t>
  </si>
  <si>
    <t>Marina Oliveira</t>
  </si>
  <si>
    <t>C0069</t>
  </si>
  <si>
    <t>Zeca Oliveira</t>
  </si>
  <si>
    <t>C0070</t>
  </si>
  <si>
    <t>Wesley Lima</t>
  </si>
  <si>
    <t>C0071</t>
  </si>
  <si>
    <t>Ana Melo</t>
  </si>
  <si>
    <t>C0072</t>
  </si>
  <si>
    <t>Marina Barbosa</t>
  </si>
  <si>
    <t>C0073</t>
  </si>
  <si>
    <t>Zeca Santos</t>
  </si>
  <si>
    <t>C0074</t>
  </si>
  <si>
    <t>Bianca Pereira</t>
  </si>
  <si>
    <t>C0075</t>
  </si>
  <si>
    <t>Rafael Martins</t>
  </si>
  <si>
    <t>C0076</t>
  </si>
  <si>
    <t>Henrique Carvalho</t>
  </si>
  <si>
    <t>C0077</t>
  </si>
  <si>
    <t>Lucas Souza</t>
  </si>
  <si>
    <t>C0078</t>
  </si>
  <si>
    <t>Bruno Gomes</t>
  </si>
  <si>
    <t>2025-01</t>
  </si>
  <si>
    <t>C0079</t>
  </si>
  <si>
    <t>Fernanda Araújo</t>
  </si>
  <si>
    <t>C0080</t>
  </si>
  <si>
    <t>C0081</t>
  </si>
  <si>
    <t>Sofia Costa</t>
  </si>
  <si>
    <t>C0082</t>
  </si>
  <si>
    <t>Caio Lima</t>
  </si>
  <si>
    <t>C0083</t>
  </si>
  <si>
    <t>C0084</t>
  </si>
  <si>
    <t>Ana Santos</t>
  </si>
  <si>
    <t>C0085</t>
  </si>
  <si>
    <t>Thiago Rocha</t>
  </si>
  <si>
    <t>C0086</t>
  </si>
  <si>
    <t>Daniela Melo</t>
  </si>
  <si>
    <t>C0087</t>
  </si>
  <si>
    <t>Zeca Martins</t>
  </si>
  <si>
    <t>C0088</t>
  </si>
  <si>
    <t>C0089</t>
  </si>
  <si>
    <t>Enzo Dias</t>
  </si>
  <si>
    <t>C0090</t>
  </si>
  <si>
    <t>Enzo Pereira</t>
  </si>
  <si>
    <t>C0091</t>
  </si>
  <si>
    <t>Sofia Nascimento</t>
  </si>
  <si>
    <t>C0092</t>
  </si>
  <si>
    <t>Diego Martins</t>
  </si>
  <si>
    <t>C0093</t>
  </si>
  <si>
    <t>João Ribeiro</t>
  </si>
  <si>
    <t>2025-02</t>
  </si>
  <si>
    <t>C0094</t>
  </si>
  <si>
    <t>Enzo Santos</t>
  </si>
  <si>
    <t>2026-03</t>
  </si>
  <si>
    <t>C0095</t>
  </si>
  <si>
    <t>Thiago Melo</t>
  </si>
  <si>
    <t>C0096</t>
  </si>
  <si>
    <t>Henrique Ribeiro</t>
  </si>
  <si>
    <t>2024-02</t>
  </si>
  <si>
    <t>C0097</t>
  </si>
  <si>
    <t>Felipe Nascimento</t>
  </si>
  <si>
    <t>C0098</t>
  </si>
  <si>
    <t>C0099</t>
  </si>
  <si>
    <t>Daniela Gomes</t>
  </si>
  <si>
    <t>C0100</t>
  </si>
  <si>
    <t>Caio Teixeira</t>
  </si>
  <si>
    <t>C0101</t>
  </si>
  <si>
    <t>Felipe Santos</t>
  </si>
  <si>
    <t>C0102</t>
  </si>
  <si>
    <t>Caio Ribeiro</t>
  </si>
  <si>
    <t>C0103</t>
  </si>
  <si>
    <t>Yasmin Oliveira</t>
  </si>
  <si>
    <t>C0104</t>
  </si>
  <si>
    <t>Bianca Barbosa</t>
  </si>
  <si>
    <t>C0105</t>
  </si>
  <si>
    <t>Thiago Carvalho</t>
  </si>
  <si>
    <t>C0106</t>
  </si>
  <si>
    <t>Caio Melo</t>
  </si>
  <si>
    <t>C0107</t>
  </si>
  <si>
    <t>Queila Rocha</t>
  </si>
  <si>
    <t>C0108</t>
  </si>
  <si>
    <t>Diego Gomes</t>
  </si>
  <si>
    <t>C0109</t>
  </si>
  <si>
    <t>Carla Martins</t>
  </si>
  <si>
    <t>C0110</t>
  </si>
  <si>
    <t>Yasmin Barbosa</t>
  </si>
  <si>
    <t>C0111</t>
  </si>
  <si>
    <t>C0112</t>
  </si>
  <si>
    <t>Ana Nascimento</t>
  </si>
  <si>
    <t>2023-06</t>
  </si>
  <si>
    <t>C0113</t>
  </si>
  <si>
    <t>C0114</t>
  </si>
  <si>
    <t>Sofia Ribeiro</t>
  </si>
  <si>
    <t>C0115</t>
  </si>
  <si>
    <t>Bianca Melo</t>
  </si>
  <si>
    <t>C0116</t>
  </si>
  <si>
    <t>Bruno Ribeiro</t>
  </si>
  <si>
    <t>C0117</t>
  </si>
  <si>
    <t>Isabela Oliveira</t>
  </si>
  <si>
    <t>C0118</t>
  </si>
  <si>
    <t>Yasmin Melo</t>
  </si>
  <si>
    <t>C0119</t>
  </si>
  <si>
    <t>C0120</t>
  </si>
  <si>
    <t>Wesley Melo</t>
  </si>
  <si>
    <t>C0121</t>
  </si>
  <si>
    <t>Gustavo Dias</t>
  </si>
  <si>
    <t>C0122</t>
  </si>
  <si>
    <t>Carla Ribeiro</t>
  </si>
  <si>
    <t>C0123</t>
  </si>
  <si>
    <t>Henrique Barbosa</t>
  </si>
  <si>
    <t>C0124</t>
  </si>
  <si>
    <t>Queila Araújo</t>
  </si>
  <si>
    <t>C0125</t>
  </si>
  <si>
    <t>Gustavo Santos</t>
  </si>
  <si>
    <t>C0126</t>
  </si>
  <si>
    <t>Valentina Dias</t>
  </si>
  <si>
    <t>C0127</t>
  </si>
  <si>
    <t>Daniela Teixeira</t>
  </si>
  <si>
    <t>C0128</t>
  </si>
  <si>
    <t>João Barbosa</t>
  </si>
  <si>
    <t>C0129</t>
  </si>
  <si>
    <t>Yasmin Ribeiro</t>
  </si>
  <si>
    <t>C0130</t>
  </si>
  <si>
    <t>C0131</t>
  </si>
  <si>
    <t>Pedro Silva</t>
  </si>
  <si>
    <t>C0132</t>
  </si>
  <si>
    <t>C0133</t>
  </si>
  <si>
    <t>Marina Rocha</t>
  </si>
  <si>
    <t>C0134</t>
  </si>
  <si>
    <t>C0135</t>
  </si>
  <si>
    <t>Thiago Gomes</t>
  </si>
  <si>
    <t>C0136</t>
  </si>
  <si>
    <t>Caio Silva</t>
  </si>
  <si>
    <t>C0137</t>
  </si>
  <si>
    <t>Wesley Ferreira</t>
  </si>
  <si>
    <t>C0138</t>
  </si>
  <si>
    <t>Pedro Santos</t>
  </si>
  <si>
    <t>C0139</t>
  </si>
  <si>
    <t>Wesley Almeida</t>
  </si>
  <si>
    <t>C0140</t>
  </si>
  <si>
    <t>Pedro Ribeiro</t>
  </si>
  <si>
    <t>C0141</t>
  </si>
  <si>
    <t>Eduarda Gomes</t>
  </si>
  <si>
    <t>C0142</t>
  </si>
  <si>
    <t>Yasmin Almeida</t>
  </si>
  <si>
    <t>C0143</t>
  </si>
  <si>
    <t>C0144</t>
  </si>
  <si>
    <t>Sofia Ferreira</t>
  </si>
  <si>
    <t>C0145</t>
  </si>
  <si>
    <t>Pedro Lima</t>
  </si>
  <si>
    <t>C0146</t>
  </si>
  <si>
    <t>Enzo Rocha</t>
  </si>
  <si>
    <t>C0147</t>
  </si>
  <si>
    <t>Bianca Costa</t>
  </si>
  <si>
    <t>C0148</t>
  </si>
  <si>
    <t>Marina Ferreira</t>
  </si>
  <si>
    <t>C0149</t>
  </si>
  <si>
    <t>Felipe Carvalho</t>
  </si>
  <si>
    <t>C0150</t>
  </si>
  <si>
    <t>Thiago Martins</t>
  </si>
  <si>
    <t>C0151</t>
  </si>
  <si>
    <t>Lucas Oliveira</t>
  </si>
  <si>
    <t>C0152</t>
  </si>
  <si>
    <t>Olívia Santos</t>
  </si>
  <si>
    <t>C0153</t>
  </si>
  <si>
    <t>Gabriela Teixeira</t>
  </si>
  <si>
    <t>C0154</t>
  </si>
  <si>
    <t>Valentina Araújo</t>
  </si>
  <si>
    <t>C0155</t>
  </si>
  <si>
    <t>Zeca Ferreira</t>
  </si>
  <si>
    <t>C0156</t>
  </si>
  <si>
    <t>C0157</t>
  </si>
  <si>
    <t>Bruno Carvalho</t>
  </si>
  <si>
    <t>C0158</t>
  </si>
  <si>
    <t>Karina Ferreira</t>
  </si>
  <si>
    <t>C0159</t>
  </si>
  <si>
    <t>Lucas Carvalho</t>
  </si>
  <si>
    <t>C0160</t>
  </si>
  <si>
    <t>Eduarda Melo</t>
  </si>
  <si>
    <t>C0161</t>
  </si>
  <si>
    <t>Carla Dias</t>
  </si>
  <si>
    <t>C0162</t>
  </si>
  <si>
    <t>C0163</t>
  </si>
  <si>
    <t>Karina Gomes</t>
  </si>
  <si>
    <t>C0164</t>
  </si>
  <si>
    <t>Karina Costa</t>
  </si>
  <si>
    <t>2023-02</t>
  </si>
  <si>
    <t>C0165</t>
  </si>
  <si>
    <t>Daniela Ferreira</t>
  </si>
  <si>
    <t>C0166</t>
  </si>
  <si>
    <t>Rafael Barbosa</t>
  </si>
  <si>
    <t>C0167</t>
  </si>
  <si>
    <t>Eduarda Silva</t>
  </si>
  <si>
    <t>C0168</t>
  </si>
  <si>
    <t>João Silva</t>
  </si>
  <si>
    <t>C0169</t>
  </si>
  <si>
    <t>C0170</t>
  </si>
  <si>
    <t>Carla Carvalho</t>
  </si>
  <si>
    <t>C0171</t>
  </si>
  <si>
    <t>Diego Rocha</t>
  </si>
  <si>
    <t>C0172</t>
  </si>
  <si>
    <t>Sofia Pereira</t>
  </si>
  <si>
    <t>C0173</t>
  </si>
  <si>
    <t>Zeca Pereira</t>
  </si>
  <si>
    <t>C0174</t>
  </si>
  <si>
    <t>Bianca Ribeiro</t>
  </si>
  <si>
    <t>C0175</t>
  </si>
  <si>
    <t>C0176</t>
  </si>
  <si>
    <t>Isabela Souza</t>
  </si>
  <si>
    <t>C0177</t>
  </si>
  <si>
    <t>Enzo Carvalho</t>
  </si>
  <si>
    <t>C0178</t>
  </si>
  <si>
    <t>Felipe Araújo</t>
  </si>
  <si>
    <t>C0179</t>
  </si>
  <si>
    <t>C0180</t>
  </si>
  <si>
    <t>2025-03</t>
  </si>
  <si>
    <t>C0181</t>
  </si>
  <si>
    <t>C0182</t>
  </si>
  <si>
    <t>Yasmin Araújo</t>
  </si>
  <si>
    <t>C0183</t>
  </si>
  <si>
    <t>Henrique Martins</t>
  </si>
  <si>
    <t>C0184</t>
  </si>
  <si>
    <t>Yasmin Teixeira</t>
  </si>
  <si>
    <t>C0185</t>
  </si>
  <si>
    <t>Carla Souza</t>
  </si>
  <si>
    <t>C0186</t>
  </si>
  <si>
    <t>João Santos</t>
  </si>
  <si>
    <t>C0187</t>
  </si>
  <si>
    <t>Caio Carvalho</t>
  </si>
  <si>
    <t>C0188</t>
  </si>
  <si>
    <t>Caio Oliveira</t>
  </si>
  <si>
    <t>C0189</t>
  </si>
  <si>
    <t>Marina Nascimento</t>
  </si>
  <si>
    <t>C0190</t>
  </si>
  <si>
    <t>João Souza</t>
  </si>
  <si>
    <t>C0191</t>
  </si>
  <si>
    <t>Felipe Dias</t>
  </si>
  <si>
    <t>C0192</t>
  </si>
  <si>
    <t>Rafael Rocha</t>
  </si>
  <si>
    <t>C0193</t>
  </si>
  <si>
    <t>Henrique Dias</t>
  </si>
  <si>
    <t>C0194</t>
  </si>
  <si>
    <t>Bruno Melo</t>
  </si>
  <si>
    <t>C0195</t>
  </si>
  <si>
    <t>Enzo Souza</t>
  </si>
  <si>
    <t>C0196</t>
  </si>
  <si>
    <t>Rafael Almeida</t>
  </si>
  <si>
    <t>C0197</t>
  </si>
  <si>
    <t>C0198</t>
  </si>
  <si>
    <t>C0199</t>
  </si>
  <si>
    <t>Carla Melo</t>
  </si>
  <si>
    <t>C0200</t>
  </si>
  <si>
    <t>Sofia Barbosa</t>
  </si>
  <si>
    <t>C0201</t>
  </si>
  <si>
    <t>C0202</t>
  </si>
  <si>
    <t>C0203</t>
  </si>
  <si>
    <t>Nicolas Pereira</t>
  </si>
  <si>
    <t>C0204</t>
  </si>
  <si>
    <t>C0205</t>
  </si>
  <si>
    <t>Fernanda Souza</t>
  </si>
  <si>
    <t>C0206</t>
  </si>
  <si>
    <t>Zeca Nascimento</t>
  </si>
  <si>
    <t>C0207</t>
  </si>
  <si>
    <t>Pedro Carvalho</t>
  </si>
  <si>
    <t>C0208</t>
  </si>
  <si>
    <t>C0209</t>
  </si>
  <si>
    <t>Valentina Rocha</t>
  </si>
  <si>
    <t>C0210</t>
  </si>
  <si>
    <t>Caio Pereira</t>
  </si>
  <si>
    <t>C0211</t>
  </si>
  <si>
    <t>João Lima</t>
  </si>
  <si>
    <t>C0212</t>
  </si>
  <si>
    <t>Enzo Almeida</t>
  </si>
  <si>
    <t>C0213</t>
  </si>
  <si>
    <t>Queila Martins</t>
  </si>
  <si>
    <t>C0214</t>
  </si>
  <si>
    <t>Enzo Silva</t>
  </si>
  <si>
    <t>2024-01</t>
  </si>
  <si>
    <t>C0215</t>
  </si>
  <si>
    <t>Nicolas Ribeiro</t>
  </si>
  <si>
    <t>C0216</t>
  </si>
  <si>
    <t>Enzo Gomes</t>
  </si>
  <si>
    <t>C0217</t>
  </si>
  <si>
    <t>Pedro Costa</t>
  </si>
  <si>
    <t>C0218</t>
  </si>
  <si>
    <t>Ana Carvalho</t>
  </si>
  <si>
    <t>C0219</t>
  </si>
  <si>
    <t>Gustavo Ferreira</t>
  </si>
  <si>
    <t>C0220</t>
  </si>
  <si>
    <t>Eduarda Ferreira</t>
  </si>
  <si>
    <t>C0221</t>
  </si>
  <si>
    <t>Olívia Melo</t>
  </si>
  <si>
    <t>C0222</t>
  </si>
  <si>
    <t>Daniela Nascimento</t>
  </si>
  <si>
    <t>C0223</t>
  </si>
  <si>
    <t>Marina Melo</t>
  </si>
  <si>
    <t>C0224</t>
  </si>
  <si>
    <t>Valentina Oliveira</t>
  </si>
  <si>
    <t>C0225</t>
  </si>
  <si>
    <t>C0226</t>
  </si>
  <si>
    <t>C0227</t>
  </si>
  <si>
    <t>C0228</t>
  </si>
  <si>
    <t>Felipe Silva</t>
  </si>
  <si>
    <t>C0229</t>
  </si>
  <si>
    <t>Daniela Santos</t>
  </si>
  <si>
    <t>C0230</t>
  </si>
  <si>
    <t>Sofia Teixeira</t>
  </si>
  <si>
    <t>C0231</t>
  </si>
  <si>
    <t>Thiago Costa</t>
  </si>
  <si>
    <t>C0232</t>
  </si>
  <si>
    <t>Enzo Martins</t>
  </si>
  <si>
    <t>C0233</t>
  </si>
  <si>
    <t>C0234</t>
  </si>
  <si>
    <t>Marina Teixeira</t>
  </si>
  <si>
    <t>C0235</t>
  </si>
  <si>
    <t>Fernanda Oliveira</t>
  </si>
  <si>
    <t>C0236</t>
  </si>
  <si>
    <t>Nicolas Lima</t>
  </si>
  <si>
    <t>C0237</t>
  </si>
  <si>
    <t>Caio Santos</t>
  </si>
  <si>
    <t>C0238</t>
  </si>
  <si>
    <t>Thiago Barbosa</t>
  </si>
  <si>
    <t>C0239</t>
  </si>
  <si>
    <t>Isabela Gomes</t>
  </si>
  <si>
    <t>C0240</t>
  </si>
  <si>
    <t>C0241</t>
  </si>
  <si>
    <t>Rafael Carvalho</t>
  </si>
  <si>
    <t>C0242</t>
  </si>
  <si>
    <t>Yasmin Souza</t>
  </si>
  <si>
    <t>C0243</t>
  </si>
  <si>
    <t>C0244</t>
  </si>
  <si>
    <t>Felipe Costa</t>
  </si>
  <si>
    <t>C0245</t>
  </si>
  <si>
    <t>C0246</t>
  </si>
  <si>
    <t>Diego Souza</t>
  </si>
  <si>
    <t>C0247</t>
  </si>
  <si>
    <t>C0248</t>
  </si>
  <si>
    <t>Isabela Barbosa</t>
  </si>
  <si>
    <t>C0249</t>
  </si>
  <si>
    <t>Daniela Araújo</t>
  </si>
  <si>
    <t>C0250</t>
  </si>
  <si>
    <t>Sofia Silva</t>
  </si>
  <si>
    <t>C0251</t>
  </si>
  <si>
    <t>Diego Silva</t>
  </si>
  <si>
    <t>C0252</t>
  </si>
  <si>
    <t>Marina Santos</t>
  </si>
  <si>
    <t>C0253</t>
  </si>
  <si>
    <t>Wesley Silva</t>
  </si>
  <si>
    <t>C0254</t>
  </si>
  <si>
    <t>João Rocha</t>
  </si>
  <si>
    <t>C0255</t>
  </si>
  <si>
    <t>Valentina Ribeiro</t>
  </si>
  <si>
    <t>C0256</t>
  </si>
  <si>
    <t>Wesley Pereira</t>
  </si>
  <si>
    <t>C0257</t>
  </si>
  <si>
    <t>C0258</t>
  </si>
  <si>
    <t>C0259</t>
  </si>
  <si>
    <t>Karina Martins</t>
  </si>
  <si>
    <t>C0260</t>
  </si>
  <si>
    <t>C0261</t>
  </si>
  <si>
    <t>Yasmin Lima</t>
  </si>
  <si>
    <t>C0262</t>
  </si>
  <si>
    <t>C0263</t>
  </si>
  <si>
    <t>Bianca Rocha</t>
  </si>
  <si>
    <t>C0264</t>
  </si>
  <si>
    <t>Olívia Rocha</t>
  </si>
  <si>
    <t>C0265</t>
  </si>
  <si>
    <t>Henrique Pereira</t>
  </si>
  <si>
    <t>C0266</t>
  </si>
  <si>
    <t>C0267</t>
  </si>
  <si>
    <t>Isabela Nascimento</t>
  </si>
  <si>
    <t>C0268</t>
  </si>
  <si>
    <t>Lucas Araújo</t>
  </si>
  <si>
    <t>C0269</t>
  </si>
  <si>
    <t>Carla Rocha</t>
  </si>
  <si>
    <t>C0270</t>
  </si>
  <si>
    <t>Lucas Ribeiro</t>
  </si>
  <si>
    <t>C0271</t>
  </si>
  <si>
    <t>C0272</t>
  </si>
  <si>
    <t>Felipe Souza</t>
  </si>
  <si>
    <t>C0273</t>
  </si>
  <si>
    <t>Ana Pereira</t>
  </si>
  <si>
    <t>C0274</t>
  </si>
  <si>
    <t>Zeca Teixeira</t>
  </si>
  <si>
    <t>C0275</t>
  </si>
  <si>
    <t>Thiago Santos</t>
  </si>
  <si>
    <t>C0276</t>
  </si>
  <si>
    <t>C0277</t>
  </si>
  <si>
    <t>C0278</t>
  </si>
  <si>
    <t>C0279</t>
  </si>
  <si>
    <t>Caio Gomes</t>
  </si>
  <si>
    <t>C0280</t>
  </si>
  <si>
    <t>Gustavo Carvalho</t>
  </si>
  <si>
    <t>C0281</t>
  </si>
  <si>
    <t>Sofia Rocha</t>
  </si>
  <si>
    <t>C0282</t>
  </si>
  <si>
    <t>Eduarda Souza</t>
  </si>
  <si>
    <t>C0283</t>
  </si>
  <si>
    <t>João Melo</t>
  </si>
  <si>
    <t>C0284</t>
  </si>
  <si>
    <t>Gustavo Pereira</t>
  </si>
  <si>
    <t>C0285</t>
  </si>
  <si>
    <t>Wesley Dias</t>
  </si>
  <si>
    <t>C0286</t>
  </si>
  <si>
    <t>C0287</t>
  </si>
  <si>
    <t>C0288</t>
  </si>
  <si>
    <t>C0289</t>
  </si>
  <si>
    <t>Diego Carvalho</t>
  </si>
  <si>
    <t>C0290</t>
  </si>
  <si>
    <t>Valentina Nascimento</t>
  </si>
  <si>
    <t>C0291</t>
  </si>
  <si>
    <t>C0292</t>
  </si>
  <si>
    <t>C0293</t>
  </si>
  <si>
    <t>Rafael Gomes</t>
  </si>
  <si>
    <t>C0294</t>
  </si>
  <si>
    <t>Diego Lima</t>
  </si>
  <si>
    <t>C0295</t>
  </si>
  <si>
    <t>Bianca Araújo</t>
  </si>
  <si>
    <t>C0296</t>
  </si>
  <si>
    <t>Henrique Almeida</t>
  </si>
  <si>
    <t>C0297</t>
  </si>
  <si>
    <t>Sofia Santos</t>
  </si>
  <si>
    <t>C0298</t>
  </si>
  <si>
    <t>C0299</t>
  </si>
  <si>
    <t>C0300</t>
  </si>
  <si>
    <t>Fernanda Martins</t>
  </si>
  <si>
    <t>C0301</t>
  </si>
  <si>
    <t>C0302</t>
  </si>
  <si>
    <t>Thiago Oliveira</t>
  </si>
  <si>
    <t>C0303</t>
  </si>
  <si>
    <t>C0304</t>
  </si>
  <si>
    <t>Pedro Dias</t>
  </si>
  <si>
    <t>C0305</t>
  </si>
  <si>
    <t>C0306</t>
  </si>
  <si>
    <t>Bianca Teixeira</t>
  </si>
  <si>
    <t>C0307</t>
  </si>
  <si>
    <t>Felipe Lima</t>
  </si>
  <si>
    <t>C0308</t>
  </si>
  <si>
    <t>C0309</t>
  </si>
  <si>
    <t>Rafael Teixeira</t>
  </si>
  <si>
    <t>C0310</t>
  </si>
  <si>
    <t>Lucas Barbosa</t>
  </si>
  <si>
    <t>C0311</t>
  </si>
  <si>
    <t>Lucas Nascimento</t>
  </si>
  <si>
    <t>C0312</t>
  </si>
  <si>
    <t>Henrique Santos</t>
  </si>
  <si>
    <t>C0313</t>
  </si>
  <si>
    <t>C0314</t>
  </si>
  <si>
    <t>Eduarda Teixeira</t>
  </si>
  <si>
    <t>C0315</t>
  </si>
  <si>
    <t>Gustavo Rocha</t>
  </si>
  <si>
    <t>C0316</t>
  </si>
  <si>
    <t>C0317</t>
  </si>
  <si>
    <t>Pedro Ferreira</t>
  </si>
  <si>
    <t>C0318</t>
  </si>
  <si>
    <t>Karina Araújo</t>
  </si>
  <si>
    <t>C0319</t>
  </si>
  <si>
    <t>Rafael Dias</t>
  </si>
  <si>
    <t>C0320</t>
  </si>
  <si>
    <t>C0321</t>
  </si>
  <si>
    <t>Daniela Pereira</t>
  </si>
  <si>
    <t>C0322</t>
  </si>
  <si>
    <t>C0323</t>
  </si>
  <si>
    <t>Wesley Santos</t>
  </si>
  <si>
    <t>C0324</t>
  </si>
  <si>
    <t>Carla Oliveira</t>
  </si>
  <si>
    <t>C0325</t>
  </si>
  <si>
    <t>Nicolas Rocha</t>
  </si>
  <si>
    <t>C0326</t>
  </si>
  <si>
    <t>C0327</t>
  </si>
  <si>
    <t>Yasmin Ferreira</t>
  </si>
  <si>
    <t>C0328</t>
  </si>
  <si>
    <t>Gustavo Lima</t>
  </si>
  <si>
    <t>C0329</t>
  </si>
  <si>
    <t>C0330</t>
  </si>
  <si>
    <t>Enzo Barbosa</t>
  </si>
  <si>
    <t>C0331</t>
  </si>
  <si>
    <t>Rafael Santos</t>
  </si>
  <si>
    <t>C0332</t>
  </si>
  <si>
    <t>C0333</t>
  </si>
  <si>
    <t>C0334</t>
  </si>
  <si>
    <t>C0335</t>
  </si>
  <si>
    <t>Marina Souza</t>
  </si>
  <si>
    <t>C0336</t>
  </si>
  <si>
    <t>Lucas Silva</t>
  </si>
  <si>
    <t>C0337</t>
  </si>
  <si>
    <t>Olívia Oliveira</t>
  </si>
  <si>
    <t>C0338</t>
  </si>
  <si>
    <t>C0339</t>
  </si>
  <si>
    <t>C0340</t>
  </si>
  <si>
    <t>C0341</t>
  </si>
  <si>
    <t>Karina Barbosa</t>
  </si>
  <si>
    <t>C0342</t>
  </si>
  <si>
    <t>C0343</t>
  </si>
  <si>
    <t>Ana Barbosa</t>
  </si>
  <si>
    <t>C0344</t>
  </si>
  <si>
    <t>Marina Carvalho</t>
  </si>
  <si>
    <t>C0345</t>
  </si>
  <si>
    <t>Valentina Melo</t>
  </si>
  <si>
    <t>C0346</t>
  </si>
  <si>
    <t>Ana Ferreira</t>
  </si>
  <si>
    <t>C0347</t>
  </si>
  <si>
    <t>Eduarda Santos</t>
  </si>
  <si>
    <t>C0348</t>
  </si>
  <si>
    <t>Olívia Ferreira</t>
  </si>
  <si>
    <t>C0349</t>
  </si>
  <si>
    <t>C0350</t>
  </si>
  <si>
    <t>Isabela Teixeira</t>
  </si>
  <si>
    <t>C0351</t>
  </si>
  <si>
    <t>Wesley Nascimento</t>
  </si>
  <si>
    <t>C0352</t>
  </si>
  <si>
    <t>C0353</t>
  </si>
  <si>
    <t>C0354</t>
  </si>
  <si>
    <t>Fernanda Silva</t>
  </si>
  <si>
    <t>C0355</t>
  </si>
  <si>
    <t>Eduarda Nascimento</t>
  </si>
  <si>
    <t>C0356</t>
  </si>
  <si>
    <t>C0357</t>
  </si>
  <si>
    <t>C0358</t>
  </si>
  <si>
    <t>C0359</t>
  </si>
  <si>
    <t>Queila Ferreira</t>
  </si>
  <si>
    <t>C0360</t>
  </si>
  <si>
    <t>C0361</t>
  </si>
  <si>
    <t>Henrique Teixeira</t>
  </si>
  <si>
    <t>C0362</t>
  </si>
  <si>
    <t>C0363</t>
  </si>
  <si>
    <t>C0364</t>
  </si>
  <si>
    <t>C0365</t>
  </si>
  <si>
    <t>Nicolas Souza</t>
  </si>
  <si>
    <t>C0366</t>
  </si>
  <si>
    <t>C0367</t>
  </si>
  <si>
    <t>C0368</t>
  </si>
  <si>
    <t>C0369</t>
  </si>
  <si>
    <t>C0370</t>
  </si>
  <si>
    <t>Thiago Pereira</t>
  </si>
  <si>
    <t>C0371</t>
  </si>
  <si>
    <t>C0372</t>
  </si>
  <si>
    <t>Olívia Silva</t>
  </si>
  <si>
    <t>C0373</t>
  </si>
  <si>
    <t>Diego Ribeiro</t>
  </si>
  <si>
    <t>C0374</t>
  </si>
  <si>
    <t>Marina Lima</t>
  </si>
  <si>
    <t>C0375</t>
  </si>
  <si>
    <t>Ana Dias</t>
  </si>
  <si>
    <t>C0376</t>
  </si>
  <si>
    <t>C0377</t>
  </si>
  <si>
    <t>Queila Pereira</t>
  </si>
  <si>
    <t>C0378</t>
  </si>
  <si>
    <t>C0379</t>
  </si>
  <si>
    <t>C0380</t>
  </si>
  <si>
    <t>Pedro Barbosa</t>
  </si>
  <si>
    <t>C0381</t>
  </si>
  <si>
    <t>C0382</t>
  </si>
  <si>
    <t>C0383</t>
  </si>
  <si>
    <t>C0384</t>
  </si>
  <si>
    <t>C0385</t>
  </si>
  <si>
    <t>C0386</t>
  </si>
  <si>
    <t>Caio Rocha</t>
  </si>
  <si>
    <t>C0387</t>
  </si>
  <si>
    <t>Yasmin Santos</t>
  </si>
  <si>
    <t>C0388</t>
  </si>
  <si>
    <t>C0389</t>
  </si>
  <si>
    <t>C0390</t>
  </si>
  <si>
    <t>C0391</t>
  </si>
  <si>
    <t>C0392</t>
  </si>
  <si>
    <t>C0393</t>
  </si>
  <si>
    <t>Thiago Ribeiro</t>
  </si>
  <si>
    <t>C0394</t>
  </si>
  <si>
    <t>Yasmin Gomes</t>
  </si>
  <si>
    <t>C0395</t>
  </si>
  <si>
    <t>Valentina Costa</t>
  </si>
  <si>
    <t>C0396</t>
  </si>
  <si>
    <t>C0397</t>
  </si>
  <si>
    <t>C0398</t>
  </si>
  <si>
    <t>Caio Martins</t>
  </si>
  <si>
    <t>C0399</t>
  </si>
  <si>
    <t>C0400</t>
  </si>
  <si>
    <t>C0401</t>
  </si>
  <si>
    <t>Karina Pereira</t>
  </si>
  <si>
    <t>C0402</t>
  </si>
  <si>
    <t>Enzo Nascimento</t>
  </si>
  <si>
    <t>C0403</t>
  </si>
  <si>
    <t>C0404</t>
  </si>
  <si>
    <t>C0405</t>
  </si>
  <si>
    <t>Bruno Oliveira</t>
  </si>
  <si>
    <t>C0406</t>
  </si>
  <si>
    <t>C0407</t>
  </si>
  <si>
    <t>Fernanda Nascimento</t>
  </si>
  <si>
    <t>C0408</t>
  </si>
  <si>
    <t>João Martins</t>
  </si>
  <si>
    <t>C0409</t>
  </si>
  <si>
    <t>Henrique Nascimento</t>
  </si>
  <si>
    <t>C0410</t>
  </si>
  <si>
    <t>C0411</t>
  </si>
  <si>
    <t>Diego Nascimento</t>
  </si>
  <si>
    <t>C0412</t>
  </si>
  <si>
    <t>C0413</t>
  </si>
  <si>
    <t>Queila Carvalho</t>
  </si>
  <si>
    <t>C0414</t>
  </si>
  <si>
    <t>C0415</t>
  </si>
  <si>
    <t>C0416</t>
  </si>
  <si>
    <t>Carla Pereira</t>
  </si>
  <si>
    <t>C0417</t>
  </si>
  <si>
    <t>C0418</t>
  </si>
  <si>
    <t>Pedro Oliveira</t>
  </si>
  <si>
    <t>C0419</t>
  </si>
  <si>
    <t>C0420</t>
  </si>
  <si>
    <t>C0421</t>
  </si>
  <si>
    <t>C0422</t>
  </si>
  <si>
    <t>C0423</t>
  </si>
  <si>
    <t>C0424</t>
  </si>
  <si>
    <t>C0425</t>
  </si>
  <si>
    <t>Marina Ribeiro</t>
  </si>
  <si>
    <t>C0426</t>
  </si>
  <si>
    <t>C0427</t>
  </si>
  <si>
    <t>Ana Araújo</t>
  </si>
  <si>
    <t>C0428</t>
  </si>
  <si>
    <t>Daniela Costa</t>
  </si>
  <si>
    <t>C0429</t>
  </si>
  <si>
    <t>C0430</t>
  </si>
  <si>
    <t>C0431</t>
  </si>
  <si>
    <t>Rafael Araújo</t>
  </si>
  <si>
    <t>C0432</t>
  </si>
  <si>
    <t>C0433</t>
  </si>
  <si>
    <t>Bianca Oliveira</t>
  </si>
  <si>
    <t>C0434</t>
  </si>
  <si>
    <t>Lucas Dias</t>
  </si>
  <si>
    <t>C0435</t>
  </si>
  <si>
    <t>C0436</t>
  </si>
  <si>
    <t>C0437</t>
  </si>
  <si>
    <t>C0438</t>
  </si>
  <si>
    <t>Bruno Ferreira</t>
  </si>
  <si>
    <t>C0439</t>
  </si>
  <si>
    <t>Pedro Nascimento</t>
  </si>
  <si>
    <t>C0440</t>
  </si>
  <si>
    <t>Gabriela Santos</t>
  </si>
  <si>
    <t>C0441</t>
  </si>
  <si>
    <t>C0442</t>
  </si>
  <si>
    <t>Valentina Almeida</t>
  </si>
  <si>
    <t>C0443</t>
  </si>
  <si>
    <t>C0444</t>
  </si>
  <si>
    <t>Wesley Costa</t>
  </si>
  <si>
    <t>C0445</t>
  </si>
  <si>
    <t>Nicolas Almeida</t>
  </si>
  <si>
    <t>C0446</t>
  </si>
  <si>
    <t>C0447</t>
  </si>
  <si>
    <t>Carla Barbosa</t>
  </si>
  <si>
    <t>C0448</t>
  </si>
  <si>
    <t>Gabriela Ribeiro</t>
  </si>
  <si>
    <t>C0449</t>
  </si>
  <si>
    <t>Caio Nascimento</t>
  </si>
  <si>
    <t>C0450</t>
  </si>
  <si>
    <t>Nicolas Ferreira</t>
  </si>
  <si>
    <t>C0451</t>
  </si>
  <si>
    <t>C0452</t>
  </si>
  <si>
    <t>C0453</t>
  </si>
  <si>
    <t>C0454</t>
  </si>
  <si>
    <t>C0455</t>
  </si>
  <si>
    <t>C0456</t>
  </si>
  <si>
    <t>C0457</t>
  </si>
  <si>
    <t>Queila Souza</t>
  </si>
  <si>
    <t>C0458</t>
  </si>
  <si>
    <t>C0459</t>
  </si>
  <si>
    <t>Nicolas Melo</t>
  </si>
  <si>
    <t>C0460</t>
  </si>
  <si>
    <t>C0461</t>
  </si>
  <si>
    <t>C0462</t>
  </si>
  <si>
    <t>C0463</t>
  </si>
  <si>
    <t>Olívia Ribeiro</t>
  </si>
  <si>
    <t>C0464</t>
  </si>
  <si>
    <t>C0465</t>
  </si>
  <si>
    <t>C0466</t>
  </si>
  <si>
    <t>C0467</t>
  </si>
  <si>
    <t>Lucas Gomes</t>
  </si>
  <si>
    <t>C0468</t>
  </si>
  <si>
    <t>C0469</t>
  </si>
  <si>
    <t>C0470</t>
  </si>
  <si>
    <t>C0471</t>
  </si>
  <si>
    <t>Bianca Almeida</t>
  </si>
  <si>
    <t>C0472</t>
  </si>
  <si>
    <t>Queila Teixeira</t>
  </si>
  <si>
    <t>C0473</t>
  </si>
  <si>
    <t>C0474</t>
  </si>
  <si>
    <t>Yasmin Martins</t>
  </si>
  <si>
    <t>C0475</t>
  </si>
  <si>
    <t>C0476</t>
  </si>
  <si>
    <t>C0477</t>
  </si>
  <si>
    <t>C0478</t>
  </si>
  <si>
    <t>Ana Souza</t>
  </si>
  <si>
    <t>C0479</t>
  </si>
  <si>
    <t>C0480</t>
  </si>
  <si>
    <t>C0481</t>
  </si>
  <si>
    <t>Nicolas Costa</t>
  </si>
  <si>
    <t>C0482</t>
  </si>
  <si>
    <t>C0483</t>
  </si>
  <si>
    <t>C0484</t>
  </si>
  <si>
    <t>C0485</t>
  </si>
  <si>
    <t>Sofia Almeida</t>
  </si>
  <si>
    <t>C0486</t>
  </si>
  <si>
    <t>C0487</t>
  </si>
  <si>
    <t>C0488</t>
  </si>
  <si>
    <t>Bianca Santos</t>
  </si>
  <si>
    <t>C0489</t>
  </si>
  <si>
    <t>C0490</t>
  </si>
  <si>
    <t>Enzo Lima</t>
  </si>
  <si>
    <t>C0491</t>
  </si>
  <si>
    <t>Lucas Teixeira</t>
  </si>
  <si>
    <t>C0492</t>
  </si>
  <si>
    <t>C0493</t>
  </si>
  <si>
    <t>C0494</t>
  </si>
  <si>
    <t>C0495</t>
  </si>
  <si>
    <t>C0496</t>
  </si>
  <si>
    <t>C0497</t>
  </si>
  <si>
    <t>C0498</t>
  </si>
  <si>
    <t>Gabriela Martins</t>
  </si>
  <si>
    <t>C0499</t>
  </si>
  <si>
    <t>C0500</t>
  </si>
  <si>
    <t>Nicolas Santos</t>
  </si>
  <si>
    <t>C0501</t>
  </si>
  <si>
    <t>C0502</t>
  </si>
  <si>
    <t>Henrique Souza</t>
  </si>
  <si>
    <t>C0503</t>
  </si>
  <si>
    <t>Zeca Carvalho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</si>
  <si>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</si>
  <si>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</si>
  <si>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</si>
  <si>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</si>
  <si>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</si>
  <si>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</si>
  <si>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</si>
  <si>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</si>
  <si>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Fernanda Carvalho</t>
  </si>
  <si>
    <t>C0512</t>
  </si>
  <si>
    <t>Eduarda Oliveira</t>
  </si>
  <si>
    <t>C0513</t>
  </si>
  <si>
    <t>Gabriela Costa</t>
  </si>
  <si>
    <t>C0514</t>
  </si>
  <si>
    <t>C0515</t>
  </si>
  <si>
    <t>C0516</t>
  </si>
  <si>
    <t>C0517</t>
  </si>
  <si>
    <t>C0518</t>
  </si>
  <si>
    <t>Daniela Almeida</t>
  </si>
  <si>
    <t>C0519</t>
  </si>
  <si>
    <t>Zeca Barbosa</t>
  </si>
  <si>
    <t>C0520</t>
  </si>
  <si>
    <t>C0521</t>
  </si>
  <si>
    <t>C0522</t>
  </si>
  <si>
    <t>Ana Gomes</t>
  </si>
  <si>
    <t>C0523</t>
  </si>
  <si>
    <t>C0524</t>
  </si>
  <si>
    <t>C0525</t>
  </si>
  <si>
    <t>Carla Silva</t>
  </si>
  <si>
    <t>C0526</t>
  </si>
  <si>
    <t>C0527</t>
  </si>
  <si>
    <t>C0528</t>
  </si>
  <si>
    <t>C0529</t>
  </si>
  <si>
    <t>C0530</t>
  </si>
  <si>
    <t>Sofia Oliveira</t>
  </si>
  <si>
    <t>C0531</t>
  </si>
  <si>
    <t>C0532</t>
  </si>
  <si>
    <t>Valentina Barbosa</t>
  </si>
  <si>
    <t>C0533</t>
  </si>
  <si>
    <t>Daniela Silva</t>
  </si>
  <si>
    <t>C0534</t>
  </si>
  <si>
    <t>C0535</t>
  </si>
  <si>
    <t>Sofia Carvalho</t>
  </si>
  <si>
    <t>C0536</t>
  </si>
  <si>
    <t>C0537</t>
  </si>
  <si>
    <t>C0538</t>
  </si>
  <si>
    <t>Gustavo Nascimento</t>
  </si>
  <si>
    <t>C0539</t>
  </si>
  <si>
    <t>C0540</t>
  </si>
  <si>
    <t>C0541</t>
  </si>
  <si>
    <t>C0542</t>
  </si>
  <si>
    <t>C0543</t>
  </si>
  <si>
    <t>C0544</t>
  </si>
  <si>
    <t>Zeca Souza</t>
  </si>
  <si>
    <t>C0545</t>
  </si>
  <si>
    <t>C0546</t>
  </si>
  <si>
    <t>C0547</t>
  </si>
  <si>
    <t>C0548</t>
  </si>
  <si>
    <t>Fernanda Dias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</si>
  <si>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</si>
  <si>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</si>
  <si>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</si>
  <si>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</si>
  <si>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</si>
  <si>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</si>
  <si>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</si>
  <si>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</si>
  <si>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</si>
  <si>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</si>
  <si>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Nicolas Barbosa</t>
  </si>
  <si>
    <t>C0559</t>
  </si>
  <si>
    <t>Eduarda Ribeiro</t>
  </si>
  <si>
    <t>C0560</t>
  </si>
  <si>
    <t>C0561</t>
  </si>
  <si>
    <t>C0562</t>
  </si>
  <si>
    <t>Sofia Melo</t>
  </si>
  <si>
    <t>C0563</t>
  </si>
  <si>
    <t>C0564</t>
  </si>
  <si>
    <t>C0565</t>
  </si>
  <si>
    <t>C0566</t>
  </si>
  <si>
    <t>Diego Ferreira</t>
  </si>
  <si>
    <t>C0567</t>
  </si>
  <si>
    <t>Felipe Ferreira</t>
  </si>
  <si>
    <t>C0568</t>
  </si>
  <si>
    <t>Thiago Almeida</t>
  </si>
  <si>
    <t>C0569</t>
  </si>
  <si>
    <t>C0570</t>
  </si>
  <si>
    <t>C0571</t>
  </si>
  <si>
    <t>Ana Silva</t>
  </si>
  <si>
    <t>C0572</t>
  </si>
  <si>
    <t>C0573</t>
  </si>
  <si>
    <t>C0574</t>
  </si>
  <si>
    <t>C0575</t>
  </si>
  <si>
    <t>Thiago Teixeira</t>
  </si>
  <si>
    <t>C0576</t>
  </si>
  <si>
    <t>Yasmin Dias</t>
  </si>
  <si>
    <t>C0577</t>
  </si>
  <si>
    <t>C0578</t>
  </si>
  <si>
    <t>C0579</t>
  </si>
  <si>
    <t>C0580</t>
  </si>
  <si>
    <t>Sofia Souza</t>
  </si>
  <si>
    <t>C0581</t>
  </si>
  <si>
    <t>Diego Santos</t>
  </si>
  <si>
    <t>C0582</t>
  </si>
  <si>
    <t>Thiago Souza</t>
  </si>
  <si>
    <t>C0583</t>
  </si>
  <si>
    <t>Isabela Martins</t>
  </si>
  <si>
    <t>C0584</t>
  </si>
  <si>
    <t>C0585</t>
  </si>
  <si>
    <t>C0586</t>
  </si>
  <si>
    <t>C0587</t>
  </si>
  <si>
    <t>Daniela Ribeiro</t>
  </si>
  <si>
    <t>C0588</t>
  </si>
  <si>
    <t>Valentina Teixeira</t>
  </si>
  <si>
    <t>C0589</t>
  </si>
  <si>
    <t>Gabriela Silva</t>
  </si>
  <si>
    <t>C0590</t>
  </si>
  <si>
    <t>C0591</t>
  </si>
  <si>
    <t>C0592</t>
  </si>
  <si>
    <t>C0593</t>
  </si>
  <si>
    <t>Olívia Lima</t>
  </si>
  <si>
    <t>C0594</t>
  </si>
  <si>
    <t>Henrique Costa</t>
  </si>
  <si>
    <t>C0595</t>
  </si>
  <si>
    <t>C0596</t>
  </si>
  <si>
    <t>C0597</t>
  </si>
  <si>
    <t>C0598</t>
  </si>
  <si>
    <t>Gustavo Almeida</t>
  </si>
  <si>
    <t>C0599</t>
  </si>
  <si>
    <t>Eduarda Carvalho</t>
  </si>
  <si>
    <t>C0600</t>
  </si>
  <si>
    <t>C0601</t>
  </si>
  <si>
    <t>C0602</t>
  </si>
  <si>
    <t>Karina Teixeira</t>
  </si>
  <si>
    <t>C0603</t>
  </si>
  <si>
    <t>Valentina Gomes</t>
  </si>
  <si>
    <t>C0604</t>
  </si>
  <si>
    <t>C0605</t>
  </si>
  <si>
    <t>Fernanda Costa</t>
  </si>
  <si>
    <t>C0606</t>
  </si>
  <si>
    <t>Daniela Carvalho</t>
  </si>
  <si>
    <t>C0607</t>
  </si>
  <si>
    <t>C0608</t>
  </si>
  <si>
    <t>C0609</t>
  </si>
  <si>
    <t>C0610</t>
  </si>
  <si>
    <t>C0611</t>
  </si>
  <si>
    <t>Pedro Almeida</t>
  </si>
  <si>
    <t>C0612</t>
  </si>
  <si>
    <t>Isabela Pereira</t>
  </si>
  <si>
    <t>C0613</t>
  </si>
  <si>
    <t>Wesley Souza</t>
  </si>
  <si>
    <t>C0614</t>
  </si>
  <si>
    <t>Ana Ribeiro</t>
  </si>
  <si>
    <t>C0615</t>
  </si>
  <si>
    <t>Gabriela Nascimento</t>
  </si>
  <si>
    <t>C0616</t>
  </si>
  <si>
    <t>C0617</t>
  </si>
  <si>
    <t>Gustavo Teixeira</t>
  </si>
  <si>
    <t>C0618</t>
  </si>
  <si>
    <t>Wesley Barbosa</t>
  </si>
  <si>
    <t>C0619</t>
  </si>
  <si>
    <t>C0620</t>
  </si>
  <si>
    <t>C0621</t>
  </si>
  <si>
    <t>Gabriela Dias</t>
  </si>
  <si>
    <t>C0622</t>
  </si>
  <si>
    <t>C0623</t>
  </si>
  <si>
    <t>Henrique Gomes</t>
  </si>
  <si>
    <t>C0624</t>
  </si>
  <si>
    <t>Thiago Araújo</t>
  </si>
  <si>
    <t>C0625</t>
  </si>
  <si>
    <t>Zeca Lima</t>
  </si>
  <si>
    <t>C0626</t>
  </si>
  <si>
    <t>C0627</t>
  </si>
  <si>
    <t>C0628</t>
  </si>
  <si>
    <t>C0629</t>
  </si>
  <si>
    <t>Olívia Pereira</t>
  </si>
  <si>
    <t>C0630</t>
  </si>
  <si>
    <t>C0631</t>
  </si>
  <si>
    <t>C0632</t>
  </si>
  <si>
    <t>C0633</t>
  </si>
  <si>
    <t>Diego Melo</t>
  </si>
  <si>
    <t>C0634</t>
  </si>
  <si>
    <t>Valentina Lima</t>
  </si>
  <si>
    <t>C0635</t>
  </si>
  <si>
    <t>Wesley Teixeira</t>
  </si>
  <si>
    <t>C0636</t>
  </si>
  <si>
    <t>C0637</t>
  </si>
  <si>
    <t>C0638</t>
  </si>
  <si>
    <t>Ana Martins</t>
  </si>
  <si>
    <t>C0639</t>
  </si>
  <si>
    <t>Gustavo Barbosa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</si>
  <si>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</si>
  <si>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</si>
  <si>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</si>
  <si>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</si>
  <si>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</si>
  <si>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</si>
  <si>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</si>
  <si>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</si>
  <si>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</si>
  <si>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</si>
  <si>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Gustavo Gomes</t>
  </si>
  <si>
    <t>C0650</t>
  </si>
  <si>
    <t>C0651</t>
  </si>
  <si>
    <t>C0652</t>
  </si>
  <si>
    <t>Olívia Carvalho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</si>
  <si>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</si>
  <si>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</si>
  <si>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</si>
  <si>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</si>
  <si>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</si>
  <si>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</si>
  <si>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</si>
  <si>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</si>
  <si>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</si>
  <si>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Karina Almeida</t>
  </si>
  <si>
    <t>C0662</t>
  </si>
  <si>
    <t>C0663</t>
  </si>
  <si>
    <t>Rafael Nascimento</t>
  </si>
  <si>
    <t>C0664</t>
  </si>
  <si>
    <t>C0665</t>
  </si>
  <si>
    <t>João Oliveira</t>
  </si>
  <si>
    <t>C0666</t>
  </si>
  <si>
    <t>C0667</t>
  </si>
  <si>
    <t>C0668</t>
  </si>
  <si>
    <t>C0669</t>
  </si>
  <si>
    <t>Daniela Dias</t>
  </si>
  <si>
    <t>C0670</t>
  </si>
  <si>
    <t>Gustavo Melo</t>
  </si>
  <si>
    <t>C0671</t>
  </si>
  <si>
    <t>C0672</t>
  </si>
  <si>
    <t>C0673</t>
  </si>
  <si>
    <t>Diego Costa</t>
  </si>
  <si>
    <t>C0674</t>
  </si>
  <si>
    <t>C0675</t>
  </si>
  <si>
    <t>Lucas Rocha</t>
  </si>
  <si>
    <t>C0676</t>
  </si>
  <si>
    <t>Zeca Rocha</t>
  </si>
  <si>
    <t>C0677</t>
  </si>
  <si>
    <t>Queila Nascimento</t>
  </si>
  <si>
    <t>C0678</t>
  </si>
  <si>
    <t>Carla Santos</t>
  </si>
  <si>
    <t>C0679</t>
  </si>
  <si>
    <t>C0680</t>
  </si>
  <si>
    <t>C0681</t>
  </si>
  <si>
    <t>C0682</t>
  </si>
  <si>
    <t>C0683</t>
  </si>
  <si>
    <t>Gabriela Araújo</t>
  </si>
  <si>
    <t>C0684</t>
  </si>
  <si>
    <t>Queila Silva</t>
  </si>
  <si>
    <t>C0685</t>
  </si>
  <si>
    <t>Carla Lima</t>
  </si>
  <si>
    <t>C0686</t>
  </si>
  <si>
    <t>C0687</t>
  </si>
  <si>
    <t>Fernanda Almeida</t>
  </si>
  <si>
    <t>C0688</t>
  </si>
  <si>
    <t>C0689</t>
  </si>
  <si>
    <t>C0690</t>
  </si>
  <si>
    <t>C0691</t>
  </si>
  <si>
    <t>C0692</t>
  </si>
  <si>
    <t>C0693</t>
  </si>
  <si>
    <t>Henrique Oliveira</t>
  </si>
  <si>
    <t>C0694</t>
  </si>
  <si>
    <t>C0695</t>
  </si>
  <si>
    <t>C0696</t>
  </si>
  <si>
    <t>C0697</t>
  </si>
  <si>
    <t>Bruno Nascimento</t>
  </si>
  <si>
    <t>C0698</t>
  </si>
  <si>
    <t>Lucas Almeida</t>
  </si>
  <si>
    <t>C0699</t>
  </si>
  <si>
    <t>Daniela Oliveira</t>
  </si>
  <si>
    <t>C0700</t>
  </si>
  <si>
    <t>Nicolas Nascimento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</si>
  <si>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</si>
  <si>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</si>
  <si>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</si>
  <si>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</si>
  <si>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</si>
  <si>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</si>
  <si>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</si>
  <si>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</si>
  <si>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</si>
  <si>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</si>
  <si>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</si>
  <si>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</si>
  <si>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</si>
  <si>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</si>
  <si>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</si>
  <si>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</si>
  <si>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João Carvalho</t>
  </si>
  <si>
    <t>C0717</t>
  </si>
  <si>
    <t>Fernanda Santos</t>
  </si>
  <si>
    <t>C0718</t>
  </si>
  <si>
    <t>C0719</t>
  </si>
  <si>
    <t>C0720</t>
  </si>
  <si>
    <t>C0721</t>
  </si>
  <si>
    <t>C0722</t>
  </si>
  <si>
    <t>C0723</t>
  </si>
  <si>
    <t>C0724</t>
  </si>
  <si>
    <t>Zeca Ribeiro</t>
  </si>
  <si>
    <t>C0725</t>
  </si>
  <si>
    <t>C0726</t>
  </si>
  <si>
    <t>C0727</t>
  </si>
  <si>
    <t>Queila Ribeiro</t>
  </si>
  <si>
    <t>C0728</t>
  </si>
  <si>
    <t>Yasmin Nascimento</t>
  </si>
  <si>
    <t>C0729</t>
  </si>
  <si>
    <t>C0730</t>
  </si>
  <si>
    <t>Lucas Melo</t>
  </si>
  <si>
    <t>C0731</t>
  </si>
  <si>
    <t>C0732</t>
  </si>
  <si>
    <t>Marina Costa</t>
  </si>
  <si>
    <t>C0733</t>
  </si>
  <si>
    <t>C0734</t>
  </si>
  <si>
    <t>C0735</t>
  </si>
  <si>
    <t>Bianca Martins</t>
  </si>
  <si>
    <t>C0736</t>
  </si>
  <si>
    <t>Valentina Silva</t>
  </si>
  <si>
    <t>C0737</t>
  </si>
  <si>
    <t>C0738</t>
  </si>
  <si>
    <t>Felipe Gomes</t>
  </si>
  <si>
    <t>C0739</t>
  </si>
  <si>
    <t>C0740</t>
  </si>
  <si>
    <t>C0741</t>
  </si>
  <si>
    <t>C0742</t>
  </si>
  <si>
    <t>C0743</t>
  </si>
  <si>
    <t>Daniela Rocha</t>
  </si>
  <si>
    <t>C0744</t>
  </si>
  <si>
    <t>C0745</t>
  </si>
  <si>
    <t>Diego Dias</t>
  </si>
  <si>
    <t>C0746</t>
  </si>
  <si>
    <t>C0747</t>
  </si>
  <si>
    <t>C0748</t>
  </si>
  <si>
    <t>Isabela Ribeiro</t>
  </si>
  <si>
    <t>C0749</t>
  </si>
  <si>
    <t>Daniela Martins</t>
  </si>
  <si>
    <t>C0750</t>
  </si>
  <si>
    <t>C0751</t>
  </si>
  <si>
    <t>C0752</t>
  </si>
  <si>
    <t>C0753</t>
  </si>
  <si>
    <t>Zeca Costa</t>
  </si>
  <si>
    <t>C0754</t>
  </si>
  <si>
    <t>C0755</t>
  </si>
  <si>
    <t>Carla Almeida</t>
  </si>
  <si>
    <t>C0756</t>
  </si>
  <si>
    <t>C0757</t>
  </si>
  <si>
    <t>Gabriela Carvalho</t>
  </si>
  <si>
    <t>C0758</t>
  </si>
  <si>
    <t>C0759</t>
  </si>
  <si>
    <t>C0760</t>
  </si>
  <si>
    <t>Karina Melo</t>
  </si>
  <si>
    <t>C0761</t>
  </si>
  <si>
    <t>C0762</t>
  </si>
  <si>
    <t>Pedro Martins</t>
  </si>
  <si>
    <t>C0763</t>
  </si>
  <si>
    <t>C0764</t>
  </si>
  <si>
    <t>C0765</t>
  </si>
  <si>
    <t>Karina Carvalho</t>
  </si>
  <si>
    <t>C0766</t>
  </si>
  <si>
    <t>C0767</t>
  </si>
  <si>
    <t>Pedro Gomes</t>
  </si>
  <si>
    <t>C0768</t>
  </si>
  <si>
    <t>Eduarda Martins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</si>
  <si>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</si>
  <si>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</si>
  <si>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</si>
  <si>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</si>
  <si>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</si>
  <si>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</si>
  <si>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</si>
  <si>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</si>
  <si>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</si>
  <si>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</si>
  <si>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</si>
  <si>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</si>
  <si>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</si>
  <si>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</si>
  <si>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Wesley Rocha</t>
  </si>
  <si>
    <t>C0783</t>
  </si>
  <si>
    <t>C0784</t>
  </si>
  <si>
    <t>Enzo Oliveira</t>
  </si>
  <si>
    <t>C0785</t>
  </si>
  <si>
    <t>C0786</t>
  </si>
  <si>
    <t>C0787</t>
  </si>
  <si>
    <t>Queila Barbosa</t>
  </si>
  <si>
    <t>C0788</t>
  </si>
  <si>
    <t>C0789</t>
  </si>
  <si>
    <t>C0790</t>
  </si>
  <si>
    <t>Bruno Dias</t>
  </si>
  <si>
    <t>C0791</t>
  </si>
  <si>
    <t>C0792</t>
  </si>
  <si>
    <t>Isabela Santos</t>
  </si>
  <si>
    <t>C0793</t>
  </si>
  <si>
    <t>Caio Costa</t>
  </si>
  <si>
    <t>C0794</t>
  </si>
  <si>
    <t>C0795</t>
  </si>
  <si>
    <t>Caio Dias</t>
  </si>
  <si>
    <t>C0796</t>
  </si>
  <si>
    <t>João Pereira</t>
  </si>
  <si>
    <t>C0797</t>
  </si>
  <si>
    <t>C0798</t>
  </si>
  <si>
    <t>C0799</t>
  </si>
  <si>
    <t>C0800</t>
  </si>
  <si>
    <t>Bruno Almeida</t>
  </si>
  <si>
    <t>C0801</t>
  </si>
  <si>
    <t>C0802</t>
  </si>
  <si>
    <t>C0803</t>
  </si>
  <si>
    <t>C0804</t>
  </si>
  <si>
    <t>C0805</t>
  </si>
  <si>
    <t>C0806</t>
  </si>
  <si>
    <t>C0807</t>
  </si>
  <si>
    <t>Isabela Almeida</t>
  </si>
  <si>
    <t>C0808</t>
  </si>
  <si>
    <t>C0809</t>
  </si>
  <si>
    <t>C0810</t>
  </si>
  <si>
    <t>C0811</t>
  </si>
  <si>
    <t>Sofia Dias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</si>
  <si>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</si>
  <si>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</si>
  <si>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</si>
  <si>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</si>
  <si>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</si>
  <si>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</si>
  <si>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</si>
  <si>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</si>
  <si>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</si>
  <si>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</si>
  <si>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</si>
  <si>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</si>
  <si>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</si>
  <si>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Karina Lima</t>
  </si>
  <si>
    <t>C0825</t>
  </si>
  <si>
    <t>C0826</t>
  </si>
  <si>
    <t>C0827</t>
  </si>
  <si>
    <t>C0828</t>
  </si>
  <si>
    <t>C0829</t>
  </si>
  <si>
    <t>C0830</t>
  </si>
  <si>
    <t>Caio Araújo</t>
  </si>
  <si>
    <t>C0831</t>
  </si>
  <si>
    <t>C0832</t>
  </si>
  <si>
    <t>C0833</t>
  </si>
  <si>
    <t>C0834</t>
  </si>
  <si>
    <t>C0835</t>
  </si>
  <si>
    <t>Zeca Almeida</t>
  </si>
  <si>
    <t>C0836</t>
  </si>
  <si>
    <t>C0837</t>
  </si>
  <si>
    <t>C0838</t>
  </si>
  <si>
    <t>C0839</t>
  </si>
  <si>
    <t>Pedro Teixeira</t>
  </si>
  <si>
    <t>C0840</t>
  </si>
  <si>
    <t>C0841</t>
  </si>
  <si>
    <t>C0842</t>
  </si>
  <si>
    <t>C0843</t>
  </si>
  <si>
    <t>C0844</t>
  </si>
  <si>
    <t>C0845</t>
  </si>
  <si>
    <t>C0846</t>
  </si>
  <si>
    <t>Gabriela Almeida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</si>
  <si>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</si>
  <si>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</si>
  <si>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</si>
  <si>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</si>
  <si>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</si>
  <si>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</si>
  <si>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</si>
  <si>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</si>
  <si>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</si>
  <si>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Carla Araújo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</si>
  <si>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</si>
  <si>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</si>
  <si>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</si>
  <si>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</si>
  <si>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</si>
  <si>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</si>
  <si>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</si>
  <si>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</si>
  <si>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Olívia Almeida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</si>
  <si>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</si>
  <si>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</si>
  <si>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</si>
  <si>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</si>
  <si>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</si>
  <si>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</si>
  <si>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</si>
  <si>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</si>
  <si>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</si>
  <si>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</si>
  <si>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Valentina Carvalho</t>
  </si>
  <si>
    <t>C0874</t>
  </si>
  <si>
    <t>João Araújo</t>
  </si>
  <si>
    <t>C0875</t>
  </si>
  <si>
    <t>Wesley Oliveira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</si>
  <si>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</si>
  <si>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</si>
  <si>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</si>
  <si>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</si>
  <si>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</si>
  <si>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</si>
  <si>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</si>
  <si>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</si>
  <si>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</si>
  <si>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</si>
  <si>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</si>
  <si>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</si>
  <si>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Lucas Costa</t>
  </si>
  <si>
    <t>C0888</t>
  </si>
  <si>
    <t>C0889</t>
  </si>
  <si>
    <t>Nicolas Araújo</t>
  </si>
  <si>
    <t>C0890</t>
  </si>
  <si>
    <t>C0891</t>
  </si>
  <si>
    <t>C0892</t>
  </si>
  <si>
    <t>C0893</t>
  </si>
  <si>
    <t>C0894</t>
  </si>
  <si>
    <t>C0895</t>
  </si>
  <si>
    <t>Felipe Martins</t>
  </si>
  <si>
    <t>C0896</t>
  </si>
  <si>
    <t>C0897</t>
  </si>
  <si>
    <t>C0898</t>
  </si>
  <si>
    <t>Yasmin Pereira</t>
  </si>
  <si>
    <t>C0899</t>
  </si>
  <si>
    <t>C0900</t>
  </si>
  <si>
    <t>C0901</t>
  </si>
  <si>
    <t>C0902</t>
  </si>
  <si>
    <t>C0903</t>
  </si>
  <si>
    <t>Valentina Ferreira</t>
  </si>
  <si>
    <t>C0904</t>
  </si>
  <si>
    <t>C0905</t>
  </si>
  <si>
    <t>C0906</t>
  </si>
  <si>
    <t>C0907</t>
  </si>
  <si>
    <t>C0908</t>
  </si>
  <si>
    <t>C0909</t>
  </si>
  <si>
    <t>Queila Gomes</t>
  </si>
  <si>
    <t>C0910</t>
  </si>
  <si>
    <t>C0911</t>
  </si>
  <si>
    <t>C0912</t>
  </si>
  <si>
    <t>Lucas Pereira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</si>
  <si>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</si>
  <si>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</si>
  <si>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</si>
  <si>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</si>
  <si>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</si>
  <si>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</si>
  <si>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</si>
  <si>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</si>
  <si>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Carla Teixeira</t>
  </si>
  <si>
    <t>C0921</t>
  </si>
  <si>
    <t>C0922</t>
  </si>
  <si>
    <t>C0923</t>
  </si>
  <si>
    <t>C0924</t>
  </si>
  <si>
    <t>C0925</t>
  </si>
  <si>
    <t>Enzo Costa</t>
  </si>
  <si>
    <t>C0926</t>
  </si>
  <si>
    <t>C0927</t>
  </si>
  <si>
    <t>C0928</t>
  </si>
  <si>
    <t>C0929</t>
  </si>
  <si>
    <t>Eduarda Barbosa</t>
  </si>
  <si>
    <t>C0930</t>
  </si>
  <si>
    <t>Eduarda Lima</t>
  </si>
  <si>
    <t>C0931</t>
  </si>
  <si>
    <t>Bruno Pereira</t>
  </si>
  <si>
    <t>C0932</t>
  </si>
  <si>
    <t>C0933</t>
  </si>
  <si>
    <t>C0934</t>
  </si>
  <si>
    <t>C0935</t>
  </si>
  <si>
    <t>C0936</t>
  </si>
  <si>
    <t>C0937</t>
  </si>
  <si>
    <t>Fernanda Lima</t>
  </si>
  <si>
    <t>C0938</t>
  </si>
  <si>
    <t>C0939</t>
  </si>
  <si>
    <t>C0940</t>
  </si>
  <si>
    <t>C0941</t>
  </si>
  <si>
    <t>C0942</t>
  </si>
  <si>
    <t>Zeca Gomes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</si>
  <si>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</si>
  <si>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</si>
  <si>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</si>
  <si>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</si>
  <si>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</si>
  <si>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</si>
  <si>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</si>
  <si>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</si>
  <si>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</si>
  <si>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</si>
  <si>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</si>
  <si>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</si>
  <si>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</si>
  <si>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Bianca Dias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</si>
  <si>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</si>
  <si>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</si>
  <si>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</si>
  <si>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</si>
  <si>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</si>
  <si>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</si>
  <si>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</si>
  <si>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</si>
  <si>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</si>
  <si>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</si>
  <si>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</si>
  <si>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</si>
  <si>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</si>
  <si>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</si>
  <si>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</si>
  <si>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</si>
  <si>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</si>
  <si>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</si>
  <si>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</si>
  <si>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</si>
  <si>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</si>
  <si>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</si>
  <si>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</si>
  <si>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</si>
  <si>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</si>
  <si>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</si>
  <si>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João Dias</t>
  </si>
  <si>
    <t>C0982</t>
  </si>
  <si>
    <t>C0983</t>
  </si>
  <si>
    <t>C0984</t>
  </si>
  <si>
    <t>C0985</t>
  </si>
  <si>
    <t>C0986</t>
  </si>
  <si>
    <t>Thiago Lima</t>
  </si>
  <si>
    <t>C0987</t>
  </si>
  <si>
    <t>C0988</t>
  </si>
  <si>
    <t>C0989</t>
  </si>
  <si>
    <t>C0990</t>
  </si>
  <si>
    <t>C0991</t>
  </si>
  <si>
    <t>C0992</t>
  </si>
  <si>
    <t>Bianca Nascimento</t>
  </si>
  <si>
    <t>C0993</t>
  </si>
  <si>
    <t>C0994</t>
  </si>
  <si>
    <t>C0995</t>
  </si>
  <si>
    <t>Gabriela Pereira</t>
  </si>
  <si>
    <t>C0996</t>
  </si>
  <si>
    <t>C0997</t>
  </si>
  <si>
    <t>C0998</t>
  </si>
  <si>
    <t>C0999</t>
  </si>
  <si>
    <t>C1000</t>
  </si>
  <si>
    <t>Nome_Plano</t>
  </si>
  <si>
    <t>Categoria</t>
  </si>
  <si>
    <t>Valor_Plano</t>
  </si>
  <si>
    <t>Limite_Usuarios</t>
  </si>
  <si>
    <t>Suporte</t>
  </si>
  <si>
    <t>Contrato_Meses</t>
  </si>
  <si>
    <t>Basic Mensal</t>
  </si>
  <si>
    <t>Entrada</t>
  </si>
  <si>
    <t>E-mail</t>
  </si>
  <si>
    <t>Basic Anual</t>
  </si>
  <si>
    <t>Plus Mensal</t>
  </si>
  <si>
    <t>Intermediário</t>
  </si>
  <si>
    <t>Chat</t>
  </si>
  <si>
    <t>Plus Anual</t>
  </si>
  <si>
    <t>Premium Mensal</t>
  </si>
  <si>
    <t>Avançado</t>
  </si>
  <si>
    <t>Prioritário</t>
  </si>
  <si>
    <t>Premium Anual</t>
  </si>
  <si>
    <t>Corporativo</t>
  </si>
  <si>
    <t>Gerente de conta</t>
  </si>
  <si>
    <t>ID_Interacao</t>
  </si>
  <si>
    <t>Data_Interacao</t>
  </si>
  <si>
    <t>Tipo_Contato</t>
  </si>
  <si>
    <t>Canal_Atendimento</t>
  </si>
  <si>
    <t>Tempo_Resposta_Horas</t>
  </si>
  <si>
    <t>Resolvido</t>
  </si>
  <si>
    <t>Satisfacao_Pos_Atendimento</t>
  </si>
  <si>
    <t>I00001</t>
  </si>
  <si>
    <t>Reclamação</t>
  </si>
  <si>
    <t>Não</t>
  </si>
  <si>
    <t>I00002</t>
  </si>
  <si>
    <t>Dúvida</t>
  </si>
  <si>
    <t>WhatsApp</t>
  </si>
  <si>
    <t>Sim</t>
  </si>
  <si>
    <t>I00003</t>
  </si>
  <si>
    <t>Financeiro</t>
  </si>
  <si>
    <t>Telefone</t>
  </si>
  <si>
    <t>I00004</t>
  </si>
  <si>
    <t>I00005</t>
  </si>
  <si>
    <t>I00006</t>
  </si>
  <si>
    <t>Downgrade</t>
  </si>
  <si>
    <t>I00007</t>
  </si>
  <si>
    <t>I00008</t>
  </si>
  <si>
    <t>I00009</t>
  </si>
  <si>
    <t>Problema técnico</t>
  </si>
  <si>
    <t>I00010</t>
  </si>
  <si>
    <t>I00011</t>
  </si>
  <si>
    <t>I00012</t>
  </si>
  <si>
    <t>I00013</t>
  </si>
  <si>
    <t>I00014</t>
  </si>
  <si>
    <t>I00015</t>
  </si>
  <si>
    <t>Portal</t>
  </si>
  <si>
    <t>I00016</t>
  </si>
  <si>
    <t>I00017</t>
  </si>
  <si>
    <t>I00018</t>
  </si>
  <si>
    <t>I00019</t>
  </si>
  <si>
    <t>I00020</t>
  </si>
  <si>
    <t>I00021</t>
  </si>
  <si>
    <t>Upgrade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</si>
  <si>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</si>
  <si>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</si>
  <si>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</si>
  <si>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</si>
  <si>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</si>
  <si>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</si>
  <si>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</si>
  <si>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</si>
  <si>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</si>
  <si>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</si>
  <si>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</si>
  <si>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Cancelamento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</si>
  <si>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</si>
  <si>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</si>
  <si>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</si>
  <si>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</si>
  <si>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</si>
  <si>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</si>
  <si>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</si>
  <si>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</si>
  <si>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</si>
  <si>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</si>
  <si>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</si>
  <si>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</si>
  <si>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</si>
  <si>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</si>
  <si>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</si>
  <si>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</si>
  <si>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</si>
  <si>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</si>
  <si>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</si>
  <si>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</si>
  <si>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</si>
  <si>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</si>
  <si>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</si>
  <si>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</si>
  <si>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</si>
  <si>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</si>
  <si>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</si>
  <si>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</si>
  <si>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</si>
  <si>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</si>
  <si>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</si>
  <si>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</si>
  <si>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</si>
  <si>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</si>
  <si>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</si>
  <si>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</si>
  <si>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</si>
  <si>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</si>
  <si>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</si>
  <si>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</si>
  <si>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</si>
  <si>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</si>
  <si>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</si>
  <si>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</si>
  <si>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</si>
  <si>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</si>
  <si>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</si>
  <si>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</si>
  <si>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</si>
  <si>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</si>
  <si>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</si>
  <si>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</si>
  <si>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</si>
  <si>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</si>
  <si>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</si>
  <si>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</si>
  <si>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</si>
  <si>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</si>
  <si>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</si>
  <si>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</si>
  <si>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</si>
  <si>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</si>
  <si>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</si>
  <si>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</si>
  <si>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</si>
  <si>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</si>
  <si>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</si>
  <si>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</si>
  <si>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</si>
  <si>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</si>
  <si>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</si>
  <si>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</si>
  <si>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</si>
  <si>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</si>
  <si>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</si>
  <si>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</si>
  <si>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</si>
  <si>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</si>
  <si>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</si>
  <si>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</si>
  <si>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</si>
  <si>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</si>
  <si>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</si>
  <si>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</si>
  <si>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</si>
  <si>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</si>
  <si>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</si>
  <si>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</si>
  <si>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</si>
  <si>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</si>
  <si>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</si>
  <si>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</si>
  <si>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</si>
  <si>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</si>
  <si>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</si>
  <si>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</si>
  <si>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</si>
  <si>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</si>
  <si>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</si>
  <si>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</si>
  <si>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</si>
  <si>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</si>
  <si>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</si>
  <si>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</si>
  <si>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</si>
  <si>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</si>
  <si>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</si>
  <si>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</si>
  <si>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</si>
  <si>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</si>
  <si>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</si>
  <si>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</si>
  <si>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</si>
  <si>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</si>
  <si>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</si>
  <si>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</si>
  <si>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</si>
  <si>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</si>
  <si>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</si>
  <si>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</si>
  <si>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</si>
  <si>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</si>
  <si>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</si>
  <si>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</si>
  <si>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</si>
  <si>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</si>
  <si>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</si>
  <si>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</si>
  <si>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</si>
  <si>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</si>
  <si>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</si>
  <si>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</si>
  <si>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</si>
  <si>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</si>
  <si>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</si>
  <si>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</si>
  <si>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</si>
  <si>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</si>
  <si>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</si>
  <si>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</si>
  <si>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</si>
  <si>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</si>
  <si>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</si>
  <si>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</si>
  <si>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</si>
  <si>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</si>
  <si>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</si>
  <si>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</si>
  <si>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</si>
  <si>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</si>
  <si>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</si>
  <si>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</si>
  <si>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</si>
  <si>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</si>
  <si>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</si>
  <si>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</si>
  <si>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</si>
  <si>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</si>
  <si>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</si>
  <si>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</si>
  <si>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</si>
  <si>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</si>
  <si>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</si>
  <si>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</si>
  <si>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</si>
  <si>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</si>
  <si>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</si>
  <si>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</si>
  <si>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I00201</t>
  </si>
  <si>
    <t>I00202</t>
  </si>
  <si>
    <t>I00203</t>
  </si>
  <si>
    <t>I00204</t>
  </si>
  <si>
    <t>I00205</t>
  </si>
  <si>
    <t>I00206</t>
  </si>
  <si>
    <t>I00207</t>
  </si>
  <si>
    <t>I00208</t>
  </si>
  <si>
    <t>I00209</t>
  </si>
  <si>
    <t>I00210</t>
  </si>
  <si>
    <t>I00211</t>
  </si>
  <si>
    <t>I00212</t>
  </si>
  <si>
    <t>I00213</t>
  </si>
  <si>
    <t>I00214</t>
  </si>
  <si>
    <t>I00215</t>
  </si>
  <si>
    <t>I00216</t>
  </si>
  <si>
    <t>I00217</t>
  </si>
  <si>
    <t>I00218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</si>
  <si>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</si>
  <si>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</si>
  <si>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</si>
  <si>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</si>
  <si>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</si>
  <si>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</si>
  <si>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</si>
  <si>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</si>
  <si>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</si>
  <si>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</si>
  <si>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</si>
  <si>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</si>
  <si>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</si>
  <si>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</si>
  <si>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</si>
  <si>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</si>
  <si>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</si>
  <si>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</si>
  <si>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</si>
  <si>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</si>
  <si>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</si>
  <si>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</si>
  <si>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</si>
  <si>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I00242</t>
  </si>
  <si>
    <t>I00243</t>
  </si>
  <si>
    <t>I00244</t>
  </si>
  <si>
    <t>I00245</t>
  </si>
  <si>
    <t>I00246</t>
  </si>
  <si>
    <t>I00247</t>
  </si>
  <si>
    <t>I00248</t>
  </si>
  <si>
    <t>I00249</t>
  </si>
  <si>
    <t>I00250</t>
  </si>
  <si>
    <t>I00251</t>
  </si>
  <si>
    <t>I00252</t>
  </si>
  <si>
    <t>I00253</t>
  </si>
  <si>
    <t>I00254</t>
  </si>
  <si>
    <t>I00255</t>
  </si>
  <si>
    <t>I00256</t>
  </si>
  <si>
    <t>I00257</t>
  </si>
  <si>
    <t>I00258</t>
  </si>
  <si>
    <t>I00259</t>
  </si>
  <si>
    <t>I00260</t>
  </si>
  <si>
    <t>I00261</t>
  </si>
  <si>
    <t>I00262</t>
  </si>
  <si>
    <t>I00263</t>
  </si>
  <si>
    <t>I00264</t>
  </si>
  <si>
    <t>I00265</t>
  </si>
  <si>
    <t>I00266</t>
  </si>
  <si>
    <t>I00267</t>
  </si>
  <si>
    <t>I00268</t>
  </si>
  <si>
    <t>I00269</t>
  </si>
  <si>
    <t>I00270</t>
  </si>
  <si>
    <t>I00271</t>
  </si>
  <si>
    <t>I00272</t>
  </si>
  <si>
    <t>I00273</t>
  </si>
  <si>
    <t>I00274</t>
  </si>
  <si>
    <t>I00275</t>
  </si>
  <si>
    <t>I00276</t>
  </si>
  <si>
    <t>I00277</t>
  </si>
  <si>
    <t>I00278</t>
  </si>
  <si>
    <t>I00279</t>
  </si>
  <si>
    <t>I00280</t>
  </si>
  <si>
    <t>I00281</t>
  </si>
  <si>
    <t>I00282</t>
  </si>
  <si>
    <t>I00283</t>
  </si>
  <si>
    <t>I00284</t>
  </si>
  <si>
    <t>I00285</t>
  </si>
  <si>
    <t>I00286</t>
  </si>
  <si>
    <t>I00287</t>
  </si>
  <si>
    <t>I00288</t>
  </si>
  <si>
    <t>I00289</t>
  </si>
  <si>
    <t>I00290</t>
  </si>
  <si>
    <t>I00291</t>
  </si>
  <si>
    <t>I00292</t>
  </si>
  <si>
    <t>I00293</t>
  </si>
  <si>
    <t>I00294</t>
  </si>
  <si>
    <t>I00295</t>
  </si>
  <si>
    <t>I00296</t>
  </si>
  <si>
    <t>I00297</t>
  </si>
  <si>
    <t>I00298</t>
  </si>
  <si>
    <t>I00299</t>
  </si>
  <si>
    <t>I00300</t>
  </si>
  <si>
    <t>I00301</t>
  </si>
  <si>
    <t>I00302</t>
  </si>
  <si>
    <t>I00303</t>
  </si>
  <si>
    <t>I00304</t>
  </si>
  <si>
    <t>I00305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</si>
  <si>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</si>
  <si>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</si>
  <si>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</si>
  <si>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</si>
  <si>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</si>
  <si>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</si>
  <si>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</si>
  <si>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</si>
  <si>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</si>
  <si>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</si>
  <si>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</si>
  <si>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</si>
  <si>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</si>
  <si>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</si>
  <si>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</si>
  <si>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</si>
  <si>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</si>
  <si>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</si>
  <si>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</si>
  <si>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</si>
  <si>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</si>
  <si>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</si>
  <si>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</si>
  <si>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</si>
  <si>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</si>
  <si>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</si>
  <si>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</si>
  <si>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</si>
  <si>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I00334</t>
  </si>
  <si>
    <t>I00335</t>
  </si>
  <si>
    <t>I00336</t>
  </si>
  <si>
    <t>I00337</t>
  </si>
  <si>
    <t>I00338</t>
  </si>
  <si>
    <t>I00339</t>
  </si>
  <si>
    <t>I00340</t>
  </si>
  <si>
    <t>I00341</t>
  </si>
  <si>
    <t>I00342</t>
  </si>
  <si>
    <t>I00343</t>
  </si>
  <si>
    <t>I00344</t>
  </si>
  <si>
    <t>I00345</t>
  </si>
  <si>
    <t>I00346</t>
  </si>
  <si>
    <t>I00347</t>
  </si>
  <si>
    <t>I00348</t>
  </si>
  <si>
    <t>I00349</t>
  </si>
  <si>
    <t>I00350</t>
  </si>
  <si>
    <t>I00351</t>
  </si>
  <si>
    <t>I00352</t>
  </si>
  <si>
    <t>I00353</t>
  </si>
  <si>
    <t>I00354</t>
  </si>
  <si>
    <t>I00355</t>
  </si>
  <si>
    <t>I00356</t>
  </si>
  <si>
    <t>I00357</t>
  </si>
  <si>
    <t>I00358</t>
  </si>
  <si>
    <t>I00359</t>
  </si>
  <si>
    <t>I00360</t>
  </si>
  <si>
    <t>I00361</t>
  </si>
  <si>
    <t>I00362</t>
  </si>
  <si>
    <t>I00363</t>
  </si>
  <si>
    <t>I00364</t>
  </si>
  <si>
    <t>I00365</t>
  </si>
  <si>
    <t>I00366</t>
  </si>
  <si>
    <t>I00367</t>
  </si>
  <si>
    <t>I00368</t>
  </si>
  <si>
    <t>I00369</t>
  </si>
  <si>
    <t>I00370</t>
  </si>
  <si>
    <t>I00371</t>
  </si>
  <si>
    <t>I00372</t>
  </si>
  <si>
    <t>I00373</t>
  </si>
  <si>
    <t>I00374</t>
  </si>
  <si>
    <t>I00375</t>
  </si>
  <si>
    <t>I00376</t>
  </si>
  <si>
    <t>I00377</t>
  </si>
  <si>
    <t>I00378</t>
  </si>
  <si>
    <t>I00379</t>
  </si>
  <si>
    <t>I00380</t>
  </si>
  <si>
    <t>I00381</t>
  </si>
  <si>
    <t>I00382</t>
  </si>
  <si>
    <t>I00383</t>
  </si>
  <si>
    <t>I00384</t>
  </si>
  <si>
    <t>I00385</t>
  </si>
  <si>
    <t>I00386</t>
  </si>
  <si>
    <t>I00387</t>
  </si>
  <si>
    <t>I00388</t>
  </si>
  <si>
    <t>I00389</t>
  </si>
  <si>
    <t>I00390</t>
  </si>
  <si>
    <t>I00391</t>
  </si>
  <si>
    <t>I00392</t>
  </si>
  <si>
    <t>I00393</t>
  </si>
  <si>
    <t>I00394</t>
  </si>
  <si>
    <t>I00395</t>
  </si>
  <si>
    <t>I00396</t>
  </si>
  <si>
    <t>I00397</t>
  </si>
  <si>
    <t>I00398</t>
  </si>
  <si>
    <t>I00399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</si>
  <si>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</si>
  <si>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</si>
  <si>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</si>
  <si>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</si>
  <si>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</si>
  <si>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</si>
  <si>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</si>
  <si>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</si>
  <si>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</si>
  <si>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</si>
  <si>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</si>
  <si>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</si>
  <si>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</si>
  <si>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</si>
  <si>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</si>
  <si>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</si>
  <si>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</si>
  <si>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</si>
  <si>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</si>
  <si>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</si>
  <si>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</si>
  <si>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</si>
  <si>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</si>
  <si>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</si>
  <si>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</si>
  <si>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</si>
  <si>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</si>
  <si>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</si>
  <si>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</si>
  <si>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</si>
  <si>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</si>
  <si>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</si>
  <si>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</si>
  <si>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I00433</t>
  </si>
  <si>
    <t>I00434</t>
  </si>
  <si>
    <t>I00435</t>
  </si>
  <si>
    <t>I00436</t>
  </si>
  <si>
    <t>I00437</t>
  </si>
  <si>
    <t>I00438</t>
  </si>
  <si>
    <t>I00439</t>
  </si>
  <si>
    <t>I00440</t>
  </si>
  <si>
    <t>I00441</t>
  </si>
  <si>
    <t>I00442</t>
  </si>
  <si>
    <t>I00443</t>
  </si>
  <si>
    <t>I00444</t>
  </si>
  <si>
    <t>I00445</t>
  </si>
  <si>
    <t>I00446</t>
  </si>
  <si>
    <t>I00447</t>
  </si>
  <si>
    <t>I00448</t>
  </si>
  <si>
    <t>I00449</t>
  </si>
  <si>
    <t>I00450</t>
  </si>
  <si>
    <t>I00451</t>
  </si>
  <si>
    <t>I00452</t>
  </si>
  <si>
    <t>I00453</t>
  </si>
  <si>
    <t>I00454</t>
  </si>
  <si>
    <t>I00455</t>
  </si>
  <si>
    <t>I00456</t>
  </si>
  <si>
    <t>I00457</t>
  </si>
  <si>
    <t>I00458</t>
  </si>
  <si>
    <t>I00459</t>
  </si>
  <si>
    <t>I00460</t>
  </si>
  <si>
    <t>I00461</t>
  </si>
  <si>
    <t>I00462</t>
  </si>
  <si>
    <t>I00463</t>
  </si>
  <si>
    <t>I00464</t>
  </si>
  <si>
    <t>I00465</t>
  </si>
  <si>
    <t>I00466</t>
  </si>
  <si>
    <t>I00467</t>
  </si>
  <si>
    <t>I00468</t>
  </si>
  <si>
    <t>I00469</t>
  </si>
  <si>
    <t>I00470</t>
  </si>
  <si>
    <t>I00471</t>
  </si>
  <si>
    <t>I00472</t>
  </si>
  <si>
    <t>I00473</t>
  </si>
  <si>
    <t>I00474</t>
  </si>
  <si>
    <t>I00475</t>
  </si>
  <si>
    <t>I00476</t>
  </si>
  <si>
    <t>I00477</t>
  </si>
  <si>
    <t>I00478</t>
  </si>
  <si>
    <t>I00479</t>
  </si>
  <si>
    <t>I00480</t>
  </si>
  <si>
    <t>I00481</t>
  </si>
  <si>
    <t>I00482</t>
  </si>
  <si>
    <t>I00483</t>
  </si>
  <si>
    <t>I00484</t>
  </si>
  <si>
    <t>I00485</t>
  </si>
  <si>
    <t>I00486</t>
  </si>
  <si>
    <t>I00487</t>
  </si>
  <si>
    <t>I00488</t>
  </si>
  <si>
    <t>I00489</t>
  </si>
  <si>
    <t>I00490</t>
  </si>
  <si>
    <t>I00491</t>
  </si>
  <si>
    <t>I00492</t>
  </si>
  <si>
    <t>I00493</t>
  </si>
  <si>
    <t>I00494</t>
  </si>
  <si>
    <t>I00495</t>
  </si>
  <si>
    <t>I00496</t>
  </si>
  <si>
    <t>I00497</t>
  </si>
  <si>
    <t>I00498</t>
  </si>
  <si>
    <t>I00499</t>
  </si>
  <si>
    <t>I00500</t>
  </si>
  <si>
    <t>I00501</t>
  </si>
  <si>
    <t>I00502</t>
  </si>
  <si>
    <t>I00503</t>
  </si>
  <si>
    <t>I00504</t>
  </si>
  <si>
    <t>I00505</t>
  </si>
  <si>
    <t>I00506</t>
  </si>
  <si>
    <t>I00507</t>
  </si>
  <si>
    <t>I00508</t>
  </si>
  <si>
    <t>I00509</t>
  </si>
  <si>
    <t>I00510</t>
  </si>
  <si>
    <t>I00511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</si>
  <si>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</si>
  <si>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</si>
  <si>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</si>
  <si>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</si>
  <si>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</si>
  <si>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</si>
  <si>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</si>
  <si>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</si>
  <si>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</si>
  <si>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</si>
  <si>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</si>
  <si>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</si>
  <si>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</si>
  <si>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</si>
  <si>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</si>
  <si>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</si>
  <si>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</si>
  <si>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</si>
  <si>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</si>
  <si>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</si>
  <si>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</si>
  <si>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</si>
  <si>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</si>
  <si>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</si>
  <si>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</si>
  <si>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</si>
  <si>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</si>
  <si>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</si>
  <si>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</si>
  <si>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</si>
  <si>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</si>
  <si>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</si>
  <si>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</si>
  <si>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</si>
  <si>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I00546</t>
  </si>
  <si>
    <t>I00547</t>
  </si>
  <si>
    <t>I00548</t>
  </si>
  <si>
    <t>I00549</t>
  </si>
  <si>
    <t>I00550</t>
  </si>
  <si>
    <t>I00551</t>
  </si>
  <si>
    <t>I00552</t>
  </si>
  <si>
    <t>I00553</t>
  </si>
  <si>
    <t>I00554</t>
  </si>
  <si>
    <t>I00555</t>
  </si>
  <si>
    <t>I00556</t>
  </si>
  <si>
    <t>I00557</t>
  </si>
  <si>
    <t>I00558</t>
  </si>
  <si>
    <t>I00559</t>
  </si>
  <si>
    <t>I00560</t>
  </si>
  <si>
    <t>I00561</t>
  </si>
  <si>
    <t>I00562</t>
  </si>
  <si>
    <t>I00563</t>
  </si>
  <si>
    <t>I00564</t>
  </si>
  <si>
    <t>I00565</t>
  </si>
  <si>
    <t>I00566</t>
  </si>
  <si>
    <t>I00567</t>
  </si>
  <si>
    <t>I00568</t>
  </si>
  <si>
    <t>I00569</t>
  </si>
  <si>
    <t>I00570</t>
  </si>
  <si>
    <t>I00571</t>
  </si>
  <si>
    <t>I00572</t>
  </si>
  <si>
    <t>I00573</t>
  </si>
  <si>
    <t>I00574</t>
  </si>
  <si>
    <t>I00575</t>
  </si>
  <si>
    <t>I00576</t>
  </si>
  <si>
    <t>I00577</t>
  </si>
  <si>
    <t>I00578</t>
  </si>
  <si>
    <t>I00579</t>
  </si>
  <si>
    <t>I00580</t>
  </si>
  <si>
    <t>I00581</t>
  </si>
  <si>
    <t>I00582</t>
  </si>
  <si>
    <t>I00583</t>
  </si>
  <si>
    <t>I00584</t>
  </si>
  <si>
    <t>I00585</t>
  </si>
  <si>
    <t>I00586</t>
  </si>
  <si>
    <t>I00587</t>
  </si>
  <si>
    <t>I00588</t>
  </si>
  <si>
    <t>I00589</t>
  </si>
  <si>
    <t>I00590</t>
  </si>
  <si>
    <t>I00591</t>
  </si>
  <si>
    <t>I00592</t>
  </si>
  <si>
    <t>I00593</t>
  </si>
  <si>
    <t>I00594</t>
  </si>
  <si>
    <t>I00595</t>
  </si>
  <si>
    <t>I00596</t>
  </si>
  <si>
    <t>I00597</t>
  </si>
  <si>
    <t>I00598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</si>
  <si>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</si>
  <si>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</si>
  <si>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</si>
  <si>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</si>
  <si>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</si>
  <si>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</si>
  <si>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</si>
  <si>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</si>
  <si>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</si>
  <si>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</si>
  <si>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</si>
  <si>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</si>
  <si>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</si>
  <si>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</si>
  <si>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</si>
  <si>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</si>
  <si>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</si>
  <si>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</si>
  <si>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</si>
  <si>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</si>
  <si>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</si>
  <si>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</si>
  <si>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</si>
  <si>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</si>
  <si>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</si>
  <si>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</si>
  <si>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</si>
  <si>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</si>
  <si>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</si>
  <si>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</si>
  <si>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</si>
  <si>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</si>
  <si>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</si>
  <si>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</si>
  <si>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</si>
  <si>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</si>
  <si>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</si>
  <si>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</si>
  <si>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</si>
  <si>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</si>
  <si>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</si>
  <si>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</si>
  <si>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I00641</t>
  </si>
  <si>
    <t>I00642</t>
  </si>
  <si>
    <t>I00643</t>
  </si>
  <si>
    <t>I00644</t>
  </si>
  <si>
    <t>I00645</t>
  </si>
  <si>
    <t>I00646</t>
  </si>
  <si>
    <t>I00647</t>
  </si>
  <si>
    <t>I00648</t>
  </si>
  <si>
    <t>I00649</t>
  </si>
  <si>
    <t>I00650</t>
  </si>
  <si>
    <t>I00651</t>
  </si>
  <si>
    <t>I00652</t>
  </si>
  <si>
    <t>I00653</t>
  </si>
  <si>
    <t>I00654</t>
  </si>
  <si>
    <t>I00655</t>
  </si>
  <si>
    <t>I00656</t>
  </si>
  <si>
    <t>I00657</t>
  </si>
  <si>
    <t>I00658</t>
  </si>
  <si>
    <t>I00659</t>
  </si>
  <si>
    <t>I00660</t>
  </si>
  <si>
    <t>I00661</t>
  </si>
  <si>
    <t>I00662</t>
  </si>
  <si>
    <t>I00663</t>
  </si>
  <si>
    <t>I00664</t>
  </si>
  <si>
    <t>I00665</t>
  </si>
  <si>
    <t>I00666</t>
  </si>
  <si>
    <t>I00667</t>
  </si>
  <si>
    <t>I00668</t>
  </si>
  <si>
    <t>I00669</t>
  </si>
  <si>
    <t>I00670</t>
  </si>
  <si>
    <t>I00671</t>
  </si>
  <si>
    <t>I00672</t>
  </si>
  <si>
    <t>I00673</t>
  </si>
  <si>
    <t>I00674</t>
  </si>
  <si>
    <t>I00675</t>
  </si>
  <si>
    <t>I00676</t>
  </si>
  <si>
    <t>I00677</t>
  </si>
  <si>
    <t>I00678</t>
  </si>
  <si>
    <t>I00679</t>
  </si>
  <si>
    <t>I00680</t>
  </si>
  <si>
    <t>I00681</t>
  </si>
  <si>
    <t>I00682</t>
  </si>
  <si>
    <t>I00683</t>
  </si>
  <si>
    <t>I00684</t>
  </si>
  <si>
    <t>I00685</t>
  </si>
  <si>
    <t>I00686</t>
  </si>
  <si>
    <t>I00687</t>
  </si>
  <si>
    <t>I00688</t>
  </si>
  <si>
    <t>I00689</t>
  </si>
  <si>
    <t>I00690</t>
  </si>
  <si>
    <t>I00691</t>
  </si>
  <si>
    <t>I00692</t>
  </si>
  <si>
    <t>I00693</t>
  </si>
  <si>
    <t>I00694</t>
  </si>
  <si>
    <t>I00695</t>
  </si>
  <si>
    <t>I00696</t>
  </si>
  <si>
    <t>I00697</t>
  </si>
  <si>
    <t>I00698</t>
  </si>
  <si>
    <t>I00699</t>
  </si>
  <si>
    <t>I00700</t>
  </si>
  <si>
    <t>I00701</t>
  </si>
  <si>
    <t>I00702</t>
  </si>
  <si>
    <t>I00703</t>
  </si>
  <si>
    <t>I00704</t>
  </si>
  <si>
    <t>I00705</t>
  </si>
  <si>
    <t>I00706</t>
  </si>
  <si>
    <t>I00707</t>
  </si>
  <si>
    <t>I00708</t>
  </si>
  <si>
    <t>I00709</t>
  </si>
  <si>
    <t>I00710</t>
  </si>
  <si>
    <t>I00711</t>
  </si>
  <si>
    <t>I00712</t>
  </si>
  <si>
    <t>I00713</t>
  </si>
  <si>
    <t>I00714</t>
  </si>
  <si>
    <t>I00715</t>
  </si>
  <si>
    <t>I00716</t>
  </si>
  <si>
    <t>I00717</t>
  </si>
  <si>
    <t>I00718</t>
  </si>
  <si>
    <t>I00719</t>
  </si>
  <si>
    <t>I00720</t>
  </si>
  <si>
    <t>I00721</t>
  </si>
  <si>
    <t>I00722</t>
  </si>
  <si>
    <t>I00723</t>
  </si>
  <si>
    <t>I00724</t>
  </si>
  <si>
    <t>I00725</t>
  </si>
  <si>
    <t>I00726</t>
  </si>
  <si>
    <t>I00727</t>
  </si>
  <si>
    <t>I00728</t>
  </si>
  <si>
    <t>I00729</t>
  </si>
  <si>
    <t>I00730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</si>
  <si>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</si>
  <si>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</si>
  <si>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</si>
  <si>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</si>
  <si>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</si>
  <si>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</si>
  <si>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</si>
  <si>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</si>
  <si>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</si>
  <si>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</si>
  <si>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</si>
  <si>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</si>
  <si>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</si>
  <si>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</si>
  <si>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</si>
  <si>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</si>
  <si>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</si>
  <si>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</si>
  <si>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</si>
  <si>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</si>
  <si>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</si>
  <si>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</si>
  <si>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</si>
  <si>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</si>
  <si>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</si>
  <si>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</si>
  <si>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</si>
  <si>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</si>
  <si>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</si>
  <si>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</si>
  <si>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</si>
  <si>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</si>
  <si>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</si>
  <si>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</si>
  <si>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</si>
  <si>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I00766</t>
  </si>
  <si>
    <t>I00767</t>
  </si>
  <si>
    <t>I00768</t>
  </si>
  <si>
    <t>I00769</t>
  </si>
  <si>
    <t>I00770</t>
  </si>
  <si>
    <t>I00771</t>
  </si>
  <si>
    <t>I00772</t>
  </si>
  <si>
    <t>I00773</t>
  </si>
  <si>
    <t>I00774</t>
  </si>
  <si>
    <t>I00775</t>
  </si>
  <si>
    <t>I00776</t>
  </si>
  <si>
    <t>I00777</t>
  </si>
  <si>
    <t>I00778</t>
  </si>
  <si>
    <t>I00779</t>
  </si>
  <si>
    <t>I00780</t>
  </si>
  <si>
    <t>I00781</t>
  </si>
  <si>
    <t>I00782</t>
  </si>
  <si>
    <t>I00783</t>
  </si>
  <si>
    <t>I00784</t>
  </si>
  <si>
    <t>I00785</t>
  </si>
  <si>
    <t>I00786</t>
  </si>
  <si>
    <t>I00787</t>
  </si>
  <si>
    <t>I00788</t>
  </si>
  <si>
    <t>I00789</t>
  </si>
  <si>
    <t>I00790</t>
  </si>
  <si>
    <t>I00791</t>
  </si>
  <si>
    <t>I00792</t>
  </si>
  <si>
    <t>I00793</t>
  </si>
  <si>
    <t>I00794</t>
  </si>
  <si>
    <t>I00795</t>
  </si>
  <si>
    <t>I00796</t>
  </si>
  <si>
    <t>I00797</t>
  </si>
  <si>
    <t>I00798</t>
  </si>
  <si>
    <t>I00799</t>
  </si>
  <si>
    <t>I00800</t>
  </si>
  <si>
    <t>I00801</t>
  </si>
  <si>
    <t>I00802</t>
  </si>
  <si>
    <t>I00803</t>
  </si>
  <si>
    <t>I00804</t>
  </si>
  <si>
    <t>I00805</t>
  </si>
  <si>
    <t>I00806</t>
  </si>
  <si>
    <t>I00807</t>
  </si>
  <si>
    <t>I00808</t>
  </si>
  <si>
    <t>I00809</t>
  </si>
  <si>
    <t>I00810</t>
  </si>
  <si>
    <t>I00811</t>
  </si>
  <si>
    <t>I00812</t>
  </si>
  <si>
    <t>I00813</t>
  </si>
  <si>
    <t>I00814</t>
  </si>
  <si>
    <t>I00815</t>
  </si>
  <si>
    <t>I00816</t>
  </si>
  <si>
    <t>I00817</t>
  </si>
  <si>
    <t>I00818</t>
  </si>
  <si>
    <t>I00819</t>
  </si>
  <si>
    <t>I00820</t>
  </si>
  <si>
    <t>I00821</t>
  </si>
  <si>
    <t>I00822</t>
  </si>
  <si>
    <t>I00823</t>
  </si>
  <si>
    <t>I00824</t>
  </si>
  <si>
    <t>I00825</t>
  </si>
  <si>
    <t>I00826</t>
  </si>
  <si>
    <t>I00827</t>
  </si>
  <si>
    <t>I00828</t>
  </si>
  <si>
    <t>I00829</t>
  </si>
  <si>
    <t>I00830</t>
  </si>
  <si>
    <t>I00831</t>
  </si>
  <si>
    <t>I00832</t>
  </si>
  <si>
    <t>I00833</t>
  </si>
  <si>
    <t>I00834</t>
  </si>
  <si>
    <t>I00835</t>
  </si>
  <si>
    <t>I00836</t>
  </si>
  <si>
    <t>I00837</t>
  </si>
  <si>
    <t>I00838</t>
  </si>
  <si>
    <t>I00839</t>
  </si>
  <si>
    <t>I00840</t>
  </si>
  <si>
    <t>I00841</t>
  </si>
  <si>
    <t>I00842</t>
  </si>
  <si>
    <t>I00843</t>
  </si>
  <si>
    <t>I00844</t>
  </si>
  <si>
    <t>I00845</t>
  </si>
  <si>
    <t>I00846</t>
  </si>
  <si>
    <t>I00847</t>
  </si>
  <si>
    <t>I00848</t>
  </si>
  <si>
    <t>I00849</t>
  </si>
  <si>
    <t>I00850</t>
  </si>
  <si>
    <t>I00851</t>
  </si>
  <si>
    <t>I00852</t>
  </si>
  <si>
    <t>I00853</t>
  </si>
  <si>
    <t>I00854</t>
  </si>
  <si>
    <t>I00855</t>
  </si>
  <si>
    <t>I00856</t>
  </si>
  <si>
    <t>I00857</t>
  </si>
  <si>
    <t>I00858</t>
  </si>
  <si>
    <t>I00859</t>
  </si>
  <si>
    <t>I00860</t>
  </si>
  <si>
    <t>I00861</t>
  </si>
  <si>
    <t>I00862</t>
  </si>
  <si>
    <t>I00863</t>
  </si>
  <si>
    <t>I00864</t>
  </si>
  <si>
    <t>I00865</t>
  </si>
  <si>
    <t>I00866</t>
  </si>
  <si>
    <t>I00867</t>
  </si>
  <si>
    <t>I00868</t>
  </si>
  <si>
    <t>I00869</t>
  </si>
  <si>
    <t>I00870</t>
  </si>
  <si>
    <t>I00871</t>
  </si>
  <si>
    <t>I00872</t>
  </si>
  <si>
    <t>I00873</t>
  </si>
  <si>
    <t>I00874</t>
  </si>
  <si>
    <t>I00875</t>
  </si>
  <si>
    <t>I00876</t>
  </si>
  <si>
    <t>I00877</t>
  </si>
  <si>
    <t>I00878</t>
  </si>
  <si>
    <t>I00879</t>
  </si>
  <si>
    <t>I00880</t>
  </si>
  <si>
    <t>I00881</t>
  </si>
  <si>
    <t>I00882</t>
  </si>
  <si>
    <t>I00883</t>
  </si>
  <si>
    <t>I00884</t>
  </si>
  <si>
    <t>I00885</t>
  </si>
  <si>
    <t>I00886</t>
  </si>
  <si>
    <t>I00887</t>
  </si>
  <si>
    <t>I00888</t>
  </si>
  <si>
    <t>I00889</t>
  </si>
  <si>
    <t>I00890</t>
  </si>
  <si>
    <t>I00891</t>
  </si>
  <si>
    <t>I00892</t>
  </si>
  <si>
    <t>I00893</t>
  </si>
  <si>
    <t>I00894</t>
  </si>
  <si>
    <t>I00895</t>
  </si>
  <si>
    <t>I00896</t>
  </si>
  <si>
    <t>I00897</t>
  </si>
  <si>
    <t>I00898</t>
  </si>
  <si>
    <t>I00899</t>
  </si>
  <si>
    <t>I00900</t>
  </si>
  <si>
    <t>I00901</t>
  </si>
  <si>
    <t>I00902</t>
  </si>
  <si>
    <t>I00903</t>
  </si>
  <si>
    <t>I00904</t>
  </si>
  <si>
    <t>I00905</t>
  </si>
  <si>
    <t>I00906</t>
  </si>
  <si>
    <t>I00907</t>
  </si>
  <si>
    <t>I00908</t>
  </si>
  <si>
    <t>I00909</t>
  </si>
  <si>
    <t>I00910</t>
  </si>
  <si>
    <t>I00911</t>
  </si>
  <si>
    <t>I00912</t>
  </si>
  <si>
    <t>I00913</t>
  </si>
  <si>
    <t>I00914</t>
  </si>
  <si>
    <t>I00915</t>
  </si>
  <si>
    <t>I00916</t>
  </si>
  <si>
    <t>I00917</t>
  </si>
  <si>
    <t>I00918</t>
  </si>
  <si>
    <t>I00919</t>
  </si>
  <si>
    <t>I00920</t>
  </si>
  <si>
    <t>I00921</t>
  </si>
  <si>
    <t>I00922</t>
  </si>
  <si>
    <t>I00923</t>
  </si>
  <si>
    <t>I00924</t>
  </si>
  <si>
    <t>I00925</t>
  </si>
  <si>
    <t>I00926</t>
  </si>
  <si>
    <t>I00927</t>
  </si>
  <si>
    <t>I00928</t>
  </si>
  <si>
    <t>I00929</t>
  </si>
  <si>
    <t>I00930</t>
  </si>
  <si>
    <t>I00931</t>
  </si>
  <si>
    <t>I00932</t>
  </si>
  <si>
    <t>I00933</t>
  </si>
  <si>
    <t>I00934</t>
  </si>
  <si>
    <t>I00935</t>
  </si>
  <si>
    <t>I00936</t>
  </si>
  <si>
    <t>I00937</t>
  </si>
  <si>
    <t>I00938</t>
  </si>
  <si>
    <t>I00939</t>
  </si>
  <si>
    <t>I00940</t>
  </si>
  <si>
    <t>I00941</t>
  </si>
  <si>
    <t>I00942</t>
  </si>
  <si>
    <t>I00943</t>
  </si>
  <si>
    <t>I00944</t>
  </si>
  <si>
    <t>I00945</t>
  </si>
  <si>
    <t>I00946</t>
  </si>
  <si>
    <t>I00947</t>
  </si>
  <si>
    <t>I00948</t>
  </si>
  <si>
    <t>I00949</t>
  </si>
  <si>
    <t>I00950</t>
  </si>
  <si>
    <t>I00951</t>
  </si>
  <si>
    <t>I00952</t>
  </si>
  <si>
    <t>I00953</t>
  </si>
  <si>
    <t>I00954</t>
  </si>
  <si>
    <t>I00955</t>
  </si>
  <si>
    <t>I00956</t>
  </si>
  <si>
    <t>I00957</t>
  </si>
  <si>
    <t>I00958</t>
  </si>
  <si>
    <t>I00959</t>
  </si>
  <si>
    <t>I00960</t>
  </si>
  <si>
    <t>I00961</t>
  </si>
  <si>
    <t>I00962</t>
  </si>
  <si>
    <t>I00963</t>
  </si>
  <si>
    <t>I00964</t>
  </si>
  <si>
    <t>I00965</t>
  </si>
  <si>
    <t>I00966</t>
  </si>
  <si>
    <t>I00967</t>
  </si>
  <si>
    <t>I00968</t>
  </si>
  <si>
    <t>I00969</t>
  </si>
  <si>
    <t>I00970</t>
  </si>
  <si>
    <t>I00971</t>
  </si>
  <si>
    <t>I00972</t>
  </si>
  <si>
    <t>I00973</t>
  </si>
  <si>
    <t>I00974</t>
  </si>
  <si>
    <t>I00975</t>
  </si>
  <si>
    <t>I00976</t>
  </si>
  <si>
    <t>I00977</t>
  </si>
  <si>
    <t>I00978</t>
  </si>
  <si>
    <t>I00979</t>
  </si>
  <si>
    <t>I00980</t>
  </si>
  <si>
    <t>I00981</t>
  </si>
  <si>
    <t>I00982</t>
  </si>
  <si>
    <t>I00983</t>
  </si>
  <si>
    <t>I00984</t>
  </si>
  <si>
    <t>I00985</t>
  </si>
  <si>
    <t>I00986</t>
  </si>
  <si>
    <t>I00987</t>
  </si>
  <si>
    <t>I00988</t>
  </si>
  <si>
    <t>I00989</t>
  </si>
  <si>
    <t>I00990</t>
  </si>
  <si>
    <t>I00991</t>
  </si>
  <si>
    <t>I00992</t>
  </si>
  <si>
    <t>I00993</t>
  </si>
  <si>
    <t>I00994</t>
  </si>
  <si>
    <t>I00995</t>
  </si>
  <si>
    <t>I00996</t>
  </si>
  <si>
    <t>I00997</t>
  </si>
  <si>
    <t>I00998</t>
  </si>
  <si>
    <t>I00999</t>
  </si>
  <si>
    <t>I01000</t>
  </si>
  <si>
    <t>I01001</t>
  </si>
  <si>
    <t>I01002</t>
  </si>
  <si>
    <t>I01003</t>
  </si>
  <si>
    <t>I01004</t>
  </si>
  <si>
    <t>I01005</t>
  </si>
  <si>
    <t>I01006</t>
  </si>
  <si>
    <t>I01007</t>
  </si>
  <si>
    <t>I01008</t>
  </si>
  <si>
    <t>I01009</t>
  </si>
  <si>
    <t>I01010</t>
  </si>
  <si>
    <t>I01011</t>
  </si>
  <si>
    <t>I01012</t>
  </si>
  <si>
    <t>I01013</t>
  </si>
  <si>
    <t>I01014</t>
  </si>
  <si>
    <t>I01015</t>
  </si>
  <si>
    <t>I01016</t>
  </si>
  <si>
    <t>I01017</t>
  </si>
  <si>
    <t>I01018</t>
  </si>
  <si>
    <t>I01019</t>
  </si>
  <si>
    <t>I01020</t>
  </si>
  <si>
    <t>I01021</t>
  </si>
  <si>
    <t>I01022</t>
  </si>
  <si>
    <t>I01023</t>
  </si>
  <si>
    <t>I01024</t>
  </si>
  <si>
    <t>I01025</t>
  </si>
  <si>
    <t>I01026</t>
  </si>
  <si>
    <t>I01027</t>
  </si>
  <si>
    <t>I01028</t>
  </si>
  <si>
    <t>I01029</t>
  </si>
  <si>
    <t>I01030</t>
  </si>
  <si>
    <t>I01031</t>
  </si>
  <si>
    <t>I01032</t>
  </si>
  <si>
    <t>I01033</t>
  </si>
  <si>
    <t>I01034</t>
  </si>
  <si>
    <t>I01035</t>
  </si>
  <si>
    <t>I01036</t>
  </si>
  <si>
    <t>I01037</t>
  </si>
  <si>
    <t>I01038</t>
  </si>
  <si>
    <t>I01039</t>
  </si>
  <si>
    <t>I01040</t>
  </si>
  <si>
    <t>I01041</t>
  </si>
  <si>
    <t>I01042</t>
  </si>
  <si>
    <t>I01043</t>
  </si>
  <si>
    <t>I01044</t>
  </si>
  <si>
    <t>I01045</t>
  </si>
  <si>
    <t>I01046</t>
  </si>
  <si>
    <t>I01047</t>
  </si>
  <si>
    <t>I01048</t>
  </si>
  <si>
    <t>I01049</t>
  </si>
  <si>
    <t>I01050</t>
  </si>
  <si>
    <t>I01051</t>
  </si>
  <si>
    <t>I01052</t>
  </si>
  <si>
    <t>I01053</t>
  </si>
  <si>
    <t>I01054</t>
  </si>
  <si>
    <t>I01055</t>
  </si>
  <si>
    <t>I01056</t>
  </si>
  <si>
    <t>I01057</t>
  </si>
  <si>
    <t>I01058</t>
  </si>
  <si>
    <t>I01059</t>
  </si>
  <si>
    <t>I01060</t>
  </si>
  <si>
    <t>I01061</t>
  </si>
  <si>
    <t>I01062</t>
  </si>
  <si>
    <t>I01063</t>
  </si>
  <si>
    <t>I01064</t>
  </si>
  <si>
    <t>I01065</t>
  </si>
  <si>
    <t>I01066</t>
  </si>
  <si>
    <t>I01067</t>
  </si>
  <si>
    <t>I01068</t>
  </si>
  <si>
    <t>I01069</t>
  </si>
  <si>
    <t>I01070</t>
  </si>
  <si>
    <t>I01071</t>
  </si>
  <si>
    <t>I01072</t>
  </si>
  <si>
    <t>I01073</t>
  </si>
  <si>
    <t>I01074</t>
  </si>
  <si>
    <t>I01075</t>
  </si>
  <si>
    <t>I01076</t>
  </si>
  <si>
    <t>I01077</t>
  </si>
  <si>
    <t>I01078</t>
  </si>
  <si>
    <t>I01079</t>
  </si>
  <si>
    <t>I01080</t>
  </si>
  <si>
    <t>I01081</t>
  </si>
  <si>
    <t>I01082</t>
  </si>
  <si>
    <t>I01083</t>
  </si>
  <si>
    <t>I01084</t>
  </si>
  <si>
    <t>I01085</t>
  </si>
  <si>
    <t>I01086</t>
  </si>
  <si>
    <t>I01087</t>
  </si>
  <si>
    <t>I01088</t>
  </si>
  <si>
    <t>I01089</t>
  </si>
  <si>
    <t>I01090</t>
  </si>
  <si>
    <t>I01091</t>
  </si>
  <si>
    <t>I01092</t>
  </si>
  <si>
    <t>I01093</t>
  </si>
  <si>
    <t>I01094</t>
  </si>
  <si>
    <t>I01095</t>
  </si>
  <si>
    <t>I01096</t>
  </si>
  <si>
    <t>I01097</t>
  </si>
  <si>
    <t>I01098</t>
  </si>
  <si>
    <t>I01099</t>
  </si>
  <si>
    <t>I01100</t>
  </si>
  <si>
    <t>I01101</t>
  </si>
  <si>
    <t>I01102</t>
  </si>
  <si>
    <t>I01103</t>
  </si>
  <si>
    <t>I01104</t>
  </si>
  <si>
    <t>I01105</t>
  </si>
  <si>
    <t>I01106</t>
  </si>
  <si>
    <t>I01107</t>
  </si>
  <si>
    <t>I01108</t>
  </si>
  <si>
    <t>I01109</t>
  </si>
  <si>
    <t>I01110</t>
  </si>
  <si>
    <t>I01111</t>
  </si>
  <si>
    <t>I01112</t>
  </si>
  <si>
    <t>I01113</t>
  </si>
  <si>
    <t>I01114</t>
  </si>
  <si>
    <t>I01115</t>
  </si>
  <si>
    <t>I01116</t>
  </si>
  <si>
    <t>I01117</t>
  </si>
  <si>
    <t>I01118</t>
  </si>
  <si>
    <t>I01119</t>
  </si>
  <si>
    <t>I01120</t>
  </si>
  <si>
    <t>I01121</t>
  </si>
  <si>
    <t>I01122</t>
  </si>
  <si>
    <t>I01123</t>
  </si>
  <si>
    <t>I01124</t>
  </si>
  <si>
    <t>I01125</t>
  </si>
  <si>
    <t>I01126</t>
  </si>
  <si>
    <t>I01127</t>
  </si>
  <si>
    <t>I01128</t>
  </si>
  <si>
    <t>I01129</t>
  </si>
  <si>
    <t>I01130</t>
  </si>
  <si>
    <t>I01131</t>
  </si>
  <si>
    <t>I01132</t>
  </si>
  <si>
    <t>I01133</t>
  </si>
  <si>
    <t>I01134</t>
  </si>
  <si>
    <t>I01135</t>
  </si>
  <si>
    <t>I01136</t>
  </si>
  <si>
    <t>I01137</t>
  </si>
  <si>
    <t>I01138</t>
  </si>
  <si>
    <t>I01139</t>
  </si>
  <si>
    <t>I01140</t>
  </si>
  <si>
    <t>I01141</t>
  </si>
  <si>
    <t>I01142</t>
  </si>
  <si>
    <t>I01143</t>
  </si>
  <si>
    <t>I01144</t>
  </si>
  <si>
    <t>I01145</t>
  </si>
  <si>
    <t>I01146</t>
  </si>
  <si>
    <t>I01147</t>
  </si>
  <si>
    <t>I01148</t>
  </si>
  <si>
    <t>I01149</t>
  </si>
  <si>
    <t>I01150</t>
  </si>
  <si>
    <t>I01151</t>
  </si>
  <si>
    <t>I01152</t>
  </si>
  <si>
    <t>I01153</t>
  </si>
  <si>
    <t>I01154</t>
  </si>
  <si>
    <t>I01155</t>
  </si>
  <si>
    <t>I01156</t>
  </si>
  <si>
    <t>I01157</t>
  </si>
  <si>
    <t>I01158</t>
  </si>
  <si>
    <t>I01159</t>
  </si>
  <si>
    <t>I01160</t>
  </si>
  <si>
    <t>I01161</t>
  </si>
  <si>
    <t>I01162</t>
  </si>
  <si>
    <t>I01163</t>
  </si>
  <si>
    <t>I01164</t>
  </si>
  <si>
    <t>I01165</t>
  </si>
  <si>
    <t>I01166</t>
  </si>
  <si>
    <t>I01167</t>
  </si>
  <si>
    <t>I01168</t>
  </si>
  <si>
    <t>I01169</t>
  </si>
  <si>
    <t>I01170</t>
  </si>
  <si>
    <t>I01171</t>
  </si>
  <si>
    <t>I01172</t>
  </si>
  <si>
    <t>I01173</t>
  </si>
  <si>
    <t>I01174</t>
  </si>
  <si>
    <t>I01175</t>
  </si>
  <si>
    <t>I01176</t>
  </si>
  <si>
    <t>I01177</t>
  </si>
  <si>
    <t>I01178</t>
  </si>
  <si>
    <t>I01179</t>
  </si>
  <si>
    <t>I01180</t>
  </si>
  <si>
    <t>I01181</t>
  </si>
  <si>
    <t>I01182</t>
  </si>
  <si>
    <t>I01183</t>
  </si>
  <si>
    <t>I01184</t>
  </si>
  <si>
    <t>I01185</t>
  </si>
  <si>
    <t>I01186</t>
  </si>
  <si>
    <t>I01187</t>
  </si>
  <si>
    <t>I01188</t>
  </si>
  <si>
    <t>I01189</t>
  </si>
  <si>
    <t>I01190</t>
  </si>
  <si>
    <t>I01191</t>
  </si>
  <si>
    <t>I01192</t>
  </si>
  <si>
    <t>I01193</t>
  </si>
  <si>
    <t>I01194</t>
  </si>
  <si>
    <t>I01195</t>
  </si>
  <si>
    <t>I01196</t>
  </si>
  <si>
    <t>I01197</t>
  </si>
  <si>
    <t>I01198</t>
  </si>
  <si>
    <t>I01199</t>
  </si>
  <si>
    <t>I01200</t>
  </si>
  <si>
    <t>I01201</t>
  </si>
  <si>
    <t>I01202</t>
  </si>
  <si>
    <t>I01203</t>
  </si>
  <si>
    <t>I01204</t>
  </si>
  <si>
    <t>I01205</t>
  </si>
  <si>
    <t>I01206</t>
  </si>
  <si>
    <t>I01207</t>
  </si>
  <si>
    <t>I01208</t>
  </si>
  <si>
    <t>I01209</t>
  </si>
  <si>
    <t>I01210</t>
  </si>
  <si>
    <t>I01211</t>
  </si>
  <si>
    <t>I01212</t>
  </si>
  <si>
    <t>I01213</t>
  </si>
  <si>
    <t>I01214</t>
  </si>
  <si>
    <t>I01215</t>
  </si>
  <si>
    <t>I01216</t>
  </si>
  <si>
    <t>I01217</t>
  </si>
  <si>
    <t>I01218</t>
  </si>
  <si>
    <t>I01219</t>
  </si>
  <si>
    <t>I01220</t>
  </si>
  <si>
    <t>I01221</t>
  </si>
  <si>
    <t>I01222</t>
  </si>
  <si>
    <t>I01223</t>
  </si>
  <si>
    <t>I01224</t>
  </si>
  <si>
    <t>I01225</t>
  </si>
  <si>
    <t>I01226</t>
  </si>
  <si>
    <t>I01227</t>
  </si>
  <si>
    <t>I01228</t>
  </si>
  <si>
    <t>I01229</t>
  </si>
  <si>
    <t>I01230</t>
  </si>
  <si>
    <t>I01231</t>
  </si>
  <si>
    <t>I01232</t>
  </si>
  <si>
    <t>I01233</t>
  </si>
  <si>
    <t>I01234</t>
  </si>
  <si>
    <t>I01235</t>
  </si>
  <si>
    <t>I01236</t>
  </si>
  <si>
    <t>I01237</t>
  </si>
  <si>
    <t>I01238</t>
  </si>
  <si>
    <t>I01239</t>
  </si>
  <si>
    <t>I01240</t>
  </si>
  <si>
    <t>I01241</t>
  </si>
  <si>
    <t>I01242</t>
  </si>
  <si>
    <t>I01243</t>
  </si>
  <si>
    <t>I01244</t>
  </si>
  <si>
    <t>I01245</t>
  </si>
  <si>
    <t>I01246</t>
  </si>
  <si>
    <t>I01247</t>
  </si>
  <si>
    <t>I01248</t>
  </si>
  <si>
    <t>I01249</t>
  </si>
  <si>
    <t>I01250</t>
  </si>
  <si>
    <t>I01251</t>
  </si>
  <si>
    <t>I01252</t>
  </si>
  <si>
    <t>I01253</t>
  </si>
  <si>
    <t>I01254</t>
  </si>
  <si>
    <t>I01255</t>
  </si>
  <si>
    <t>I01256</t>
  </si>
  <si>
    <t>I01257</t>
  </si>
  <si>
    <t>I01258</t>
  </si>
  <si>
    <t>I01259</t>
  </si>
  <si>
    <t>I01260</t>
  </si>
  <si>
    <t>I01261</t>
  </si>
  <si>
    <t>I01262</t>
  </si>
  <si>
    <t>I01263</t>
  </si>
  <si>
    <t>I01264</t>
  </si>
  <si>
    <t>I01265</t>
  </si>
  <si>
    <t>I01266</t>
  </si>
  <si>
    <t>I01267</t>
  </si>
  <si>
    <t>I01268</t>
  </si>
  <si>
    <t>I01269</t>
  </si>
  <si>
    <t>I01270</t>
  </si>
  <si>
    <t>I01271</t>
  </si>
  <si>
    <t>I01272</t>
  </si>
  <si>
    <t>I01273</t>
  </si>
  <si>
    <t>I01274</t>
  </si>
  <si>
    <t>I01275</t>
  </si>
  <si>
    <t>I01276</t>
  </si>
  <si>
    <t>I01277</t>
  </si>
  <si>
    <t>I01278</t>
  </si>
  <si>
    <t>I01279</t>
  </si>
  <si>
    <t>I01280</t>
  </si>
  <si>
    <t>I01281</t>
  </si>
  <si>
    <t>I01282</t>
  </si>
  <si>
    <t>I01283</t>
  </si>
  <si>
    <t>I01284</t>
  </si>
  <si>
    <t>I01285</t>
  </si>
  <si>
    <t>I01286</t>
  </si>
  <si>
    <t>I01287</t>
  </si>
  <si>
    <t>I01288</t>
  </si>
  <si>
    <t>I01289</t>
  </si>
  <si>
    <t>I01290</t>
  </si>
  <si>
    <t>I01291</t>
  </si>
  <si>
    <t>I01292</t>
  </si>
  <si>
    <t>I01293</t>
  </si>
  <si>
    <t>I01294</t>
  </si>
  <si>
    <t>I01295</t>
  </si>
  <si>
    <t>I01296</t>
  </si>
  <si>
    <t>I01297</t>
  </si>
  <si>
    <t>I01298</t>
  </si>
  <si>
    <t>I01299</t>
  </si>
  <si>
    <t>I01300</t>
  </si>
  <si>
    <t>I01301</t>
  </si>
  <si>
    <t>I01302</t>
  </si>
  <si>
    <t>I01303</t>
  </si>
  <si>
    <t>I01304</t>
  </si>
  <si>
    <t>I01305</t>
  </si>
  <si>
    <t>I01306</t>
  </si>
  <si>
    <t>I01307</t>
  </si>
  <si>
    <t>I01308</t>
  </si>
  <si>
    <t>I01309</t>
  </si>
  <si>
    <t>I01310</t>
  </si>
  <si>
    <t>I01311</t>
  </si>
  <si>
    <t>I01312</t>
  </si>
  <si>
    <t>I01313</t>
  </si>
  <si>
    <t>I01314</t>
  </si>
  <si>
    <t>I01315</t>
  </si>
  <si>
    <t>I01316</t>
  </si>
  <si>
    <t>I01317</t>
  </si>
  <si>
    <t>I01318</t>
  </si>
  <si>
    <t>I01319</t>
  </si>
  <si>
    <t>I01320</t>
  </si>
  <si>
    <t>I01321</t>
  </si>
  <si>
    <t>I01322</t>
  </si>
  <si>
    <t>I01323</t>
  </si>
  <si>
    <t>I01324</t>
  </si>
  <si>
    <t>I01325</t>
  </si>
  <si>
    <t>I01326</t>
  </si>
  <si>
    <t>I01327</t>
  </si>
  <si>
    <t>I01328</t>
  </si>
  <si>
    <t>I01329</t>
  </si>
  <si>
    <t>I01330</t>
  </si>
  <si>
    <t>I01331</t>
  </si>
  <si>
    <t>I01332</t>
  </si>
  <si>
    <t>I01333</t>
  </si>
  <si>
    <t>I01334</t>
  </si>
  <si>
    <t>I01335</t>
  </si>
  <si>
    <t>I01336</t>
  </si>
  <si>
    <t>I01337</t>
  </si>
  <si>
    <t>I01338</t>
  </si>
  <si>
    <t>I01339</t>
  </si>
  <si>
    <t>I01340</t>
  </si>
  <si>
    <t>I01341</t>
  </si>
  <si>
    <t>I01342</t>
  </si>
  <si>
    <t>I01343</t>
  </si>
  <si>
    <t>I01344</t>
  </si>
  <si>
    <t>I01345</t>
  </si>
  <si>
    <t>I01346</t>
  </si>
  <si>
    <t>I01347</t>
  </si>
  <si>
    <t>I01348</t>
  </si>
  <si>
    <t>I01349</t>
  </si>
  <si>
    <t>I01350</t>
  </si>
  <si>
    <t>I01351</t>
  </si>
  <si>
    <t>I01352</t>
  </si>
  <si>
    <t>I01353</t>
  </si>
  <si>
    <t>I01354</t>
  </si>
  <si>
    <t>I01355</t>
  </si>
  <si>
    <t>I01356</t>
  </si>
  <si>
    <t>I01357</t>
  </si>
  <si>
    <t>I01358</t>
  </si>
  <si>
    <t>I01359</t>
  </si>
  <si>
    <t>I01360</t>
  </si>
  <si>
    <t>I01361</t>
  </si>
  <si>
    <t>I01362</t>
  </si>
  <si>
    <t>I01363</t>
  </si>
  <si>
    <t>I01364</t>
  </si>
  <si>
    <t>I01365</t>
  </si>
  <si>
    <t>I01366</t>
  </si>
  <si>
    <t>I01367</t>
  </si>
  <si>
    <t>I01368</t>
  </si>
  <si>
    <t>I01369</t>
  </si>
  <si>
    <t>I01370</t>
  </si>
  <si>
    <t>I01371</t>
  </si>
  <si>
    <t>I01372</t>
  </si>
  <si>
    <t>I01373</t>
  </si>
  <si>
    <t>I01374</t>
  </si>
  <si>
    <t>I01375</t>
  </si>
  <si>
    <t>I01376</t>
  </si>
  <si>
    <t>I01377</t>
  </si>
  <si>
    <t>I01378</t>
  </si>
  <si>
    <t>I01379</t>
  </si>
  <si>
    <t>I01380</t>
  </si>
  <si>
    <t>I01381</t>
  </si>
  <si>
    <t>I01382</t>
  </si>
  <si>
    <t>I01383</t>
  </si>
  <si>
    <t>I01384</t>
  </si>
  <si>
    <t>I01385</t>
  </si>
  <si>
    <t>I01386</t>
  </si>
  <si>
    <t>I01387</t>
  </si>
  <si>
    <t>I01388</t>
  </si>
  <si>
    <t>I01389</t>
  </si>
  <si>
    <t>I01390</t>
  </si>
  <si>
    <t>I01391</t>
  </si>
  <si>
    <t>I01392</t>
  </si>
  <si>
    <t>I01393</t>
  </si>
  <si>
    <t>I01394</t>
  </si>
  <si>
    <t>I01395</t>
  </si>
  <si>
    <t>I01396</t>
  </si>
  <si>
    <t>I01397</t>
  </si>
  <si>
    <t>I01398</t>
  </si>
  <si>
    <t>I01399</t>
  </si>
  <si>
    <t>I01400</t>
  </si>
  <si>
    <t>I01401</t>
  </si>
  <si>
    <t>I01402</t>
  </si>
  <si>
    <t>I01403</t>
  </si>
  <si>
    <t>I01404</t>
  </si>
  <si>
    <t>I01405</t>
  </si>
  <si>
    <t>I01406</t>
  </si>
  <si>
    <t>I01407</t>
  </si>
  <si>
    <t>I01408</t>
  </si>
  <si>
    <t>I01409</t>
  </si>
  <si>
    <t>I01410</t>
  </si>
  <si>
    <t>I01411</t>
  </si>
  <si>
    <t>I01412</t>
  </si>
  <si>
    <t>I01413</t>
  </si>
  <si>
    <t>I01414</t>
  </si>
  <si>
    <t>I01415</t>
  </si>
  <si>
    <t>I01416</t>
  </si>
  <si>
    <t>I01417</t>
  </si>
  <si>
    <t>I01418</t>
  </si>
  <si>
    <t>I01419</t>
  </si>
  <si>
    <t>I01420</t>
  </si>
  <si>
    <t>I01421</t>
  </si>
  <si>
    <t>I01422</t>
  </si>
  <si>
    <t>I01423</t>
  </si>
  <si>
    <t>I01424</t>
  </si>
  <si>
    <t>I01425</t>
  </si>
  <si>
    <t>I01426</t>
  </si>
  <si>
    <t>I01427</t>
  </si>
  <si>
    <t>I01428</t>
  </si>
  <si>
    <t>I01429</t>
  </si>
  <si>
    <t>I01430</t>
  </si>
  <si>
    <t>I01431</t>
  </si>
  <si>
    <t>I01432</t>
  </si>
  <si>
    <t>I01433</t>
  </si>
  <si>
    <t>I01434</t>
  </si>
  <si>
    <t>I01435</t>
  </si>
  <si>
    <t>I01436</t>
  </si>
  <si>
    <t>I01437</t>
  </si>
  <si>
    <t>I01438</t>
  </si>
  <si>
    <t>I01439</t>
  </si>
  <si>
    <t>I01440</t>
  </si>
  <si>
    <t>I01441</t>
  </si>
  <si>
    <t>I01442</t>
  </si>
  <si>
    <t>I01443</t>
  </si>
  <si>
    <t>I01444</t>
  </si>
  <si>
    <t>I01445</t>
  </si>
  <si>
    <t>I01446</t>
  </si>
  <si>
    <t>I01447</t>
  </si>
  <si>
    <t>I01448</t>
  </si>
  <si>
    <t>I01449</t>
  </si>
  <si>
    <t>I01450</t>
  </si>
  <si>
    <t>I01451</t>
  </si>
  <si>
    <t>I01452</t>
  </si>
  <si>
    <t>I01453</t>
  </si>
  <si>
    <t>I01454</t>
  </si>
  <si>
    <t>I01455</t>
  </si>
  <si>
    <t>I01456</t>
  </si>
  <si>
    <t>I01457</t>
  </si>
  <si>
    <t>I01458</t>
  </si>
  <si>
    <t>I01459</t>
  </si>
  <si>
    <t>I01460</t>
  </si>
  <si>
    <t>I01461</t>
  </si>
  <si>
    <t>I01462</t>
  </si>
  <si>
    <t>I01463</t>
  </si>
  <si>
    <t>I01464</t>
  </si>
  <si>
    <t>I01465</t>
  </si>
  <si>
    <t>I01466</t>
  </si>
  <si>
    <t>I01467</t>
  </si>
  <si>
    <t>I01468</t>
  </si>
  <si>
    <t>I01469</t>
  </si>
  <si>
    <t>I01470</t>
  </si>
  <si>
    <t>I01471</t>
  </si>
  <si>
    <t>I01472</t>
  </si>
  <si>
    <t>I01473</t>
  </si>
  <si>
    <t>I01474</t>
  </si>
  <si>
    <t>I01475</t>
  </si>
  <si>
    <t>I01476</t>
  </si>
  <si>
    <t>I01477</t>
  </si>
  <si>
    <t>I01478</t>
  </si>
  <si>
    <t>I01479</t>
  </si>
  <si>
    <t>I01480</t>
  </si>
  <si>
    <t>I01481</t>
  </si>
  <si>
    <t>I01482</t>
  </si>
  <si>
    <t>I01483</t>
  </si>
  <si>
    <t>I01484</t>
  </si>
  <si>
    <t>I01485</t>
  </si>
  <si>
    <t>I01486</t>
  </si>
  <si>
    <t>I01487</t>
  </si>
  <si>
    <t>I01488</t>
  </si>
  <si>
    <t>I01489</t>
  </si>
  <si>
    <t>I01490</t>
  </si>
  <si>
    <t>I01491</t>
  </si>
  <si>
    <t>I01492</t>
  </si>
  <si>
    <t>I01493</t>
  </si>
  <si>
    <t>I01494</t>
  </si>
  <si>
    <t>I01495</t>
  </si>
  <si>
    <t>I01496</t>
  </si>
  <si>
    <t>I01497</t>
  </si>
  <si>
    <t>I01498</t>
  </si>
  <si>
    <t>I01499</t>
  </si>
  <si>
    <t>I01500</t>
  </si>
  <si>
    <t>I01501</t>
  </si>
  <si>
    <t>I01502</t>
  </si>
  <si>
    <t>I01503</t>
  </si>
  <si>
    <t>I01504</t>
  </si>
  <si>
    <t>I01505</t>
  </si>
  <si>
    <t>I01506</t>
  </si>
  <si>
    <t>I01507</t>
  </si>
  <si>
    <t>I01508</t>
  </si>
  <si>
    <t>I01509</t>
  </si>
  <si>
    <t>I01510</t>
  </si>
  <si>
    <t>I01511</t>
  </si>
  <si>
    <t>I01512</t>
  </si>
  <si>
    <t>I01513</t>
  </si>
  <si>
    <t>I01514</t>
  </si>
  <si>
    <t>I01515</t>
  </si>
  <si>
    <t>I01516</t>
  </si>
  <si>
    <t>I01517</t>
  </si>
  <si>
    <t>I01518</t>
  </si>
  <si>
    <t>I01519</t>
  </si>
  <si>
    <t>I01520</t>
  </si>
  <si>
    <t>I01521</t>
  </si>
  <si>
    <t>I01522</t>
  </si>
  <si>
    <t>I01523</t>
  </si>
  <si>
    <t>I01524</t>
  </si>
  <si>
    <t>I01525</t>
  </si>
  <si>
    <t>I01526</t>
  </si>
  <si>
    <t>I01527</t>
  </si>
  <si>
    <t>I01528</t>
  </si>
  <si>
    <t>I01529</t>
  </si>
  <si>
    <t>I01530</t>
  </si>
  <si>
    <t>I01531</t>
  </si>
  <si>
    <t>I01532</t>
  </si>
  <si>
    <t>I01533</t>
  </si>
  <si>
    <t>I01534</t>
  </si>
  <si>
    <t>I01535</t>
  </si>
  <si>
    <t>I01536</t>
  </si>
  <si>
    <t>I01537</t>
  </si>
  <si>
    <t>I01538</t>
  </si>
  <si>
    <t>I01539</t>
  </si>
  <si>
    <t>I01540</t>
  </si>
  <si>
    <t>I01541</t>
  </si>
  <si>
    <t>I01542</t>
  </si>
  <si>
    <t>I01543</t>
  </si>
  <si>
    <t>I01544</t>
  </si>
  <si>
    <t>I01545</t>
  </si>
  <si>
    <t>I01546</t>
  </si>
  <si>
    <t>I01547</t>
  </si>
  <si>
    <t>I01548</t>
  </si>
  <si>
    <t>I01549</t>
  </si>
  <si>
    <t>I01550</t>
  </si>
  <si>
    <t>I01551</t>
  </si>
  <si>
    <t>I01552</t>
  </si>
  <si>
    <t>I01553</t>
  </si>
  <si>
    <t>I01554</t>
  </si>
  <si>
    <t>I01555</t>
  </si>
  <si>
    <t>I01556</t>
  </si>
  <si>
    <t>I01557</t>
  </si>
  <si>
    <t>I01558</t>
  </si>
  <si>
    <t>I01559</t>
  </si>
  <si>
    <t>I01560</t>
  </si>
  <si>
    <t>I01561</t>
  </si>
  <si>
    <t>I01562</t>
  </si>
  <si>
    <t>I01563</t>
  </si>
  <si>
    <t>I01564</t>
  </si>
  <si>
    <t>I01565</t>
  </si>
  <si>
    <t>I01566</t>
  </si>
  <si>
    <t>I01567</t>
  </si>
  <si>
    <t>I01568</t>
  </si>
  <si>
    <t>I01569</t>
  </si>
  <si>
    <t>I01570</t>
  </si>
  <si>
    <t>I01571</t>
  </si>
  <si>
    <t>I01572</t>
  </si>
  <si>
    <t>I01573</t>
  </si>
  <si>
    <t>I01574</t>
  </si>
  <si>
    <t>I01575</t>
  </si>
  <si>
    <t>I01576</t>
  </si>
  <si>
    <t>I01577</t>
  </si>
  <si>
    <t>I01578</t>
  </si>
  <si>
    <t>I01579</t>
  </si>
  <si>
    <t>I01580</t>
  </si>
  <si>
    <t>I01581</t>
  </si>
  <si>
    <t>I01582</t>
  </si>
  <si>
    <t>I01583</t>
  </si>
  <si>
    <t>I01584</t>
  </si>
  <si>
    <t>I01585</t>
  </si>
  <si>
    <t>I01586</t>
  </si>
  <si>
    <t>I01587</t>
  </si>
  <si>
    <t>I01588</t>
  </si>
  <si>
    <t>I01589</t>
  </si>
  <si>
    <t>I01590</t>
  </si>
  <si>
    <t>I01591</t>
  </si>
  <si>
    <t>I01592</t>
  </si>
  <si>
    <t>I01593</t>
  </si>
  <si>
    <t>I01594</t>
  </si>
  <si>
    <t>I01595</t>
  </si>
  <si>
    <t>I01596</t>
  </si>
  <si>
    <t>I01597</t>
  </si>
  <si>
    <t>I01598</t>
  </si>
  <si>
    <t>I01599</t>
  </si>
  <si>
    <t>I01600</t>
  </si>
  <si>
    <t>I01601</t>
  </si>
  <si>
    <t>I01602</t>
  </si>
  <si>
    <t>I01603</t>
  </si>
  <si>
    <t>I01604</t>
  </si>
  <si>
    <t>I01605</t>
  </si>
  <si>
    <t>I01606</t>
  </si>
  <si>
    <t>I01607</t>
  </si>
  <si>
    <t>I01608</t>
  </si>
  <si>
    <t>I01609</t>
  </si>
  <si>
    <t>I01610</t>
  </si>
  <si>
    <t>I01611</t>
  </si>
  <si>
    <t>I01612</t>
  </si>
  <si>
    <t>I01613</t>
  </si>
  <si>
    <t>I01614</t>
  </si>
  <si>
    <t>I01615</t>
  </si>
  <si>
    <t>I01616</t>
  </si>
  <si>
    <t>I01617</t>
  </si>
  <si>
    <t>I01618</t>
  </si>
  <si>
    <t>I01619</t>
  </si>
  <si>
    <t>I01620</t>
  </si>
  <si>
    <t>I01621</t>
  </si>
  <si>
    <t>I01622</t>
  </si>
  <si>
    <t>I01623</t>
  </si>
  <si>
    <t>I01624</t>
  </si>
  <si>
    <t>I01625</t>
  </si>
  <si>
    <t>I01626</t>
  </si>
  <si>
    <t>I01627</t>
  </si>
  <si>
    <t>I01628</t>
  </si>
  <si>
    <t>I01629</t>
  </si>
  <si>
    <t>I01630</t>
  </si>
  <si>
    <t>I01631</t>
  </si>
  <si>
    <t>I01632</t>
  </si>
  <si>
    <t>I01633</t>
  </si>
  <si>
    <t>I01634</t>
  </si>
  <si>
    <t>I01635</t>
  </si>
  <si>
    <t>I01636</t>
  </si>
  <si>
    <t>I01637</t>
  </si>
  <si>
    <t>I01638</t>
  </si>
  <si>
    <t>I01639</t>
  </si>
  <si>
    <t>I01640</t>
  </si>
  <si>
    <t>I01641</t>
  </si>
  <si>
    <t>I01642</t>
  </si>
  <si>
    <t>I01643</t>
  </si>
  <si>
    <t>I01644</t>
  </si>
  <si>
    <t>I01645</t>
  </si>
  <si>
    <t>I01646</t>
  </si>
  <si>
    <t>I01647</t>
  </si>
  <si>
    <t>I01648</t>
  </si>
  <si>
    <t>I01649</t>
  </si>
  <si>
    <t>I01650</t>
  </si>
  <si>
    <t>I01651</t>
  </si>
  <si>
    <t>I01652</t>
  </si>
  <si>
    <t>I01653</t>
  </si>
  <si>
    <t>I01654</t>
  </si>
  <si>
    <t>I01655</t>
  </si>
  <si>
    <t>I01656</t>
  </si>
  <si>
    <t>I01657</t>
  </si>
  <si>
    <t>I01658</t>
  </si>
  <si>
    <t>I01659</t>
  </si>
  <si>
    <t>I01660</t>
  </si>
  <si>
    <t>I01661</t>
  </si>
  <si>
    <t>I01662</t>
  </si>
  <si>
    <t>I01663</t>
  </si>
  <si>
    <t>I01664</t>
  </si>
  <si>
    <t>I01665</t>
  </si>
  <si>
    <t>I01666</t>
  </si>
  <si>
    <t>I01667</t>
  </si>
  <si>
    <t>I01668</t>
  </si>
  <si>
    <t>I01669</t>
  </si>
  <si>
    <t>I01670</t>
  </si>
  <si>
    <t>I01671</t>
  </si>
  <si>
    <t>I01672</t>
  </si>
  <si>
    <t>I01673</t>
  </si>
  <si>
    <t>I01674</t>
  </si>
  <si>
    <t>I01675</t>
  </si>
  <si>
    <t>I01676</t>
  </si>
  <si>
    <t>I01677</t>
  </si>
  <si>
    <t>I01678</t>
  </si>
  <si>
    <t>I01679</t>
  </si>
  <si>
    <t>I01680</t>
  </si>
  <si>
    <t>I01681</t>
  </si>
  <si>
    <t>I01682</t>
  </si>
  <si>
    <t>I01683</t>
  </si>
  <si>
    <t>I01684</t>
  </si>
  <si>
    <t>I01685</t>
  </si>
  <si>
    <t>I01686</t>
  </si>
  <si>
    <t>I01687</t>
  </si>
  <si>
    <t>I01688</t>
  </si>
  <si>
    <t>I01689</t>
  </si>
  <si>
    <t>I01690</t>
  </si>
  <si>
    <t>I01691</t>
  </si>
  <si>
    <t>I01692</t>
  </si>
  <si>
    <t>I01693</t>
  </si>
  <si>
    <t>I01694</t>
  </si>
  <si>
    <t>I01695</t>
  </si>
  <si>
    <t>I01696</t>
  </si>
  <si>
    <t>I01697</t>
  </si>
  <si>
    <t>I01698</t>
  </si>
  <si>
    <t>I01699</t>
  </si>
  <si>
    <t>I01700</t>
  </si>
  <si>
    <t>I01701</t>
  </si>
  <si>
    <t>I01702</t>
  </si>
  <si>
    <t>I01703</t>
  </si>
  <si>
    <t>I01704</t>
  </si>
  <si>
    <t>I01705</t>
  </si>
  <si>
    <t>I01706</t>
  </si>
  <si>
    <t>I01707</t>
  </si>
  <si>
    <t>I01708</t>
  </si>
  <si>
    <t>I01709</t>
  </si>
  <si>
    <t>I01710</t>
  </si>
  <si>
    <t>I01711</t>
  </si>
  <si>
    <t>I01712</t>
  </si>
  <si>
    <t>I01713</t>
  </si>
  <si>
    <t>I01714</t>
  </si>
  <si>
    <t>I01715</t>
  </si>
  <si>
    <t>I01716</t>
  </si>
  <si>
    <t>I01717</t>
  </si>
  <si>
    <t>I01718</t>
  </si>
  <si>
    <t>I01719</t>
  </si>
  <si>
    <t>I01720</t>
  </si>
  <si>
    <t>I01721</t>
  </si>
  <si>
    <t>I01722</t>
  </si>
  <si>
    <t>I01723</t>
  </si>
  <si>
    <t>I01724</t>
  </si>
  <si>
    <t>I01725</t>
  </si>
  <si>
    <t>I01726</t>
  </si>
  <si>
    <t>I01727</t>
  </si>
  <si>
    <t>I01728</t>
  </si>
  <si>
    <t>I01729</t>
  </si>
  <si>
    <t>I01730</t>
  </si>
  <si>
    <t>I01731</t>
  </si>
  <si>
    <t>I01732</t>
  </si>
  <si>
    <t>I01733</t>
  </si>
  <si>
    <t>I01734</t>
  </si>
  <si>
    <t>I01735</t>
  </si>
  <si>
    <t>I01736</t>
  </si>
  <si>
    <t>I01737</t>
  </si>
  <si>
    <t>I01738</t>
  </si>
  <si>
    <t>I01739</t>
  </si>
  <si>
    <t>I01740</t>
  </si>
  <si>
    <t>I01741</t>
  </si>
  <si>
    <t>I01742</t>
  </si>
  <si>
    <t>I01743</t>
  </si>
  <si>
    <t>I01744</t>
  </si>
  <si>
    <t>I01745</t>
  </si>
  <si>
    <t>I01746</t>
  </si>
  <si>
    <t>I01747</t>
  </si>
  <si>
    <t>I01748</t>
  </si>
  <si>
    <t>I01749</t>
  </si>
  <si>
    <t>I01750</t>
  </si>
  <si>
    <t>I01751</t>
  </si>
  <si>
    <t>I01752</t>
  </si>
  <si>
    <t>I01753</t>
  </si>
  <si>
    <t>I01754</t>
  </si>
  <si>
    <t>I01755</t>
  </si>
  <si>
    <t>I01756</t>
  </si>
  <si>
    <t>I01757</t>
  </si>
  <si>
    <t>I01758</t>
  </si>
  <si>
    <t>I01759</t>
  </si>
  <si>
    <t>I01760</t>
  </si>
  <si>
    <t>I01761</t>
  </si>
  <si>
    <t>I01762</t>
  </si>
  <si>
    <t>I01763</t>
  </si>
  <si>
    <t>I01764</t>
  </si>
  <si>
    <t>I01765</t>
  </si>
  <si>
    <t>I01766</t>
  </si>
  <si>
    <t>I01767</t>
  </si>
  <si>
    <t>I01768</t>
  </si>
  <si>
    <t>I01769</t>
  </si>
  <si>
    <t>I01770</t>
  </si>
  <si>
    <t>I01771</t>
  </si>
  <si>
    <t>I01772</t>
  </si>
  <si>
    <t>I01773</t>
  </si>
  <si>
    <t>I01774</t>
  </si>
  <si>
    <t>I01775</t>
  </si>
  <si>
    <t>I01776</t>
  </si>
  <si>
    <t>I01777</t>
  </si>
  <si>
    <t>I01778</t>
  </si>
  <si>
    <t>I01779</t>
  </si>
  <si>
    <t>I01780</t>
  </si>
  <si>
    <t>I01781</t>
  </si>
  <si>
    <t>I01782</t>
  </si>
  <si>
    <t>I01783</t>
  </si>
  <si>
    <t>I01784</t>
  </si>
  <si>
    <t>I01785</t>
  </si>
  <si>
    <t>I01786</t>
  </si>
  <si>
    <t>I01787</t>
  </si>
  <si>
    <t>I01788</t>
  </si>
  <si>
    <t>I01789</t>
  </si>
  <si>
    <t>I01790</t>
  </si>
  <si>
    <t>I01791</t>
  </si>
  <si>
    <t>I01792</t>
  </si>
  <si>
    <t>I01793</t>
  </si>
  <si>
    <t>I01794</t>
  </si>
  <si>
    <t>I01795</t>
  </si>
  <si>
    <t>I01796</t>
  </si>
  <si>
    <t>I01797</t>
  </si>
  <si>
    <t>I01798</t>
  </si>
  <si>
    <t>I01799</t>
  </si>
  <si>
    <t>I01800</t>
  </si>
  <si>
    <t>I01801</t>
  </si>
  <si>
    <t>I01802</t>
  </si>
  <si>
    <t>I01803</t>
  </si>
  <si>
    <t>I01804</t>
  </si>
  <si>
    <t>I01805</t>
  </si>
  <si>
    <t>I01806</t>
  </si>
  <si>
    <t>I01807</t>
  </si>
  <si>
    <t>I01808</t>
  </si>
  <si>
    <t>I01809</t>
  </si>
  <si>
    <t>I01810</t>
  </si>
  <si>
    <t>I01811</t>
  </si>
  <si>
    <t>I01812</t>
  </si>
  <si>
    <t>I01813</t>
  </si>
  <si>
    <t>I01814</t>
  </si>
  <si>
    <t>I01815</t>
  </si>
  <si>
    <t>I01816</t>
  </si>
  <si>
    <t>I01817</t>
  </si>
  <si>
    <t>I01818</t>
  </si>
  <si>
    <t>I01819</t>
  </si>
  <si>
    <t>I01820</t>
  </si>
  <si>
    <t>I01821</t>
  </si>
  <si>
    <t>I01822</t>
  </si>
  <si>
    <t>I01823</t>
  </si>
  <si>
    <t>I01824</t>
  </si>
  <si>
    <t>I01825</t>
  </si>
  <si>
    <t>I01826</t>
  </si>
  <si>
    <t>I01827</t>
  </si>
  <si>
    <t>I01828</t>
  </si>
  <si>
    <t>I01829</t>
  </si>
  <si>
    <t>I01830</t>
  </si>
  <si>
    <t>I01831</t>
  </si>
  <si>
    <t>I01832</t>
  </si>
  <si>
    <t>I01833</t>
  </si>
  <si>
    <t>I01834</t>
  </si>
  <si>
    <t>I01835</t>
  </si>
  <si>
    <t>I01836</t>
  </si>
  <si>
    <t>I01837</t>
  </si>
  <si>
    <t>I01838</t>
  </si>
  <si>
    <t>I01839</t>
  </si>
  <si>
    <t>I01840</t>
  </si>
  <si>
    <t>I01841</t>
  </si>
  <si>
    <t>I01842</t>
  </si>
  <si>
    <t>I01843</t>
  </si>
  <si>
    <t>I01844</t>
  </si>
  <si>
    <t>I01845</t>
  </si>
  <si>
    <t>I01846</t>
  </si>
  <si>
    <t>I01847</t>
  </si>
  <si>
    <t>I01848</t>
  </si>
  <si>
    <t>I01849</t>
  </si>
  <si>
    <t>I01850</t>
  </si>
  <si>
    <t>I01851</t>
  </si>
  <si>
    <t>I01852</t>
  </si>
  <si>
    <t>I01853</t>
  </si>
  <si>
    <t>I01854</t>
  </si>
  <si>
    <t>I01855</t>
  </si>
  <si>
    <t>I01856</t>
  </si>
  <si>
    <t>I01857</t>
  </si>
  <si>
    <t>I01858</t>
  </si>
  <si>
    <t>I01859</t>
  </si>
  <si>
    <t>I01860</t>
  </si>
  <si>
    <t>I01861</t>
  </si>
  <si>
    <t>I01862</t>
  </si>
  <si>
    <t>I01863</t>
  </si>
  <si>
    <t>I01864</t>
  </si>
  <si>
    <t>I01865</t>
  </si>
  <si>
    <t>I01866</t>
  </si>
  <si>
    <t>I01867</t>
  </si>
  <si>
    <t>I01868</t>
  </si>
  <si>
    <t>I01869</t>
  </si>
  <si>
    <t>I01870</t>
  </si>
  <si>
    <t>I01871</t>
  </si>
  <si>
    <t>I01872</t>
  </si>
  <si>
    <t>I01873</t>
  </si>
  <si>
    <t>I01874</t>
  </si>
  <si>
    <t>I01875</t>
  </si>
  <si>
    <t>I01876</t>
  </si>
  <si>
    <t>I01877</t>
  </si>
  <si>
    <t>I01878</t>
  </si>
  <si>
    <t>I01879</t>
  </si>
  <si>
    <t>I01880</t>
  </si>
  <si>
    <t>I01881</t>
  </si>
  <si>
    <t>I01882</t>
  </si>
  <si>
    <t>I01883</t>
  </si>
  <si>
    <t>I01884</t>
  </si>
  <si>
    <t>I01885</t>
  </si>
  <si>
    <t>I01886</t>
  </si>
  <si>
    <t>I01887</t>
  </si>
  <si>
    <t>I01888</t>
  </si>
  <si>
    <t>I01889</t>
  </si>
  <si>
    <t>I01890</t>
  </si>
  <si>
    <t>I01891</t>
  </si>
  <si>
    <t>I01892</t>
  </si>
  <si>
    <t>I01893</t>
  </si>
  <si>
    <t>I01894</t>
  </si>
  <si>
    <t>I01895</t>
  </si>
  <si>
    <t>I01896</t>
  </si>
  <si>
    <t>I01897</t>
  </si>
  <si>
    <t>I01898</t>
  </si>
  <si>
    <t>I01899</t>
  </si>
  <si>
    <t>I01900</t>
  </si>
  <si>
    <t>I01901</t>
  </si>
  <si>
    <t>I01902</t>
  </si>
  <si>
    <t>I01903</t>
  </si>
  <si>
    <t>I01904</t>
  </si>
  <si>
    <t>I01905</t>
  </si>
  <si>
    <t>I01906</t>
  </si>
  <si>
    <t>I01907</t>
  </si>
  <si>
    <t>I01908</t>
  </si>
  <si>
    <t>I01909</t>
  </si>
  <si>
    <t>I01910</t>
  </si>
  <si>
    <t>I01911</t>
  </si>
  <si>
    <t>I01912</t>
  </si>
  <si>
    <t>I01913</t>
  </si>
  <si>
    <t>I01914</t>
  </si>
  <si>
    <t>I01915</t>
  </si>
  <si>
    <t>I01916</t>
  </si>
  <si>
    <t>I01917</t>
  </si>
  <si>
    <t>I01918</t>
  </si>
  <si>
    <t>I01919</t>
  </si>
  <si>
    <t>I01920</t>
  </si>
  <si>
    <t>I01921</t>
  </si>
  <si>
    <t>I01922</t>
  </si>
  <si>
    <t>I01923</t>
  </si>
  <si>
    <t>I01924</t>
  </si>
  <si>
    <t>I01925</t>
  </si>
  <si>
    <t>I01926</t>
  </si>
  <si>
    <t>I01927</t>
  </si>
  <si>
    <t>I01928</t>
  </si>
  <si>
    <t>I01929</t>
  </si>
  <si>
    <t>I01930</t>
  </si>
  <si>
    <t>I01931</t>
  </si>
  <si>
    <t>I01932</t>
  </si>
  <si>
    <t>I01933</t>
  </si>
  <si>
    <t>I01934</t>
  </si>
  <si>
    <t>I01935</t>
  </si>
  <si>
    <t>I01936</t>
  </si>
  <si>
    <t>I01937</t>
  </si>
  <si>
    <t>I01938</t>
  </si>
  <si>
    <t>I01939</t>
  </si>
  <si>
    <t>I01940</t>
  </si>
  <si>
    <t>I01941</t>
  </si>
  <si>
    <t>I01942</t>
  </si>
  <si>
    <t>I01943</t>
  </si>
  <si>
    <t>I01944</t>
  </si>
  <si>
    <t>I01945</t>
  </si>
  <si>
    <t>I01946</t>
  </si>
  <si>
    <t>I01947</t>
  </si>
  <si>
    <t>I01948</t>
  </si>
  <si>
    <t>I01949</t>
  </si>
  <si>
    <t>I01950</t>
  </si>
  <si>
    <t>I01951</t>
  </si>
  <si>
    <t>I01952</t>
  </si>
  <si>
    <t>I01953</t>
  </si>
  <si>
    <t>I01954</t>
  </si>
  <si>
    <t>I01955</t>
  </si>
  <si>
    <t>I01956</t>
  </si>
  <si>
    <t>I01957</t>
  </si>
  <si>
    <t>I01958</t>
  </si>
  <si>
    <t>I01959</t>
  </si>
  <si>
    <t>I01960</t>
  </si>
  <si>
    <t>I01961</t>
  </si>
  <si>
    <t>I01962</t>
  </si>
  <si>
    <t>I01963</t>
  </si>
  <si>
    <t>I01964</t>
  </si>
  <si>
    <t>I01965</t>
  </si>
  <si>
    <t>I01966</t>
  </si>
  <si>
    <t>I01967</t>
  </si>
  <si>
    <t>I01968</t>
  </si>
  <si>
    <t>I01969</t>
  </si>
  <si>
    <t>I01970</t>
  </si>
  <si>
    <t>I01971</t>
  </si>
  <si>
    <t>I01972</t>
  </si>
  <si>
    <t>I01973</t>
  </si>
  <si>
    <t>I01974</t>
  </si>
  <si>
    <t>I01975</t>
  </si>
  <si>
    <t>I01976</t>
  </si>
  <si>
    <t>I01977</t>
  </si>
  <si>
    <t>I01978</t>
  </si>
  <si>
    <t>I01979</t>
  </si>
  <si>
    <t>I01980</t>
  </si>
  <si>
    <t>I01981</t>
  </si>
  <si>
    <t>I01982</t>
  </si>
  <si>
    <t>I01983</t>
  </si>
  <si>
    <t>I01984</t>
  </si>
  <si>
    <t>I01985</t>
  </si>
  <si>
    <t>I01986</t>
  </si>
  <si>
    <t>I01987</t>
  </si>
  <si>
    <t>I01988</t>
  </si>
  <si>
    <t>I01989</t>
  </si>
  <si>
    <t>I01990</t>
  </si>
  <si>
    <t>I01991</t>
  </si>
  <si>
    <t>I01992</t>
  </si>
  <si>
    <t>I01993</t>
  </si>
  <si>
    <t>I01994</t>
  </si>
  <si>
    <t>I01995</t>
  </si>
  <si>
    <t>I01996</t>
  </si>
  <si>
    <t>I01997</t>
  </si>
  <si>
    <t>I01998</t>
  </si>
  <si>
    <t>I01999</t>
  </si>
  <si>
    <t>I02000</t>
  </si>
  <si>
    <t>ID_Cancelamento</t>
  </si>
  <si>
    <t>Motivo_Cancelamento</t>
  </si>
  <si>
    <t>Mes_Cancelamento</t>
  </si>
  <si>
    <t>Canal_Aquisicao_PROCX</t>
  </si>
  <si>
    <t>Plano_PROCX</t>
  </si>
  <si>
    <t>Tempo_Cliente_Meses_PROCV</t>
  </si>
  <si>
    <t>CAN0001</t>
  </si>
  <si>
    <t>Migrou para concorrente</t>
  </si>
  <si>
    <t>CAN0002</t>
  </si>
  <si>
    <t>Cancelamento financeiro</t>
  </si>
  <si>
    <t>CAN0003</t>
  </si>
  <si>
    <t>Produto não atende</t>
  </si>
  <si>
    <t>CAN0004</t>
  </si>
  <si>
    <t>Problemas técnicos</t>
  </si>
  <si>
    <t>CAN0005</t>
  </si>
  <si>
    <t>Suporte insatisfatório</t>
  </si>
  <si>
    <t>CAN0006</t>
  </si>
  <si>
    <t>CAN0007</t>
  </si>
  <si>
    <t>CAN0008</t>
  </si>
  <si>
    <t>CAN0009</t>
  </si>
  <si>
    <t>CAN0010</t>
  </si>
  <si>
    <t>CAN0011</t>
  </si>
  <si>
    <t>CAN0012</t>
  </si>
  <si>
    <t>Contrato encerrado</t>
  </si>
  <si>
    <t>CAN0013</t>
  </si>
  <si>
    <t>CAN0014</t>
  </si>
  <si>
    <t>CAN0015</t>
  </si>
  <si>
    <t>CAN0016</t>
  </si>
  <si>
    <t>CAN0017</t>
  </si>
  <si>
    <t>CAN0018</t>
  </si>
  <si>
    <t>Pouco uso</t>
  </si>
  <si>
    <t>CAN0019</t>
  </si>
  <si>
    <t>Preço alto</t>
  </si>
  <si>
    <t>CAN0020</t>
  </si>
  <si>
    <t>CAN0021</t>
  </si>
  <si>
    <t>CAN0022</t>
  </si>
  <si>
    <t>CAN0023</t>
  </si>
  <si>
    <t>CAN0024</t>
  </si>
  <si>
    <t>CAN0025</t>
  </si>
  <si>
    <t>CAN0026</t>
  </si>
  <si>
    <t>2026-05</t>
  </si>
  <si>
    <t>CAN0027</t>
  </si>
  <si>
    <t>CAN0028</t>
  </si>
  <si>
    <t>CAN0029</t>
  </si>
  <si>
    <t>CAN0030</t>
  </si>
  <si>
    <t>CAN0031</t>
  </si>
  <si>
    <t>CAN0032</t>
  </si>
  <si>
    <t>CAN0033</t>
  </si>
  <si>
    <t>CAN0034</t>
  </si>
  <si>
    <t>CAN0035</t>
  </si>
  <si>
    <t>CAN0036</t>
  </si>
  <si>
    <t>CAN0037</t>
  </si>
  <si>
    <t>CAN0038</t>
  </si>
  <si>
    <t>CAN0039</t>
  </si>
  <si>
    <t>CAN0040</t>
  </si>
  <si>
    <t>CAN0041</t>
  </si>
  <si>
    <t>CAN0042</t>
  </si>
  <si>
    <t>CAN0043</t>
  </si>
  <si>
    <t>CAN0044</t>
  </si>
  <si>
    <t>CAN0045</t>
  </si>
  <si>
    <t>CAN0046</t>
  </si>
  <si>
    <t>CAN0047</t>
  </si>
  <si>
    <t>CAN0048</t>
  </si>
  <si>
    <t>CAN0049</t>
  </si>
  <si>
    <t>CAN0050</t>
  </si>
  <si>
    <t>CAN0051</t>
  </si>
  <si>
    <t>CAN0052</t>
  </si>
  <si>
    <t>CAN0053</t>
  </si>
  <si>
    <t>CAN0054</t>
  </si>
  <si>
    <t>CAN0055</t>
  </si>
  <si>
    <t>CAN0056</t>
  </si>
  <si>
    <t>CAN0057</t>
  </si>
  <si>
    <t>CAN0058</t>
  </si>
  <si>
    <t>CAN0059</t>
  </si>
  <si>
    <t>CAN0060</t>
  </si>
  <si>
    <t>CAN0061</t>
  </si>
  <si>
    <t>CAN0062</t>
  </si>
  <si>
    <t>CAN0063</t>
  </si>
  <si>
    <t>CAN0064</t>
  </si>
  <si>
    <t>CAN0065</t>
  </si>
  <si>
    <t>CAN0066</t>
  </si>
  <si>
    <t>CAN0067</t>
  </si>
  <si>
    <t>CAN0068</t>
  </si>
  <si>
    <t>CAN0069</t>
  </si>
  <si>
    <t>CAN0070</t>
  </si>
  <si>
    <t>CAN0071</t>
  </si>
  <si>
    <t>CAN0072</t>
  </si>
  <si>
    <t>CAN0073</t>
  </si>
  <si>
    <t>CAN0074</t>
  </si>
  <si>
    <t>CAN0075</t>
  </si>
  <si>
    <t>CAN0076</t>
  </si>
  <si>
    <t>CAN0077</t>
  </si>
  <si>
    <t>CAN0078</t>
  </si>
  <si>
    <t>CAN0079</t>
  </si>
  <si>
    <t>CAN0080</t>
  </si>
  <si>
    <t>CAN0081</t>
  </si>
  <si>
    <t>CAN0082</t>
  </si>
  <si>
    <t>CAN0083</t>
  </si>
  <si>
    <t>CAN0084</t>
  </si>
  <si>
    <t>CAN0085</t>
  </si>
  <si>
    <t>CAN0086</t>
  </si>
  <si>
    <t>CAN0087</t>
  </si>
  <si>
    <t>CAN0088</t>
  </si>
  <si>
    <t>CAN0089</t>
  </si>
  <si>
    <t>CAN0090</t>
  </si>
  <si>
    <t>CAN0091</t>
  </si>
  <si>
    <t>CAN0092</t>
  </si>
  <si>
    <t>CAN0093</t>
  </si>
  <si>
    <t>CAN0094</t>
  </si>
  <si>
    <t>CAN0095</t>
  </si>
  <si>
    <t>CAN0096</t>
  </si>
  <si>
    <t>CAN0097</t>
  </si>
  <si>
    <t>CAN0098</t>
  </si>
  <si>
    <t>CAN0099</t>
  </si>
  <si>
    <t>CAN0100</t>
  </si>
  <si>
    <t>CAN0101</t>
  </si>
  <si>
    <t>CAN0102</t>
  </si>
  <si>
    <t>CAN0103</t>
  </si>
  <si>
    <t>CAN0104</t>
  </si>
  <si>
    <t>CAN0105</t>
  </si>
  <si>
    <t>CAN0106</t>
  </si>
  <si>
    <t>CAN0107</t>
  </si>
  <si>
    <t>CAN0108</t>
  </si>
  <si>
    <t>CAN0109</t>
  </si>
  <si>
    <t>CAN0110</t>
  </si>
  <si>
    <t>CAN0111</t>
  </si>
  <si>
    <t>CAN0112</t>
  </si>
  <si>
    <t>CAN0113</t>
  </si>
  <si>
    <t>CAN0114</t>
  </si>
  <si>
    <t>CAN0115</t>
  </si>
  <si>
    <t>CAN0116</t>
  </si>
  <si>
    <t>CAN0117</t>
  </si>
  <si>
    <t>CAN0118</t>
  </si>
  <si>
    <t>CAN0119</t>
  </si>
  <si>
    <t>CAN0120</t>
  </si>
  <si>
    <t>CAN0121</t>
  </si>
  <si>
    <t>CAN0122</t>
  </si>
  <si>
    <t>CAN0123</t>
  </si>
  <si>
    <t>CAN0124</t>
  </si>
  <si>
    <t>CAN0125</t>
  </si>
  <si>
    <t>CAN0126</t>
  </si>
  <si>
    <t>CAN0127</t>
  </si>
  <si>
    <t>CAN0128</t>
  </si>
  <si>
    <t>CAN0129</t>
  </si>
  <si>
    <t>CAN0130</t>
  </si>
  <si>
    <t>CAN0131</t>
  </si>
  <si>
    <t>CAN0132</t>
  </si>
  <si>
    <t>CAN0133</t>
  </si>
  <si>
    <t>CAN0134</t>
  </si>
  <si>
    <t>CAN0135</t>
  </si>
  <si>
    <t>CAN0136</t>
  </si>
  <si>
    <t>CAN0137</t>
  </si>
  <si>
    <t>CAN0138</t>
  </si>
  <si>
    <t>CAN0139</t>
  </si>
  <si>
    <t>CAN0140</t>
  </si>
  <si>
    <t>CAN0141</t>
  </si>
  <si>
    <t>CAN0142</t>
  </si>
  <si>
    <t>CAN0143</t>
  </si>
  <si>
    <t>CAN0144</t>
  </si>
  <si>
    <t>CAN0145</t>
  </si>
  <si>
    <t>CAN0146</t>
  </si>
  <si>
    <t>CAN0147</t>
  </si>
  <si>
    <t>CAN0148</t>
  </si>
  <si>
    <t>CAN0149</t>
  </si>
  <si>
    <t>CAN0150</t>
  </si>
  <si>
    <t>CAN0151</t>
  </si>
  <si>
    <t>CAN0152</t>
  </si>
  <si>
    <t>CAN0153</t>
  </si>
  <si>
    <t>CAN0154</t>
  </si>
  <si>
    <t>CAN0155</t>
  </si>
  <si>
    <t>CAN0156</t>
  </si>
  <si>
    <t>CAN0157</t>
  </si>
  <si>
    <t>CAN0158</t>
  </si>
  <si>
    <t>CAN0159</t>
  </si>
  <si>
    <t>CAN0160</t>
  </si>
  <si>
    <t>CAN0161</t>
  </si>
  <si>
    <t>CAN0162</t>
  </si>
  <si>
    <t>CAN0163</t>
  </si>
  <si>
    <t>CAN0164</t>
  </si>
  <si>
    <t>CAN0165</t>
  </si>
  <si>
    <t>CAN0166</t>
  </si>
  <si>
    <t>CAN0167</t>
  </si>
  <si>
    <t>CAN0168</t>
  </si>
  <si>
    <t>CAN0169</t>
  </si>
  <si>
    <t>CAN0170</t>
  </si>
  <si>
    <t>CAN0171</t>
  </si>
  <si>
    <t>CAN0172</t>
  </si>
  <si>
    <t>CAN0173</t>
  </si>
  <si>
    <t>CAN0174</t>
  </si>
  <si>
    <t>CAN0175</t>
  </si>
  <si>
    <t>CAN0176</t>
  </si>
  <si>
    <t>CAN0177</t>
  </si>
  <si>
    <t>CAN0178</t>
  </si>
  <si>
    <t>CAN0179</t>
  </si>
  <si>
    <t>CAN0180</t>
  </si>
  <si>
    <t>CAN0181</t>
  </si>
  <si>
    <t>CAN0182</t>
  </si>
  <si>
    <t>CAN0183</t>
  </si>
  <si>
    <t>CAN0184</t>
  </si>
  <si>
    <t>CAN0185</t>
  </si>
  <si>
    <t>CAN0186</t>
  </si>
  <si>
    <t>CAN0187</t>
  </si>
  <si>
    <t>CAN0188</t>
  </si>
  <si>
    <t>CAN0189</t>
  </si>
  <si>
    <t>CAN0190</t>
  </si>
  <si>
    <t>CAN0191</t>
  </si>
  <si>
    <t>CAN0192</t>
  </si>
  <si>
    <t>CAN0193</t>
  </si>
  <si>
    <t>CAN0194</t>
  </si>
  <si>
    <t>CAN0195</t>
  </si>
  <si>
    <t>CAN0196</t>
  </si>
  <si>
    <t>CAN0197</t>
  </si>
  <si>
    <t>CAN0198</t>
  </si>
  <si>
    <t>CAN0199</t>
  </si>
  <si>
    <t>CAN0200</t>
  </si>
  <si>
    <t>CAN0201</t>
  </si>
  <si>
    <t>CAN0202</t>
  </si>
  <si>
    <t>CAN0203</t>
  </si>
  <si>
    <t>CAN0204</t>
  </si>
  <si>
    <t>CAN0205</t>
  </si>
  <si>
    <t>CAN0206</t>
  </si>
  <si>
    <t>CAN0207</t>
  </si>
  <si>
    <t>CAN0208</t>
  </si>
  <si>
    <t>CAN0209</t>
  </si>
  <si>
    <t>CAN0210</t>
  </si>
  <si>
    <t>CAN0211</t>
  </si>
  <si>
    <t>CAN0212</t>
  </si>
  <si>
    <t>CAN0213</t>
  </si>
  <si>
    <t>CAN0214</t>
  </si>
  <si>
    <t>CAN0215</t>
  </si>
  <si>
    <t>CAN0216</t>
  </si>
  <si>
    <t>CAN0217</t>
  </si>
  <si>
    <t>CAN0218</t>
  </si>
  <si>
    <t>CAN0219</t>
  </si>
  <si>
    <t>CAN0220</t>
  </si>
  <si>
    <t>CAN0221</t>
  </si>
  <si>
    <t>CAN0222</t>
  </si>
  <si>
    <t>CAN0223</t>
  </si>
  <si>
    <t>CAN0224</t>
  </si>
  <si>
    <t>CAN0225</t>
  </si>
  <si>
    <t>CAN0226</t>
  </si>
  <si>
    <t>CAN0227</t>
  </si>
  <si>
    <t>CAN0228</t>
  </si>
  <si>
    <t>CAN0229</t>
  </si>
  <si>
    <t>CAN0230</t>
  </si>
  <si>
    <t>CAN0231</t>
  </si>
  <si>
    <t>CAN0232</t>
  </si>
  <si>
    <t>CAN0233</t>
  </si>
  <si>
    <t>CAN0234</t>
  </si>
  <si>
    <t>CAN0235</t>
  </si>
  <si>
    <t>CAN0236</t>
  </si>
  <si>
    <t>CAN0237</t>
  </si>
  <si>
    <t>CAN0238</t>
  </si>
  <si>
    <t>CAN0239</t>
  </si>
  <si>
    <t>CAN0240</t>
  </si>
  <si>
    <t>CAN0241</t>
  </si>
  <si>
    <t>CAN0242</t>
  </si>
  <si>
    <t>CAN0243</t>
  </si>
  <si>
    <t>CAN0244</t>
  </si>
  <si>
    <t>CAN0245</t>
  </si>
  <si>
    <t>CAN0246</t>
  </si>
  <si>
    <t>CAN0247</t>
  </si>
  <si>
    <t>CAN0248</t>
  </si>
  <si>
    <t>CAN0249</t>
  </si>
  <si>
    <t>CAN0250</t>
  </si>
  <si>
    <t>CAN0251</t>
  </si>
  <si>
    <t>CAN0252</t>
  </si>
  <si>
    <t>CAN0253</t>
  </si>
  <si>
    <t>CAN0254</t>
  </si>
  <si>
    <t>CAN0255</t>
  </si>
  <si>
    <t>CAN0256</t>
  </si>
  <si>
    <t>CAN0257</t>
  </si>
  <si>
    <t>CAN0258</t>
  </si>
  <si>
    <t>CAN0259</t>
  </si>
  <si>
    <t>CAN0260</t>
  </si>
  <si>
    <t>CAN0261</t>
  </si>
  <si>
    <t>CAN0262</t>
  </si>
  <si>
    <t>CAN0263</t>
  </si>
  <si>
    <t>CAN0264</t>
  </si>
  <si>
    <t>CAN0265</t>
  </si>
  <si>
    <t>CAN0266</t>
  </si>
  <si>
    <t>CAN0267</t>
  </si>
  <si>
    <t>CAN0268</t>
  </si>
  <si>
    <t>CAN0269</t>
  </si>
  <si>
    <t>CAN0270</t>
  </si>
  <si>
    <t>CAN0271</t>
  </si>
  <si>
    <t>CAN0272</t>
  </si>
  <si>
    <t>CAN0273</t>
  </si>
  <si>
    <t>CAN0274</t>
  </si>
  <si>
    <t>CAN0275</t>
  </si>
  <si>
    <t>CAN0276</t>
  </si>
  <si>
    <t>CAN0277</t>
  </si>
  <si>
    <t>CAN0278</t>
  </si>
  <si>
    <t>CAN0279</t>
  </si>
  <si>
    <t>CAN0280</t>
  </si>
  <si>
    <t>CAN0281</t>
  </si>
  <si>
    <t>CAN0282</t>
  </si>
  <si>
    <t>CAN0283</t>
  </si>
  <si>
    <t>CAN0284</t>
  </si>
  <si>
    <t>CAN0285</t>
  </si>
  <si>
    <t>CAN0286</t>
  </si>
  <si>
    <t>CAN0287</t>
  </si>
  <si>
    <t>CAN0288</t>
  </si>
  <si>
    <t>CAN0289</t>
  </si>
  <si>
    <t>CAN0290</t>
  </si>
  <si>
    <t>CAN0291</t>
  </si>
  <si>
    <t>CAN0292</t>
  </si>
  <si>
    <t>Exercícios de PROCX e PROCV para análise de cancelamento de clientes</t>
  </si>
  <si>
    <t>Digite um ID_Cliente aqui:</t>
  </si>
  <si>
    <t>Campo buscado</t>
  </si>
  <si>
    <t>Resultado</t>
  </si>
  <si>
    <t>Nome do cliente</t>
  </si>
  <si>
    <t>Plano</t>
  </si>
  <si>
    <t>Valor do plano</t>
  </si>
  <si>
    <t>Motivo de cancelamento</t>
  </si>
  <si>
    <t>Risco de churn</t>
  </si>
  <si>
    <t>Fórmulas em português para você treinar no Excel BR</t>
  </si>
  <si>
    <t>Objetivo</t>
  </si>
  <si>
    <t>Fórmula em inglês no arquivo</t>
  </si>
  <si>
    <t>Como ficaria em PT-BR</t>
  </si>
  <si>
    <t>Buscar nome pelo ID</t>
  </si>
  <si>
    <t>=XLOOKUP($B$3,Base_Clientes!$A:$A,Base_Clientes!$B:$B,"Não encontrado")</t>
  </si>
  <si>
    <t>=PROCX($B$3;Base_Clientes!$A:$A;Base_Clientes!$B:$B;"Não encontrado")</t>
  </si>
  <si>
    <t>Buscar status pelo ID</t>
  </si>
  <si>
    <t>=XLOOKUP($B$3,Base_Clientes!$A:$A,Base_Clientes!$M:$M,"Não encontrado")</t>
  </si>
  <si>
    <t>=PROCX($B$3;Base_Clientes!$A:$A;Base_Clientes!$M:$M;"Não encontrado")</t>
  </si>
  <si>
    <t>Buscar valor do plano</t>
  </si>
  <si>
    <t>=VLOOKUP($B$3,Base_Clientes!$A:$V,10,FALSE)</t>
  </si>
  <si>
    <t>=PROCV($B$3;Base_Clientes!$A:$V;10;FALSO)</t>
  </si>
  <si>
    <t>Buscar plano pelo Plano_ID</t>
  </si>
  <si>
    <t>=XLOOKUP(H2,Base_Planos!$A:$A,Base_Planos!$B:$B,"Não encontrado")</t>
  </si>
  <si>
    <t>=PROCX(H2;Base_Planos!$A:$A;Base_Planos!$B:$B;"Não encontrado")</t>
  </si>
  <si>
    <t>Buscar tempo de cliente</t>
  </si>
  <si>
    <t>=VLOOKUP(B2,Base_Clientes!$A:$V,21,FALSE)</t>
  </si>
  <si>
    <t>=PROCV(B2;Base_Clientes!$A:$V;21;FALSO)</t>
  </si>
  <si>
    <t>Resumo do Projeto — Análise de Cancelamento de Clientes (Churn)</t>
  </si>
  <si>
    <t>Indicador</t>
  </si>
  <si>
    <t>Perguntas para responder no dashboard</t>
  </si>
  <si>
    <t>Total de clientes</t>
  </si>
  <si>
    <t>1</t>
  </si>
  <si>
    <t>Quais planos têm maior taxa de cancelamento?</t>
  </si>
  <si>
    <t>Clientes ativos</t>
  </si>
  <si>
    <t>2</t>
  </si>
  <si>
    <t>Quais motivos mais aparecem nos cancelamentos?</t>
  </si>
  <si>
    <t>Clientes cancelados</t>
  </si>
  <si>
    <t>3</t>
  </si>
  <si>
    <t>Clientes com baixo uso cancelam mais?</t>
  </si>
  <si>
    <t>Taxa de churn</t>
  </si>
  <si>
    <t>4</t>
  </si>
  <si>
    <t>O NPS tem relação com o churn?</t>
  </si>
  <si>
    <t>Ticket médio</t>
  </si>
  <si>
    <t>5</t>
  </si>
  <si>
    <t>Qual canal de aquisição traz clientes com maior permanência?</t>
  </si>
  <si>
    <t>NPS médio</t>
  </si>
  <si>
    <t>6</t>
  </si>
  <si>
    <t>Qual segmento tem maior risco de churn?</t>
  </si>
  <si>
    <t>Uso médio 30d</t>
  </si>
  <si>
    <t>7</t>
  </si>
  <si>
    <t>Quanto de receita mensal foi perdida com cancelamentos?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</si>
</sst>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"/>
    <numFmt numFmtId="166" formatCode="&quot;R$&quot;\ #,##0.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11827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/>
    <xf numFmtId="14" fontId="0" fillId="0" borderId="0" xfId="0" applyNumberFormat="1" applyFont="1" applyFill="1" applyBorder="1"/>
    <xf numFmtId="14" fontId="0" fillId="0" borderId="1" xfId="0" applyNumberFormat="1" applyFont="1" applyFill="1" applyBorder="1"/>
    <xf numFmtId="165" fontId="0" fillId="0" borderId="1" xfId="0" applyNumberFormat="1" applyFont="1" applyFill="1" applyBorder="1"/>
    <xf numFmtId="0" fontId="3" fillId="4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Font="1" applyFill="1" applyBorder="1"/>
    <xf numFmtId="0" fontId="0" fillId="0" borderId="0" xfId="0" applyAlignment="1">
      <alignment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/>
    <xf numFmtId="166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0"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color rgb="FF15803D"/>
      </font>
    </dxf>
    <dxf>
      <font>
        <b/>
        <color rgb="FFB91C1C"/>
      </font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Clientes" displayName="TabelaClientes" ref="A1:Z1001">
  <tableColumns count="26">
    <tableColumn id="1" xr3:uid="{00000000-0010-0000-0000-000001000000}" name="ID_Cliente"/>
    <tableColumn id="2" xr3:uid="{00000000-0010-0000-0000-000002000000}" name="Nome_Cliente"/>
    <tableColumn id="3" xr3:uid="{00000000-0010-0000-0000-000003000000}" name="Cidade"/>
    <tableColumn id="4" xr3:uid="{00000000-0010-0000-0000-000004000000}" name="UF"/>
    <tableColumn id="5" xr3:uid="{00000000-0010-0000-0000-000005000000}" name="Idade"/>
    <tableColumn id="6" xr3:uid="{00000000-0010-0000-0000-000006000000}" name="Segmento"/>
    <tableColumn id="7" xr3:uid="{00000000-0010-0000-0000-000007000000}" name="Canal_Aquisicao"/>
    <tableColumn id="8" xr3:uid="{00000000-0010-0000-0000-000008000000}" name="Plano_ID"/>
    <tableColumn id="9" xr3:uid="{00000000-0010-0000-0000-000009000000}" name="Nome_Plano_PROCX"/>
    <tableColumn id="10" xr3:uid="{00000000-0010-0000-0000-00000A000000}" name="Valor_Plano_PROCV"/>
    <tableColumn id="11" xr3:uid="{00000000-0010-0000-0000-00000B000000}" name="Data_Entrada"/>
    <tableColumn id="12" xr3:uid="{00000000-0010-0000-0000-00000C000000}" name="Mes_Entrada"/>
    <tableColumn id="13" xr3:uid="{00000000-0010-0000-0000-00000D000000}" name="Status"/>
    <tableColumn id="14" xr3:uid="{00000000-0010-0000-0000-00000E000000}" name="Data_Cancelamento"/>
    <tableColumn id="23" xr3:uid="{3D62AE81-F1E2-4C76-A51C-724E4C266A9F}" name="Tempo_Cliente_Dias" dataDxfId="4">
      <calculatedColumnFormula>IF(M2="Cancelado",N2-K2,TODAY()-K2)</calculatedColumnFormula>
    </tableColumn>
    <tableColumn id="24" xr3:uid="{B5FC1085-1076-41CA-828D-3A03A488F218}" name="Faixa_Tempo_Cliente" dataDxfId="3">
      <calculatedColumnFormula>IF(O2&lt;=30,"Até 30 dias",IF(O2&lt;=90,"31 a 90 dias",IF(O2&lt;=180,"91 a 180 dias",IF(O2&lt;=365,"181 a 365 dias","Mais de 1 ano"))))</calculatedColumnFormula>
    </tableColumn>
    <tableColumn id="15" xr3:uid="{00000000-0010-0000-0000-00000F000000}" name="Churn"/>
    <tableColumn id="16" xr3:uid="{00000000-0010-0000-0000-000010000000}" name="NPS"/>
    <tableColumn id="17" xr3:uid="{00000000-0010-0000-0000-000011000000}" name="Receita_Perdida" dataDxfId="2">
      <calculatedColumnFormula>IF(Q2=1,J2,0)</calculatedColumnFormula>
    </tableColumn>
    <tableColumn id="25" xr3:uid="{522E28A3-CBD8-45BC-9F34-FD3D8327457A}" name="Classificacao_NPS" dataDxfId="1">
      <calculatedColumnFormula>IF(R2&lt;=6,"Detrator",IF(R2&lt;=8,"Neutro","Promotor"))</calculatedColumnFormula>
    </tableColumn>
    <tableColumn id="26" xr3:uid="{D3ADFFA4-A6B3-41FF-A5A5-D51665A9FB5C}" name="Risco_Churn" dataDxfId="0">
      <calculatedColumnFormula>IF(Q2=1,"Alto risco",IF(R2&lt;=6,"Alto risco",IF(R2&lt;=8,"Médio risco","Baixo risco")))</calculatedColumnFormula>
    </tableColumn>
    <tableColumn id="18" xr3:uid="{00000000-0010-0000-0000-000012000000}" name="Atrasos_Pagamento"/>
    <tableColumn id="19" xr3:uid="{00000000-0010-0000-0000-000013000000}" name="Uso_30d"/>
    <tableColumn id="20" xr3:uid="{00000000-0010-0000-0000-000014000000}" name="Mensalidade_Paga"/>
    <tableColumn id="21" xr3:uid="{00000000-0010-0000-0000-000015000000}" name="Tempo_Cliente_Meses"/>
    <tableColumn id="22" xr3:uid="{00000000-0010-0000-0000-000016000000}" name="Risco_Chur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Planos" displayName="TabelaPlanos" ref="A1:G8">
  <tableColumns count="7">
    <tableColumn id="1" xr3:uid="{00000000-0010-0000-0100-000001000000}" name="Plano_ID"/>
    <tableColumn id="2" xr3:uid="{00000000-0010-0000-0100-000002000000}" name="Nome_Plano"/>
    <tableColumn id="3" xr3:uid="{00000000-0010-0000-0100-000003000000}" name="Categoria"/>
    <tableColumn id="4" xr3:uid="{00000000-0010-0000-0100-000004000000}" name="Valor_Plano"/>
    <tableColumn id="5" xr3:uid="{00000000-0010-0000-0100-000005000000}" name="Limite_Usuarios"/>
    <tableColumn id="6" xr3:uid="{00000000-0010-0000-0100-000006000000}" name="Suporte"/>
    <tableColumn id="7" xr3:uid="{00000000-0010-0000-0100-000007000000}" name="Contrato_Me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Interacoes" displayName="TabelaInteracoes" ref="A1:H2001">
  <tableColumns count="8">
    <tableColumn id="1" xr3:uid="{00000000-0010-0000-0200-000001000000}" name="ID_Interacao"/>
    <tableColumn id="2" xr3:uid="{00000000-0010-0000-0200-000002000000}" name="ID_Cliente"/>
    <tableColumn id="3" xr3:uid="{00000000-0010-0000-0200-000003000000}" name="Data_Interacao"/>
    <tableColumn id="4" xr3:uid="{00000000-0010-0000-0200-000004000000}" name="Tipo_Contato"/>
    <tableColumn id="5" xr3:uid="{00000000-0010-0000-0200-000005000000}" name="Canal_Atendimento"/>
    <tableColumn id="6" xr3:uid="{00000000-0010-0000-0200-000006000000}" name="Tempo_Resposta_Horas"/>
    <tableColumn id="7" xr3:uid="{00000000-0010-0000-0200-000007000000}" name="Resolvido"/>
    <tableColumn id="8" xr3:uid="{00000000-0010-0000-0200-000008000000}" name="Satisfacao_Pos_Atendi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Cancelamentos" displayName="TabelaCancelamentos" ref="A1:H293">
  <tableColumns count="8">
    <tableColumn id="1" xr3:uid="{00000000-0010-0000-0300-000001000000}" name="ID_Cancelamento"/>
    <tableColumn id="2" xr3:uid="{00000000-0010-0000-0300-000002000000}" name="ID_Cliente"/>
    <tableColumn id="3" xr3:uid="{00000000-0010-0000-0300-000003000000}" name="Data_Cancelamento"/>
    <tableColumn id="4" xr3:uid="{00000000-0010-0000-0300-000004000000}" name="Motivo_Cancelamento"/>
    <tableColumn id="5" xr3:uid="{00000000-0010-0000-0300-000005000000}" name="Mes_Cancelamento"/>
    <tableColumn id="6" xr3:uid="{00000000-0010-0000-0300-000006000000}" name="Canal_Aquisicao_PROCX"/>
    <tableColumn id="7" xr3:uid="{00000000-0010-0000-0300-000007000000}" name="Plano_PROCX"/>
    <tableColumn id="8" xr3:uid="{00000000-0010-0000-0300-000008000000}" name="Tempo_Cliente_Meses_PROC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P1" zoomScaleNormal="100" zoomScaleSheetLayoutView="100" workbookViewId="0">
      <selection activeCell="U3" sqref="U3"/>
    </sheetView>
  </sheetViews>
  <sheetFormatPr defaultRowHeight="14.25" customHeight="1"/>
  <cols>
    <col min="1" max="1" width="11" customWidth="1"/>
    <col min="2" max="2" width="17.5" customWidth="1"/>
    <col min="3" max="3" width="11.75" customWidth="1"/>
    <col min="4" max="4" width="4.875" customWidth="1"/>
    <col min="5" max="5" width="7.25" customWidth="1"/>
    <col min="6" max="6" width="14.25" customWidth="1"/>
    <col min="7" max="7" width="16" customWidth="1"/>
    <col min="8" max="8" width="10" customWidth="1"/>
    <col min="9" max="9" width="22.5" customWidth="1"/>
    <col min="10" max="10" width="18" customWidth="1"/>
    <col min="11" max="11" width="13.75" customWidth="1"/>
    <col min="12" max="12" width="13.5" customWidth="1"/>
    <col min="13" max="13" width="8.25" customWidth="1"/>
    <col min="14" max="14" width="19.125" style="3" customWidth="1"/>
    <col min="15" max="16" width="19.125" style="10" customWidth="1"/>
    <col min="17" max="17" width="21.25" customWidth="1"/>
    <col min="18" max="18" width="5.875" customWidth="1"/>
    <col min="19" max="21" width="18.625" style="11" customWidth="1"/>
    <col min="22" max="22" width="19" customWidth="1"/>
    <col min="23" max="23" width="9.875" customWidth="1"/>
    <col min="24" max="24" width="18" customWidth="1"/>
    <col min="25" max="25" width="21.125" customWidth="1"/>
    <col min="26" max="26" width="12.75" customWidth="1"/>
  </cols>
  <sheetData>
    <row r="1" spans="1:2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" t="s">
        <v>14</v>
      </c>
      <c r="P1" s="9" t="s">
        <v>15</v>
      </c>
      <c r="Q1" s="1" t="s">
        <v>16</v>
      </c>
      <c r="R1" s="1" t="s">
        <v>17</v>
      </c>
      <c r="S1" s="12" t="s">
        <v>18</v>
      </c>
      <c r="T1" s="12" t="s">
        <v>19</v>
      </c>
      <c r="U1" s="1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65</v>
      </c>
      <c r="F2" t="s">
        <v>30</v>
      </c>
      <c r="G2" t="s">
        <v>31</v>
      </c>
      <c r="H2" t="s">
        <v>32</v>
      </c>
      <c r="I2" t="e">
        <f ca="1">_xludf.XLOOKUP(H2,Base_Planos!$A:$A,Base_Planos!$B:$B,"Não encontrado")</f>
        <v>#NAME?</v>
      </c>
      <c r="J2" s="2">
        <f>VLOOKUP(H2,Base_Planos!$A:$G,4,FALSE)</f>
        <v>39.9</v>
      </c>
      <c r="K2" s="4">
        <v>45136</v>
      </c>
      <c r="L2" t="s">
        <v>33</v>
      </c>
      <c r="M2" t="s">
        <v>34</v>
      </c>
      <c r="N2" s="4">
        <v>45261</v>
      </c>
      <c r="O2" s="10">
        <f ca="1">IF(M2="Cancelado",N2-K2,TODAY()-K2)</f>
        <v>125</v>
      </c>
      <c r="P2" s="10" t="str">
        <f t="shared" ref="P2:P65" ca="1" si="0">IF(O2&lt;=30,"Até 30 dias",IF(O2&lt;=90,"31 a 90 dias",IF(O2&lt;=180,"91 a 180 dias",IF(O2&lt;=365,"181 a 365 dias","Mais de 1 ano"))))</f>
        <v>91 a 180 dias</v>
      </c>
      <c r="Q2">
        <f>IF(M2="Cancelado",1,0)</f>
        <v>1</v>
      </c>
      <c r="R2">
        <v>10</v>
      </c>
      <c r="S2" s="11">
        <f>IF(Q2=1,J2,0)</f>
        <v>39.9</v>
      </c>
      <c r="T2" s="11" t="str">
        <f t="shared" ref="T2:T65" si="1">IF(R2&lt;=6,"Detrator",IF(R2&lt;=8,"Neutro","Promotor"))</f>
        <v>Promotor</v>
      </c>
      <c r="U2" s="11" t="str">
        <f t="shared" ref="U2:U65" si="2">IF(Q2=1,"Alto risco",IF(R2&lt;=6,"Alto risco",IF(R2&lt;=8,"Médio risco","Baixo risco")))</f>
        <v>Alto risco</v>
      </c>
      <c r="V2">
        <v>1</v>
      </c>
      <c r="W2">
        <v>21</v>
      </c>
      <c r="X2" s="2">
        <v>35.770000000000003</v>
      </c>
      <c r="Y2">
        <v>4</v>
      </c>
      <c r="Z2" t="s">
        <v>35</v>
      </c>
    </row>
    <row r="3" spans="1:26">
      <c r="A3" t="s">
        <v>36</v>
      </c>
      <c r="B3" t="s">
        <v>37</v>
      </c>
      <c r="C3" t="s">
        <v>38</v>
      </c>
      <c r="D3" t="s">
        <v>39</v>
      </c>
      <c r="E3">
        <v>30</v>
      </c>
      <c r="F3" t="s">
        <v>40</v>
      </c>
      <c r="G3" t="s">
        <v>41</v>
      </c>
      <c r="H3" t="s">
        <v>42</v>
      </c>
      <c r="I3" t="e">
        <f ca="1">_xludf.XLOOKUP(H3,Base_Planos!$A:$A,Base_Planos!$B:$B,"Não encontrado")</f>
        <v>#NAME?</v>
      </c>
      <c r="J3" s="2">
        <f>VLOOKUP(H3,Base_Planos!$A:$G,4,FALSE)</f>
        <v>29.9</v>
      </c>
      <c r="K3" s="4">
        <v>46133</v>
      </c>
      <c r="L3" t="s">
        <v>43</v>
      </c>
      <c r="M3" t="s">
        <v>44</v>
      </c>
      <c r="N3" s="4"/>
      <c r="O3" s="10">
        <f t="shared" ref="O3:O66" ca="1" si="3">IF(M3="Cancelado",N3-K3,TODAY()-K3)</f>
        <v>36</v>
      </c>
      <c r="P3" s="10" t="str">
        <f t="shared" ca="1" si="0"/>
        <v>31 a 90 dias</v>
      </c>
      <c r="Q3">
        <f t="shared" ref="Q3:Q66" si="4">IF(M3="Cancelado",1,0)</f>
        <v>0</v>
      </c>
      <c r="R3">
        <v>4</v>
      </c>
      <c r="S3" s="11">
        <f t="shared" ref="S3:S66" si="5">IF(Q3=1,J3,0)</f>
        <v>0</v>
      </c>
      <c r="T3" s="11" t="str">
        <f t="shared" si="1"/>
        <v>Detrator</v>
      </c>
      <c r="U3" s="11" t="str">
        <f t="shared" si="2"/>
        <v>Alto risco</v>
      </c>
      <c r="V3">
        <v>2</v>
      </c>
      <c r="W3">
        <v>54</v>
      </c>
      <c r="X3" s="2">
        <v>27.45</v>
      </c>
      <c r="Y3">
        <v>1</v>
      </c>
      <c r="Z3" t="s">
        <v>45</v>
      </c>
    </row>
    <row r="4" spans="1:26">
      <c r="A4" t="s">
        <v>46</v>
      </c>
      <c r="B4" t="s">
        <v>47</v>
      </c>
      <c r="C4" t="s">
        <v>48</v>
      </c>
      <c r="D4" t="s">
        <v>29</v>
      </c>
      <c r="E4">
        <v>39</v>
      </c>
      <c r="F4" t="s">
        <v>30</v>
      </c>
      <c r="G4" t="s">
        <v>41</v>
      </c>
      <c r="H4" t="s">
        <v>32</v>
      </c>
      <c r="I4" t="e">
        <f ca="1">_xludf.XLOOKUP(H4,Base_Planos!$A:$A,Base_Planos!$B:$B,"Não encontrado")</f>
        <v>#NAME?</v>
      </c>
      <c r="J4" s="2">
        <f>VLOOKUP(H4,Base_Planos!$A:$G,4,FALSE)</f>
        <v>39.9</v>
      </c>
      <c r="K4" s="4">
        <v>45631</v>
      </c>
      <c r="L4" t="s">
        <v>49</v>
      </c>
      <c r="M4" t="s">
        <v>34</v>
      </c>
      <c r="N4" s="4">
        <v>46133</v>
      </c>
      <c r="O4" s="10">
        <f t="shared" ca="1" si="3"/>
        <v>502</v>
      </c>
      <c r="P4" s="10" t="str">
        <f t="shared" ca="1" si="0"/>
        <v>Mais de 1 ano</v>
      </c>
      <c r="Q4">
        <f t="shared" si="4"/>
        <v>1</v>
      </c>
      <c r="R4">
        <v>9</v>
      </c>
      <c r="S4" s="11">
        <f t="shared" si="5"/>
        <v>39.9</v>
      </c>
      <c r="T4" s="11" t="str">
        <f t="shared" si="1"/>
        <v>Promotor</v>
      </c>
      <c r="U4" s="11" t="str">
        <f t="shared" si="2"/>
        <v>Alto risco</v>
      </c>
      <c r="V4">
        <v>0</v>
      </c>
      <c r="W4">
        <v>65</v>
      </c>
      <c r="X4" s="2">
        <v>34.54</v>
      </c>
      <c r="Y4">
        <v>16</v>
      </c>
      <c r="Z4" t="s">
        <v>50</v>
      </c>
    </row>
    <row r="5" spans="1:26">
      <c r="A5" t="s">
        <v>51</v>
      </c>
      <c r="B5" t="s">
        <v>52</v>
      </c>
      <c r="C5" t="s">
        <v>53</v>
      </c>
      <c r="D5" t="s">
        <v>29</v>
      </c>
      <c r="E5">
        <v>41</v>
      </c>
      <c r="F5" t="s">
        <v>54</v>
      </c>
      <c r="G5" t="s">
        <v>55</v>
      </c>
      <c r="H5" t="s">
        <v>32</v>
      </c>
      <c r="I5" t="e">
        <f ca="1">_xludf.XLOOKUP(H5,Base_Planos!$A:$A,Base_Planos!$B:$B,"Não encontrado")</f>
        <v>#NAME?</v>
      </c>
      <c r="J5" s="2">
        <f>VLOOKUP(H5,Base_Planos!$A:$G,4,FALSE)</f>
        <v>39.9</v>
      </c>
      <c r="K5" s="4">
        <v>45393</v>
      </c>
      <c r="L5" t="s">
        <v>56</v>
      </c>
      <c r="M5" t="s">
        <v>34</v>
      </c>
      <c r="N5" s="4">
        <v>45887</v>
      </c>
      <c r="O5" s="10">
        <f t="shared" ca="1" si="3"/>
        <v>494</v>
      </c>
      <c r="P5" s="10" t="str">
        <f t="shared" ca="1" si="0"/>
        <v>Mais de 1 ano</v>
      </c>
      <c r="Q5">
        <f t="shared" si="4"/>
        <v>1</v>
      </c>
      <c r="R5">
        <v>4</v>
      </c>
      <c r="S5" s="11">
        <f t="shared" si="5"/>
        <v>39.9</v>
      </c>
      <c r="T5" s="11" t="str">
        <f t="shared" si="1"/>
        <v>Detrator</v>
      </c>
      <c r="U5" s="11" t="str">
        <f t="shared" si="2"/>
        <v>Alto risco</v>
      </c>
      <c r="V5">
        <v>2</v>
      </c>
      <c r="W5">
        <v>51</v>
      </c>
      <c r="X5" s="2">
        <v>36.83</v>
      </c>
      <c r="Y5">
        <v>16</v>
      </c>
      <c r="Z5" t="s">
        <v>45</v>
      </c>
    </row>
    <row r="6" spans="1:26">
      <c r="A6" t="s">
        <v>57</v>
      </c>
      <c r="B6" t="s">
        <v>58</v>
      </c>
      <c r="C6" t="s">
        <v>59</v>
      </c>
      <c r="D6" t="s">
        <v>60</v>
      </c>
      <c r="E6">
        <v>60</v>
      </c>
      <c r="F6" t="s">
        <v>30</v>
      </c>
      <c r="G6" t="s">
        <v>55</v>
      </c>
      <c r="H6" t="s">
        <v>61</v>
      </c>
      <c r="I6" t="e">
        <f ca="1">_xludf.XLOOKUP(H6,Base_Planos!$A:$A,Base_Planos!$B:$B,"Não encontrado")</f>
        <v>#NAME?</v>
      </c>
      <c r="J6" s="2">
        <f>VLOOKUP(H6,Base_Planos!$A:$G,4,FALSE)</f>
        <v>59.9</v>
      </c>
      <c r="K6" s="4">
        <v>45277</v>
      </c>
      <c r="L6" t="s">
        <v>62</v>
      </c>
      <c r="M6" t="s">
        <v>44</v>
      </c>
      <c r="N6" s="4"/>
      <c r="O6" s="10">
        <f t="shared" ca="1" si="3"/>
        <v>892</v>
      </c>
      <c r="P6" s="10" t="str">
        <f t="shared" ca="1" si="0"/>
        <v>Mais de 1 ano</v>
      </c>
      <c r="Q6">
        <f t="shared" si="4"/>
        <v>0</v>
      </c>
      <c r="R6">
        <v>8</v>
      </c>
      <c r="S6" s="11">
        <f t="shared" si="5"/>
        <v>0</v>
      </c>
      <c r="T6" s="11" t="str">
        <f t="shared" si="1"/>
        <v>Neutro</v>
      </c>
      <c r="U6" s="11" t="str">
        <f t="shared" si="2"/>
        <v>Médio risco</v>
      </c>
      <c r="V6">
        <v>0</v>
      </c>
      <c r="W6">
        <v>40</v>
      </c>
      <c r="X6" s="2">
        <v>58.58</v>
      </c>
      <c r="Y6">
        <v>29</v>
      </c>
      <c r="Z6" t="s">
        <v>50</v>
      </c>
    </row>
    <row r="7" spans="1:26">
      <c r="A7" t="s">
        <v>63</v>
      </c>
      <c r="B7" t="s">
        <v>64</v>
      </c>
      <c r="C7" t="s">
        <v>65</v>
      </c>
      <c r="D7" t="s">
        <v>29</v>
      </c>
      <c r="E7">
        <v>38</v>
      </c>
      <c r="F7" t="s">
        <v>66</v>
      </c>
      <c r="G7" t="s">
        <v>67</v>
      </c>
      <c r="H7" t="s">
        <v>42</v>
      </c>
      <c r="I7" t="e">
        <f ca="1">_xludf.XLOOKUP(H7,Base_Planos!$A:$A,Base_Planos!$B:$B,"Não encontrado")</f>
        <v>#NAME?</v>
      </c>
      <c r="J7" s="2">
        <f>VLOOKUP(H7,Base_Planos!$A:$G,4,FALSE)</f>
        <v>29.9</v>
      </c>
      <c r="K7" s="4">
        <v>44992</v>
      </c>
      <c r="L7" t="s">
        <v>68</v>
      </c>
      <c r="M7" t="s">
        <v>44</v>
      </c>
      <c r="N7" s="4"/>
      <c r="O7" s="10">
        <f t="shared" ca="1" si="3"/>
        <v>1177</v>
      </c>
      <c r="P7" s="10" t="str">
        <f t="shared" ca="1" si="0"/>
        <v>Mais de 1 ano</v>
      </c>
      <c r="Q7">
        <f t="shared" si="4"/>
        <v>0</v>
      </c>
      <c r="R7">
        <v>5</v>
      </c>
      <c r="S7" s="11">
        <f t="shared" si="5"/>
        <v>0</v>
      </c>
      <c r="T7" s="11" t="str">
        <f t="shared" si="1"/>
        <v>Detrator</v>
      </c>
      <c r="U7" s="11" t="str">
        <f t="shared" si="2"/>
        <v>Alto risco</v>
      </c>
      <c r="V7">
        <v>3</v>
      </c>
      <c r="W7">
        <v>63</v>
      </c>
      <c r="X7" s="2">
        <v>29.71</v>
      </c>
      <c r="Y7">
        <v>39</v>
      </c>
      <c r="Z7" t="s">
        <v>35</v>
      </c>
    </row>
    <row r="8" spans="1:26">
      <c r="A8" t="s">
        <v>69</v>
      </c>
      <c r="B8" t="s">
        <v>70</v>
      </c>
      <c r="C8" t="s">
        <v>71</v>
      </c>
      <c r="D8" t="s">
        <v>72</v>
      </c>
      <c r="E8">
        <v>59</v>
      </c>
      <c r="F8" t="s">
        <v>54</v>
      </c>
      <c r="G8" t="s">
        <v>73</v>
      </c>
      <c r="H8" t="s">
        <v>32</v>
      </c>
      <c r="I8" t="e">
        <f ca="1">_xludf.XLOOKUP(H8,Base_Planos!$A:$A,Base_Planos!$B:$B,"Não encontrado")</f>
        <v>#NAME?</v>
      </c>
      <c r="J8" s="2">
        <f>VLOOKUP(H8,Base_Planos!$A:$G,4,FALSE)</f>
        <v>39.9</v>
      </c>
      <c r="K8" s="4">
        <v>46076</v>
      </c>
      <c r="L8" t="s">
        <v>74</v>
      </c>
      <c r="M8" t="s">
        <v>44</v>
      </c>
      <c r="N8" s="4"/>
      <c r="O8" s="10">
        <f t="shared" ca="1" si="3"/>
        <v>93</v>
      </c>
      <c r="P8" s="10" t="str">
        <f t="shared" ca="1" si="0"/>
        <v>91 a 180 dias</v>
      </c>
      <c r="Q8">
        <f t="shared" si="4"/>
        <v>0</v>
      </c>
      <c r="R8">
        <v>8</v>
      </c>
      <c r="S8" s="11">
        <f t="shared" si="5"/>
        <v>0</v>
      </c>
      <c r="T8" s="11" t="str">
        <f t="shared" si="1"/>
        <v>Neutro</v>
      </c>
      <c r="U8" s="11" t="str">
        <f t="shared" si="2"/>
        <v>Médio risco</v>
      </c>
      <c r="V8">
        <v>2</v>
      </c>
      <c r="W8">
        <v>93</v>
      </c>
      <c r="X8" s="2">
        <v>35.67</v>
      </c>
      <c r="Y8">
        <v>3</v>
      </c>
      <c r="Z8" t="s">
        <v>50</v>
      </c>
    </row>
    <row r="9" spans="1:26">
      <c r="A9" t="s">
        <v>75</v>
      </c>
      <c r="B9" t="s">
        <v>76</v>
      </c>
      <c r="C9" t="s">
        <v>77</v>
      </c>
      <c r="D9" t="s">
        <v>78</v>
      </c>
      <c r="E9">
        <v>23</v>
      </c>
      <c r="F9" t="s">
        <v>40</v>
      </c>
      <c r="G9" t="s">
        <v>55</v>
      </c>
      <c r="H9" t="s">
        <v>32</v>
      </c>
      <c r="I9" t="e">
        <f ca="1">_xludf.XLOOKUP(H9,Base_Planos!$A:$A,Base_Planos!$B:$B,"Não encontrado")</f>
        <v>#NAME?</v>
      </c>
      <c r="J9" s="2">
        <f>VLOOKUP(H9,Base_Planos!$A:$G,4,FALSE)</f>
        <v>39.9</v>
      </c>
      <c r="K9" s="4">
        <v>45254</v>
      </c>
      <c r="L9" t="s">
        <v>79</v>
      </c>
      <c r="M9" t="s">
        <v>44</v>
      </c>
      <c r="N9" s="4"/>
      <c r="O9" s="10">
        <f t="shared" ca="1" si="3"/>
        <v>915</v>
      </c>
      <c r="P9" s="10" t="str">
        <f t="shared" ca="1" si="0"/>
        <v>Mais de 1 ano</v>
      </c>
      <c r="Q9">
        <f t="shared" si="4"/>
        <v>0</v>
      </c>
      <c r="R9">
        <v>10</v>
      </c>
      <c r="S9" s="11">
        <f t="shared" si="5"/>
        <v>0</v>
      </c>
      <c r="T9" s="11" t="str">
        <f t="shared" si="1"/>
        <v>Promotor</v>
      </c>
      <c r="U9" s="11" t="str">
        <f t="shared" si="2"/>
        <v>Baixo risco</v>
      </c>
      <c r="V9">
        <v>0</v>
      </c>
      <c r="W9">
        <v>61</v>
      </c>
      <c r="X9" s="2">
        <v>38.14</v>
      </c>
      <c r="Y9">
        <v>30</v>
      </c>
      <c r="Z9" t="s">
        <v>50</v>
      </c>
    </row>
    <row r="10" spans="1:26">
      <c r="A10" t="s">
        <v>80</v>
      </c>
      <c r="B10" t="s">
        <v>81</v>
      </c>
      <c r="C10" t="s">
        <v>65</v>
      </c>
      <c r="D10" t="s">
        <v>29</v>
      </c>
      <c r="E10">
        <v>64</v>
      </c>
      <c r="F10" t="s">
        <v>30</v>
      </c>
      <c r="G10" t="s">
        <v>73</v>
      </c>
      <c r="H10" t="s">
        <v>82</v>
      </c>
      <c r="I10" t="e">
        <f ca="1">_xludf.XLOOKUP(H10,Base_Planos!$A:$A,Base_Planos!$B:$B,"Não encontrado")</f>
        <v>#NAME?</v>
      </c>
      <c r="J10" s="2">
        <f>VLOOKUP(H10,Base_Planos!$A:$G,4,FALSE)</f>
        <v>149.9</v>
      </c>
      <c r="K10" s="4">
        <v>45623</v>
      </c>
      <c r="L10" t="s">
        <v>83</v>
      </c>
      <c r="M10" t="s">
        <v>44</v>
      </c>
      <c r="N10" s="4"/>
      <c r="O10" s="10">
        <f t="shared" ca="1" si="3"/>
        <v>546</v>
      </c>
      <c r="P10" s="10" t="str">
        <f t="shared" ca="1" si="0"/>
        <v>Mais de 1 ano</v>
      </c>
      <c r="Q10">
        <f t="shared" si="4"/>
        <v>0</v>
      </c>
      <c r="R10">
        <v>1</v>
      </c>
      <c r="S10" s="11">
        <f t="shared" si="5"/>
        <v>0</v>
      </c>
      <c r="T10" s="11" t="str">
        <f t="shared" si="1"/>
        <v>Detrator</v>
      </c>
      <c r="U10" s="11" t="str">
        <f t="shared" si="2"/>
        <v>Alto risco</v>
      </c>
      <c r="V10">
        <v>0</v>
      </c>
      <c r="W10">
        <v>72</v>
      </c>
      <c r="X10" s="2">
        <v>148.99</v>
      </c>
      <c r="Y10">
        <v>18</v>
      </c>
      <c r="Z10" t="s">
        <v>35</v>
      </c>
    </row>
    <row r="11" spans="1:26">
      <c r="A11" t="s">
        <v>84</v>
      </c>
      <c r="B11" t="s">
        <v>85</v>
      </c>
      <c r="C11" t="s">
        <v>38</v>
      </c>
      <c r="D11" t="s">
        <v>39</v>
      </c>
      <c r="E11">
        <v>24</v>
      </c>
      <c r="F11" t="s">
        <v>66</v>
      </c>
      <c r="G11" t="s">
        <v>73</v>
      </c>
      <c r="H11" t="s">
        <v>86</v>
      </c>
      <c r="I11" t="e">
        <f ca="1">_xludf.XLOOKUP(H11,Base_Planos!$A:$A,Base_Planos!$B:$B,"Não encontrado")</f>
        <v>#NAME?</v>
      </c>
      <c r="J11" s="2">
        <f>VLOOKUP(H11,Base_Planos!$A:$G,4,FALSE)</f>
        <v>119.9</v>
      </c>
      <c r="K11" s="4">
        <v>45966</v>
      </c>
      <c r="L11" t="s">
        <v>87</v>
      </c>
      <c r="M11" t="s">
        <v>44</v>
      </c>
      <c r="N11" s="4"/>
      <c r="O11" s="10">
        <f t="shared" ca="1" si="3"/>
        <v>203</v>
      </c>
      <c r="P11" s="10" t="str">
        <f t="shared" ca="1" si="0"/>
        <v>181 a 365 dias</v>
      </c>
      <c r="Q11">
        <f t="shared" si="4"/>
        <v>0</v>
      </c>
      <c r="R11">
        <v>9</v>
      </c>
      <c r="S11" s="11">
        <f t="shared" si="5"/>
        <v>0</v>
      </c>
      <c r="T11" s="11" t="str">
        <f t="shared" si="1"/>
        <v>Promotor</v>
      </c>
      <c r="U11" s="11" t="str">
        <f t="shared" si="2"/>
        <v>Baixo risco</v>
      </c>
      <c r="V11">
        <v>0</v>
      </c>
      <c r="W11">
        <v>82</v>
      </c>
      <c r="X11" s="2">
        <v>124.03</v>
      </c>
      <c r="Y11">
        <v>6</v>
      </c>
      <c r="Z11" t="s">
        <v>50</v>
      </c>
    </row>
    <row r="12" spans="1:26">
      <c r="A12" t="s">
        <v>88</v>
      </c>
      <c r="B12" t="s">
        <v>89</v>
      </c>
      <c r="C12" t="s">
        <v>90</v>
      </c>
      <c r="D12" t="s">
        <v>29</v>
      </c>
      <c r="E12">
        <v>38</v>
      </c>
      <c r="F12" t="s">
        <v>54</v>
      </c>
      <c r="G12" t="s">
        <v>55</v>
      </c>
      <c r="H12" t="s">
        <v>86</v>
      </c>
      <c r="I12" t="e">
        <f ca="1">_xludf.XLOOKUP(H12,Base_Planos!$A:$A,Base_Planos!$B:$B,"Não encontrado")</f>
        <v>#NAME?</v>
      </c>
      <c r="J12" s="2">
        <f>VLOOKUP(H12,Base_Planos!$A:$G,4,FALSE)</f>
        <v>119.9</v>
      </c>
      <c r="K12" s="4">
        <v>45556</v>
      </c>
      <c r="L12" t="s">
        <v>91</v>
      </c>
      <c r="M12" t="s">
        <v>34</v>
      </c>
      <c r="N12" s="4">
        <v>46083</v>
      </c>
      <c r="O12" s="10">
        <f t="shared" ca="1" si="3"/>
        <v>527</v>
      </c>
      <c r="P12" s="10" t="str">
        <f t="shared" ca="1" si="0"/>
        <v>Mais de 1 ano</v>
      </c>
      <c r="Q12">
        <f t="shared" si="4"/>
        <v>1</v>
      </c>
      <c r="R12">
        <v>3</v>
      </c>
      <c r="S12" s="11">
        <f t="shared" si="5"/>
        <v>119.9</v>
      </c>
      <c r="T12" s="11" t="str">
        <f t="shared" si="1"/>
        <v>Detrator</v>
      </c>
      <c r="U12" s="11" t="str">
        <f t="shared" si="2"/>
        <v>Alto risco</v>
      </c>
      <c r="V12">
        <v>3</v>
      </c>
      <c r="W12">
        <v>77</v>
      </c>
      <c r="X12" s="2">
        <v>125.37</v>
      </c>
      <c r="Y12">
        <v>17</v>
      </c>
      <c r="Z12" t="s">
        <v>45</v>
      </c>
    </row>
    <row r="13" spans="1:26">
      <c r="A13" t="s">
        <v>92</v>
      </c>
      <c r="B13" t="s">
        <v>93</v>
      </c>
      <c r="C13" t="s">
        <v>94</v>
      </c>
      <c r="D13" t="s">
        <v>95</v>
      </c>
      <c r="E13">
        <v>60</v>
      </c>
      <c r="F13" t="s">
        <v>54</v>
      </c>
      <c r="G13" t="s">
        <v>96</v>
      </c>
      <c r="H13" t="s">
        <v>42</v>
      </c>
      <c r="I13" t="e">
        <f ca="1">_xludf.XLOOKUP(H13,Base_Planos!$A:$A,Base_Planos!$B:$B,"Não encontrado")</f>
        <v>#NAME?</v>
      </c>
      <c r="J13" s="2">
        <f>VLOOKUP(H13,Base_Planos!$A:$G,4,FALSE)</f>
        <v>29.9</v>
      </c>
      <c r="K13" s="4">
        <v>45793</v>
      </c>
      <c r="L13" t="s">
        <v>97</v>
      </c>
      <c r="M13" t="s">
        <v>44</v>
      </c>
      <c r="N13" s="4"/>
      <c r="O13" s="10">
        <f t="shared" ca="1" si="3"/>
        <v>376</v>
      </c>
      <c r="P13" s="10" t="str">
        <f t="shared" ca="1" si="0"/>
        <v>Mais de 1 ano</v>
      </c>
      <c r="Q13">
        <f t="shared" si="4"/>
        <v>0</v>
      </c>
      <c r="R13">
        <v>3</v>
      </c>
      <c r="S13" s="11">
        <f t="shared" si="5"/>
        <v>0</v>
      </c>
      <c r="T13" s="11" t="str">
        <f t="shared" si="1"/>
        <v>Detrator</v>
      </c>
      <c r="U13" s="11" t="str">
        <f t="shared" si="2"/>
        <v>Alto risco</v>
      </c>
      <c r="V13">
        <v>1</v>
      </c>
      <c r="W13">
        <v>36</v>
      </c>
      <c r="X13" s="2">
        <v>27.8</v>
      </c>
      <c r="Y13">
        <v>12</v>
      </c>
      <c r="Z13" t="s">
        <v>45</v>
      </c>
    </row>
    <row r="14" spans="1:26">
      <c r="A14" t="s">
        <v>98</v>
      </c>
      <c r="B14" t="s">
        <v>99</v>
      </c>
      <c r="C14" t="s">
        <v>77</v>
      </c>
      <c r="D14" t="s">
        <v>78</v>
      </c>
      <c r="E14">
        <v>51</v>
      </c>
      <c r="F14" t="s">
        <v>54</v>
      </c>
      <c r="G14" t="s">
        <v>31</v>
      </c>
      <c r="H14" t="s">
        <v>42</v>
      </c>
      <c r="I14" t="e">
        <f ca="1">_xludf.XLOOKUP(H14,Base_Planos!$A:$A,Base_Planos!$B:$B,"Não encontrado")</f>
        <v>#NAME?</v>
      </c>
      <c r="J14" s="2">
        <f>VLOOKUP(H14,Base_Planos!$A:$G,4,FALSE)</f>
        <v>29.9</v>
      </c>
      <c r="K14" s="4">
        <v>45619</v>
      </c>
      <c r="L14" t="s">
        <v>83</v>
      </c>
      <c r="M14" t="s">
        <v>34</v>
      </c>
      <c r="N14" s="4">
        <v>45709</v>
      </c>
      <c r="O14" s="10">
        <f t="shared" ca="1" si="3"/>
        <v>90</v>
      </c>
      <c r="P14" s="10" t="str">
        <f t="shared" ca="1" si="0"/>
        <v>31 a 90 dias</v>
      </c>
      <c r="Q14">
        <f t="shared" si="4"/>
        <v>1</v>
      </c>
      <c r="R14">
        <v>0</v>
      </c>
      <c r="S14" s="11">
        <f t="shared" si="5"/>
        <v>29.9</v>
      </c>
      <c r="T14" s="11" t="str">
        <f t="shared" si="1"/>
        <v>Detrator</v>
      </c>
      <c r="U14" s="11" t="str">
        <f t="shared" si="2"/>
        <v>Alto risco</v>
      </c>
      <c r="V14">
        <v>0</v>
      </c>
      <c r="W14">
        <v>46</v>
      </c>
      <c r="X14" s="2">
        <v>30.83</v>
      </c>
      <c r="Y14">
        <v>3</v>
      </c>
      <c r="Z14" t="s">
        <v>35</v>
      </c>
    </row>
    <row r="15" spans="1:26">
      <c r="A15" t="s">
        <v>100</v>
      </c>
      <c r="B15" t="s">
        <v>101</v>
      </c>
      <c r="C15" t="s">
        <v>102</v>
      </c>
      <c r="D15" t="s">
        <v>103</v>
      </c>
      <c r="E15">
        <v>50</v>
      </c>
      <c r="F15" t="s">
        <v>30</v>
      </c>
      <c r="G15" t="s">
        <v>104</v>
      </c>
      <c r="H15" t="s">
        <v>42</v>
      </c>
      <c r="I15" t="e">
        <f ca="1">_xludf.XLOOKUP(H15,Base_Planos!$A:$A,Base_Planos!$B:$B,"Não encontrado")</f>
        <v>#NAME?</v>
      </c>
      <c r="J15" s="2">
        <f>VLOOKUP(H15,Base_Planos!$A:$G,4,FALSE)</f>
        <v>29.9</v>
      </c>
      <c r="K15" s="4">
        <v>45197</v>
      </c>
      <c r="L15" t="s">
        <v>105</v>
      </c>
      <c r="M15" t="s">
        <v>44</v>
      </c>
      <c r="N15" s="4"/>
      <c r="O15" s="10">
        <f t="shared" ca="1" si="3"/>
        <v>972</v>
      </c>
      <c r="P15" s="10" t="str">
        <f t="shared" ca="1" si="0"/>
        <v>Mais de 1 ano</v>
      </c>
      <c r="Q15">
        <f t="shared" si="4"/>
        <v>0</v>
      </c>
      <c r="R15">
        <v>9</v>
      </c>
      <c r="S15" s="11">
        <f t="shared" si="5"/>
        <v>0</v>
      </c>
      <c r="T15" s="11" t="str">
        <f t="shared" si="1"/>
        <v>Promotor</v>
      </c>
      <c r="U15" s="11" t="str">
        <f t="shared" si="2"/>
        <v>Baixo risco</v>
      </c>
      <c r="V15">
        <v>0</v>
      </c>
      <c r="W15">
        <v>47</v>
      </c>
      <c r="X15" s="2">
        <v>25.98</v>
      </c>
      <c r="Y15">
        <v>32</v>
      </c>
      <c r="Z15" t="s">
        <v>50</v>
      </c>
    </row>
    <row r="16" spans="1:26">
      <c r="A16" t="s">
        <v>106</v>
      </c>
      <c r="B16" t="s">
        <v>107</v>
      </c>
      <c r="C16" t="s">
        <v>108</v>
      </c>
      <c r="D16" t="s">
        <v>109</v>
      </c>
      <c r="E16">
        <v>45</v>
      </c>
      <c r="F16" t="s">
        <v>54</v>
      </c>
      <c r="G16" t="s">
        <v>67</v>
      </c>
      <c r="H16" t="s">
        <v>61</v>
      </c>
      <c r="I16" t="e">
        <f ca="1">_xludf.XLOOKUP(H16,Base_Planos!$A:$A,Base_Planos!$B:$B,"Não encontrado")</f>
        <v>#NAME?</v>
      </c>
      <c r="J16" s="2">
        <f>VLOOKUP(H16,Base_Planos!$A:$G,4,FALSE)</f>
        <v>59.9</v>
      </c>
      <c r="K16" s="4">
        <v>45128</v>
      </c>
      <c r="L16" t="s">
        <v>33</v>
      </c>
      <c r="M16" t="s">
        <v>34</v>
      </c>
      <c r="N16" s="4">
        <v>45352</v>
      </c>
      <c r="O16" s="10">
        <f t="shared" ca="1" si="3"/>
        <v>224</v>
      </c>
      <c r="P16" s="10" t="str">
        <f t="shared" ca="1" si="0"/>
        <v>181 a 365 dias</v>
      </c>
      <c r="Q16">
        <f t="shared" si="4"/>
        <v>1</v>
      </c>
      <c r="R16">
        <v>0</v>
      </c>
      <c r="S16" s="11">
        <f t="shared" si="5"/>
        <v>59.9</v>
      </c>
      <c r="T16" s="11" t="str">
        <f t="shared" si="1"/>
        <v>Detrator</v>
      </c>
      <c r="U16" s="11" t="str">
        <f t="shared" si="2"/>
        <v>Alto risco</v>
      </c>
      <c r="V16">
        <v>2</v>
      </c>
      <c r="W16">
        <v>71</v>
      </c>
      <c r="X16" s="2">
        <v>52.59</v>
      </c>
      <c r="Y16">
        <v>7</v>
      </c>
      <c r="Z16" t="s">
        <v>35</v>
      </c>
    </row>
    <row r="17" spans="1:26">
      <c r="A17" t="s">
        <v>110</v>
      </c>
      <c r="B17" t="s">
        <v>111</v>
      </c>
      <c r="C17" t="s">
        <v>77</v>
      </c>
      <c r="D17" t="s">
        <v>78</v>
      </c>
      <c r="E17">
        <v>33</v>
      </c>
      <c r="F17" t="s">
        <v>66</v>
      </c>
      <c r="G17" t="s">
        <v>55</v>
      </c>
      <c r="H17" t="s">
        <v>112</v>
      </c>
      <c r="I17" t="e">
        <f ca="1">_xludf.XLOOKUP(H17,Base_Planos!$A:$A,Base_Planos!$B:$B,"Não encontrado")</f>
        <v>#NAME?</v>
      </c>
      <c r="J17" s="2">
        <f>VLOOKUP(H17,Base_Planos!$A:$G,4,FALSE)</f>
        <v>79.900000000000006</v>
      </c>
      <c r="K17" s="4">
        <v>46054</v>
      </c>
      <c r="L17" t="s">
        <v>74</v>
      </c>
      <c r="M17" t="s">
        <v>44</v>
      </c>
      <c r="N17" s="4"/>
      <c r="O17" s="10">
        <f t="shared" ca="1" si="3"/>
        <v>115</v>
      </c>
      <c r="P17" s="10" t="str">
        <f t="shared" ca="1" si="0"/>
        <v>91 a 180 dias</v>
      </c>
      <c r="Q17">
        <f t="shared" si="4"/>
        <v>0</v>
      </c>
      <c r="R17">
        <v>1</v>
      </c>
      <c r="S17" s="11">
        <f t="shared" si="5"/>
        <v>0</v>
      </c>
      <c r="T17" s="11" t="str">
        <f t="shared" si="1"/>
        <v>Detrator</v>
      </c>
      <c r="U17" s="11" t="str">
        <f t="shared" si="2"/>
        <v>Alto risco</v>
      </c>
      <c r="V17">
        <v>2</v>
      </c>
      <c r="W17">
        <v>90</v>
      </c>
      <c r="X17" s="2">
        <v>82.72</v>
      </c>
      <c r="Y17">
        <v>3</v>
      </c>
      <c r="Z17" t="s">
        <v>45</v>
      </c>
    </row>
    <row r="18" spans="1:26">
      <c r="A18" t="s">
        <v>113</v>
      </c>
      <c r="B18" t="s">
        <v>114</v>
      </c>
      <c r="C18" t="s">
        <v>94</v>
      </c>
      <c r="D18" t="s">
        <v>95</v>
      </c>
      <c r="E18">
        <v>44</v>
      </c>
      <c r="F18" t="s">
        <v>54</v>
      </c>
      <c r="G18" t="s">
        <v>31</v>
      </c>
      <c r="H18" t="s">
        <v>86</v>
      </c>
      <c r="I18" t="e">
        <f ca="1">_xludf.XLOOKUP(H18,Base_Planos!$A:$A,Base_Planos!$B:$B,"Não encontrado")</f>
        <v>#NAME?</v>
      </c>
      <c r="J18" s="2">
        <f>VLOOKUP(H18,Base_Planos!$A:$G,4,FALSE)</f>
        <v>119.9</v>
      </c>
      <c r="K18" s="4">
        <v>45047</v>
      </c>
      <c r="L18" t="s">
        <v>115</v>
      </c>
      <c r="M18" t="s">
        <v>44</v>
      </c>
      <c r="N18" s="4"/>
      <c r="O18" s="10">
        <f t="shared" ca="1" si="3"/>
        <v>1122</v>
      </c>
      <c r="P18" s="10" t="str">
        <f t="shared" ca="1" si="0"/>
        <v>Mais de 1 ano</v>
      </c>
      <c r="Q18">
        <f t="shared" si="4"/>
        <v>0</v>
      </c>
      <c r="R18">
        <v>2</v>
      </c>
      <c r="S18" s="11">
        <f t="shared" si="5"/>
        <v>0</v>
      </c>
      <c r="T18" s="11" t="str">
        <f t="shared" si="1"/>
        <v>Detrator</v>
      </c>
      <c r="U18" s="11" t="str">
        <f t="shared" si="2"/>
        <v>Alto risco</v>
      </c>
      <c r="V18">
        <v>0</v>
      </c>
      <c r="W18">
        <v>100</v>
      </c>
      <c r="X18" s="2">
        <v>112.83</v>
      </c>
      <c r="Y18">
        <v>37</v>
      </c>
      <c r="Z18" t="s">
        <v>35</v>
      </c>
    </row>
    <row r="19" spans="1:26">
      <c r="A19" t="s">
        <v>116</v>
      </c>
      <c r="B19" t="s">
        <v>117</v>
      </c>
      <c r="C19" t="s">
        <v>65</v>
      </c>
      <c r="D19" t="s">
        <v>29</v>
      </c>
      <c r="E19">
        <v>63</v>
      </c>
      <c r="F19" t="s">
        <v>54</v>
      </c>
      <c r="G19" t="s">
        <v>31</v>
      </c>
      <c r="H19" t="s">
        <v>42</v>
      </c>
      <c r="I19" t="e">
        <f ca="1">_xludf.XLOOKUP(H19,Base_Planos!$A:$A,Base_Planos!$B:$B,"Não encontrado")</f>
        <v>#NAME?</v>
      </c>
      <c r="J19" s="2">
        <f>VLOOKUP(H19,Base_Planos!$A:$G,4,FALSE)</f>
        <v>29.9</v>
      </c>
      <c r="K19" s="4">
        <v>45046</v>
      </c>
      <c r="L19" t="s">
        <v>118</v>
      </c>
      <c r="M19" t="s">
        <v>34</v>
      </c>
      <c r="N19" s="4">
        <v>46052</v>
      </c>
      <c r="O19" s="10">
        <f t="shared" ca="1" si="3"/>
        <v>1006</v>
      </c>
      <c r="P19" s="10" t="str">
        <f t="shared" ca="1" si="0"/>
        <v>Mais de 1 ano</v>
      </c>
      <c r="Q19">
        <f t="shared" si="4"/>
        <v>1</v>
      </c>
      <c r="R19">
        <v>9</v>
      </c>
      <c r="S19" s="11">
        <f t="shared" si="5"/>
        <v>29.9</v>
      </c>
      <c r="T19" s="11" t="str">
        <f t="shared" si="1"/>
        <v>Promotor</v>
      </c>
      <c r="U19" s="11" t="str">
        <f t="shared" si="2"/>
        <v>Alto risco</v>
      </c>
      <c r="V19">
        <v>0</v>
      </c>
      <c r="W19">
        <v>47</v>
      </c>
      <c r="X19" s="2">
        <v>25.76</v>
      </c>
      <c r="Y19">
        <v>33</v>
      </c>
      <c r="Z19" t="s">
        <v>50</v>
      </c>
    </row>
    <row r="20" spans="1:26">
      <c r="A20" t="s">
        <v>119</v>
      </c>
      <c r="B20" t="s">
        <v>120</v>
      </c>
      <c r="C20" t="s">
        <v>53</v>
      </c>
      <c r="D20" t="s">
        <v>29</v>
      </c>
      <c r="E20">
        <v>29</v>
      </c>
      <c r="F20" t="s">
        <v>30</v>
      </c>
      <c r="G20" t="s">
        <v>55</v>
      </c>
      <c r="H20" t="s">
        <v>61</v>
      </c>
      <c r="I20" t="e">
        <f ca="1">_xludf.XLOOKUP(H20,Base_Planos!$A:$A,Base_Planos!$B:$B,"Não encontrado")</f>
        <v>#NAME?</v>
      </c>
      <c r="J20" s="2">
        <f>VLOOKUP(H20,Base_Planos!$A:$G,4,FALSE)</f>
        <v>59.9</v>
      </c>
      <c r="K20" s="4">
        <v>45408</v>
      </c>
      <c r="L20" t="s">
        <v>56</v>
      </c>
      <c r="M20" t="s">
        <v>44</v>
      </c>
      <c r="N20" s="4"/>
      <c r="O20" s="10">
        <f t="shared" ca="1" si="3"/>
        <v>761</v>
      </c>
      <c r="P20" s="10" t="str">
        <f t="shared" ca="1" si="0"/>
        <v>Mais de 1 ano</v>
      </c>
      <c r="Q20">
        <f t="shared" si="4"/>
        <v>0</v>
      </c>
      <c r="R20">
        <v>6</v>
      </c>
      <c r="S20" s="11">
        <f t="shared" si="5"/>
        <v>0</v>
      </c>
      <c r="T20" s="11" t="str">
        <f t="shared" si="1"/>
        <v>Detrator</v>
      </c>
      <c r="U20" s="11" t="str">
        <f t="shared" si="2"/>
        <v>Alto risco</v>
      </c>
      <c r="V20">
        <v>0</v>
      </c>
      <c r="W20">
        <v>97</v>
      </c>
      <c r="X20" s="2">
        <v>58.34</v>
      </c>
      <c r="Y20">
        <v>25</v>
      </c>
      <c r="Z20" t="s">
        <v>35</v>
      </c>
    </row>
    <row r="21" spans="1:26">
      <c r="A21" t="s">
        <v>121</v>
      </c>
      <c r="B21" t="s">
        <v>122</v>
      </c>
      <c r="C21" t="s">
        <v>90</v>
      </c>
      <c r="D21" t="s">
        <v>29</v>
      </c>
      <c r="E21">
        <v>51</v>
      </c>
      <c r="F21" t="s">
        <v>30</v>
      </c>
      <c r="G21" t="s">
        <v>73</v>
      </c>
      <c r="H21" t="s">
        <v>42</v>
      </c>
      <c r="I21" t="e">
        <f ca="1">_xludf.XLOOKUP(H21,Base_Planos!$A:$A,Base_Planos!$B:$B,"Não encontrado")</f>
        <v>#NAME?</v>
      </c>
      <c r="J21" s="2">
        <f>VLOOKUP(H21,Base_Planos!$A:$G,4,FALSE)</f>
        <v>29.9</v>
      </c>
      <c r="K21" s="4">
        <v>45570</v>
      </c>
      <c r="L21" t="s">
        <v>123</v>
      </c>
      <c r="M21" t="s">
        <v>44</v>
      </c>
      <c r="N21" s="4"/>
      <c r="O21" s="10">
        <f t="shared" ca="1" si="3"/>
        <v>599</v>
      </c>
      <c r="P21" s="10" t="str">
        <f t="shared" ca="1" si="0"/>
        <v>Mais de 1 ano</v>
      </c>
      <c r="Q21">
        <f t="shared" si="4"/>
        <v>0</v>
      </c>
      <c r="R21">
        <v>3</v>
      </c>
      <c r="S21" s="11">
        <f t="shared" si="5"/>
        <v>0</v>
      </c>
      <c r="T21" s="11" t="str">
        <f t="shared" si="1"/>
        <v>Detrator</v>
      </c>
      <c r="U21" s="11" t="str">
        <f t="shared" si="2"/>
        <v>Alto risco</v>
      </c>
      <c r="V21">
        <v>1</v>
      </c>
      <c r="W21">
        <v>71</v>
      </c>
      <c r="X21" s="2">
        <v>30.97</v>
      </c>
      <c r="Y21">
        <v>19</v>
      </c>
      <c r="Z21" t="s">
        <v>35</v>
      </c>
    </row>
    <row r="22" spans="1:26">
      <c r="A22" t="s">
        <v>124</v>
      </c>
      <c r="B22" t="s">
        <v>125</v>
      </c>
      <c r="C22" t="s">
        <v>28</v>
      </c>
      <c r="D22" t="s">
        <v>29</v>
      </c>
      <c r="E22">
        <v>47</v>
      </c>
      <c r="F22" t="s">
        <v>40</v>
      </c>
      <c r="G22" t="s">
        <v>55</v>
      </c>
      <c r="H22" t="s">
        <v>32</v>
      </c>
      <c r="I22" t="e">
        <f ca="1">_xludf.XLOOKUP(H22,Base_Planos!$A:$A,Base_Planos!$B:$B,"Não encontrado")</f>
        <v>#NAME?</v>
      </c>
      <c r="J22" s="2">
        <f>VLOOKUP(H22,Base_Planos!$A:$G,4,FALSE)</f>
        <v>39.9</v>
      </c>
      <c r="K22" s="4">
        <v>45363</v>
      </c>
      <c r="L22" t="s">
        <v>126</v>
      </c>
      <c r="M22" t="s">
        <v>44</v>
      </c>
      <c r="N22" s="4"/>
      <c r="O22" s="10">
        <f t="shared" ca="1" si="3"/>
        <v>806</v>
      </c>
      <c r="P22" s="10" t="str">
        <f t="shared" ca="1" si="0"/>
        <v>Mais de 1 ano</v>
      </c>
      <c r="Q22">
        <f t="shared" si="4"/>
        <v>0</v>
      </c>
      <c r="R22">
        <v>8</v>
      </c>
      <c r="S22" s="11">
        <f t="shared" si="5"/>
        <v>0</v>
      </c>
      <c r="T22" s="11" t="str">
        <f t="shared" si="1"/>
        <v>Neutro</v>
      </c>
      <c r="U22" s="11" t="str">
        <f t="shared" si="2"/>
        <v>Médio risco</v>
      </c>
      <c r="V22">
        <v>2</v>
      </c>
      <c r="W22">
        <v>100</v>
      </c>
      <c r="X22" s="2">
        <v>36.86</v>
      </c>
      <c r="Y22">
        <v>26</v>
      </c>
      <c r="Z22" t="s">
        <v>50</v>
      </c>
    </row>
    <row r="23" spans="1:26">
      <c r="A23" t="s">
        <v>127</v>
      </c>
      <c r="B23" t="s">
        <v>128</v>
      </c>
      <c r="C23" t="s">
        <v>53</v>
      </c>
      <c r="D23" t="s">
        <v>29</v>
      </c>
      <c r="E23">
        <v>52</v>
      </c>
      <c r="F23" t="s">
        <v>40</v>
      </c>
      <c r="G23" t="s">
        <v>67</v>
      </c>
      <c r="H23" t="s">
        <v>61</v>
      </c>
      <c r="I23" t="e">
        <f ca="1">_xludf.XLOOKUP(H23,Base_Planos!$A:$A,Base_Planos!$B:$B,"Não encontrado")</f>
        <v>#NAME?</v>
      </c>
      <c r="J23" s="2">
        <f>VLOOKUP(H23,Base_Planos!$A:$G,4,FALSE)</f>
        <v>59.9</v>
      </c>
      <c r="K23" s="4">
        <v>46062</v>
      </c>
      <c r="L23" t="s">
        <v>74</v>
      </c>
      <c r="M23" t="s">
        <v>34</v>
      </c>
      <c r="N23" s="4">
        <v>46105</v>
      </c>
      <c r="O23" s="10">
        <f t="shared" ca="1" si="3"/>
        <v>43</v>
      </c>
      <c r="P23" s="10" t="str">
        <f t="shared" ca="1" si="0"/>
        <v>31 a 90 dias</v>
      </c>
      <c r="Q23">
        <f t="shared" si="4"/>
        <v>1</v>
      </c>
      <c r="R23">
        <v>4</v>
      </c>
      <c r="S23" s="11">
        <f t="shared" si="5"/>
        <v>59.9</v>
      </c>
      <c r="T23" s="11" t="str">
        <f t="shared" si="1"/>
        <v>Detrator</v>
      </c>
      <c r="U23" s="11" t="str">
        <f t="shared" si="2"/>
        <v>Alto risco</v>
      </c>
      <c r="V23">
        <v>2</v>
      </c>
      <c r="W23">
        <v>51</v>
      </c>
      <c r="X23" s="2">
        <v>52.78</v>
      </c>
      <c r="Y23">
        <v>1</v>
      </c>
      <c r="Z23" t="s">
        <v>45</v>
      </c>
    </row>
    <row r="24" spans="1:26">
      <c r="A24" t="s">
        <v>129</v>
      </c>
      <c r="B24" t="s">
        <v>52</v>
      </c>
      <c r="C24" t="s">
        <v>59</v>
      </c>
      <c r="D24" t="s">
        <v>60</v>
      </c>
      <c r="E24">
        <v>63</v>
      </c>
      <c r="F24" t="s">
        <v>30</v>
      </c>
      <c r="G24" t="s">
        <v>73</v>
      </c>
      <c r="H24" t="s">
        <v>112</v>
      </c>
      <c r="I24" t="e">
        <f ca="1">_xludf.XLOOKUP(H24,Base_Planos!$A:$A,Base_Planos!$B:$B,"Não encontrado")</f>
        <v>#NAME?</v>
      </c>
      <c r="J24" s="2">
        <f>VLOOKUP(H24,Base_Planos!$A:$G,4,FALSE)</f>
        <v>79.900000000000006</v>
      </c>
      <c r="K24" s="4">
        <v>45441</v>
      </c>
      <c r="L24" t="s">
        <v>130</v>
      </c>
      <c r="M24" t="s">
        <v>34</v>
      </c>
      <c r="N24" s="4">
        <v>45604</v>
      </c>
      <c r="O24" s="10">
        <f t="shared" ca="1" si="3"/>
        <v>163</v>
      </c>
      <c r="P24" s="10" t="str">
        <f t="shared" ca="1" si="0"/>
        <v>91 a 180 dias</v>
      </c>
      <c r="Q24">
        <f t="shared" si="4"/>
        <v>1</v>
      </c>
      <c r="R24">
        <v>0</v>
      </c>
      <c r="S24" s="11">
        <f t="shared" si="5"/>
        <v>79.900000000000006</v>
      </c>
      <c r="T24" s="11" t="str">
        <f t="shared" si="1"/>
        <v>Detrator</v>
      </c>
      <c r="U24" s="11" t="str">
        <f t="shared" si="2"/>
        <v>Alto risco</v>
      </c>
      <c r="V24">
        <v>0</v>
      </c>
      <c r="W24">
        <v>73</v>
      </c>
      <c r="X24" s="2">
        <v>72.099999999999994</v>
      </c>
      <c r="Y24">
        <v>5</v>
      </c>
      <c r="Z24" t="s">
        <v>35</v>
      </c>
    </row>
    <row r="25" spans="1:26">
      <c r="A25" t="s">
        <v>131</v>
      </c>
      <c r="B25" t="s">
        <v>132</v>
      </c>
      <c r="C25" t="s">
        <v>38</v>
      </c>
      <c r="D25" t="s">
        <v>39</v>
      </c>
      <c r="E25">
        <v>63</v>
      </c>
      <c r="F25" t="s">
        <v>54</v>
      </c>
      <c r="G25" t="s">
        <v>67</v>
      </c>
      <c r="H25" t="s">
        <v>32</v>
      </c>
      <c r="I25" t="e">
        <f ca="1">_xludf.XLOOKUP(H25,Base_Planos!$A:$A,Base_Planos!$B:$B,"Não encontrado")</f>
        <v>#NAME?</v>
      </c>
      <c r="J25" s="2">
        <f>VLOOKUP(H25,Base_Planos!$A:$G,4,FALSE)</f>
        <v>39.9</v>
      </c>
      <c r="K25" s="4">
        <v>45232</v>
      </c>
      <c r="L25" t="s">
        <v>79</v>
      </c>
      <c r="M25" t="s">
        <v>44</v>
      </c>
      <c r="N25" s="4"/>
      <c r="O25" s="10">
        <f t="shared" ca="1" si="3"/>
        <v>937</v>
      </c>
      <c r="P25" s="10" t="str">
        <f t="shared" ca="1" si="0"/>
        <v>Mais de 1 ano</v>
      </c>
      <c r="Q25">
        <f t="shared" si="4"/>
        <v>0</v>
      </c>
      <c r="R25">
        <v>8</v>
      </c>
      <c r="S25" s="11">
        <f t="shared" si="5"/>
        <v>0</v>
      </c>
      <c r="T25" s="11" t="str">
        <f t="shared" si="1"/>
        <v>Neutro</v>
      </c>
      <c r="U25" s="11" t="str">
        <f t="shared" si="2"/>
        <v>Médio risco</v>
      </c>
      <c r="V25">
        <v>0</v>
      </c>
      <c r="W25">
        <v>63</v>
      </c>
      <c r="X25" s="2">
        <v>34.25</v>
      </c>
      <c r="Y25">
        <v>31</v>
      </c>
      <c r="Z25" t="s">
        <v>50</v>
      </c>
    </row>
    <row r="26" spans="1:26">
      <c r="A26" t="s">
        <v>133</v>
      </c>
      <c r="B26" t="s">
        <v>134</v>
      </c>
      <c r="C26" t="s">
        <v>108</v>
      </c>
      <c r="D26" t="s">
        <v>109</v>
      </c>
      <c r="E26">
        <v>31</v>
      </c>
      <c r="F26" t="s">
        <v>40</v>
      </c>
      <c r="G26" t="s">
        <v>55</v>
      </c>
      <c r="H26" t="s">
        <v>112</v>
      </c>
      <c r="I26" t="e">
        <f ca="1">_xludf.XLOOKUP(H26,Base_Planos!$A:$A,Base_Planos!$B:$B,"Não encontrado")</f>
        <v>#NAME?</v>
      </c>
      <c r="J26" s="2">
        <f>VLOOKUP(H26,Base_Planos!$A:$G,4,FALSE)</f>
        <v>79.900000000000006</v>
      </c>
      <c r="K26" s="4">
        <v>46073</v>
      </c>
      <c r="L26" t="s">
        <v>74</v>
      </c>
      <c r="M26" t="s">
        <v>34</v>
      </c>
      <c r="N26" s="4">
        <v>46123</v>
      </c>
      <c r="O26" s="10">
        <f t="shared" ca="1" si="3"/>
        <v>50</v>
      </c>
      <c r="P26" s="10" t="str">
        <f t="shared" ca="1" si="0"/>
        <v>31 a 90 dias</v>
      </c>
      <c r="Q26">
        <f t="shared" si="4"/>
        <v>1</v>
      </c>
      <c r="R26">
        <v>6</v>
      </c>
      <c r="S26" s="11">
        <f t="shared" si="5"/>
        <v>79.900000000000006</v>
      </c>
      <c r="T26" s="11" t="str">
        <f t="shared" si="1"/>
        <v>Detrator</v>
      </c>
      <c r="U26" s="11" t="str">
        <f t="shared" si="2"/>
        <v>Alto risco</v>
      </c>
      <c r="V26">
        <v>3</v>
      </c>
      <c r="W26">
        <v>49</v>
      </c>
      <c r="X26" s="2">
        <v>82</v>
      </c>
      <c r="Y26">
        <v>1</v>
      </c>
      <c r="Z26" t="s">
        <v>45</v>
      </c>
    </row>
    <row r="27" spans="1:26">
      <c r="A27" t="s">
        <v>135</v>
      </c>
      <c r="B27" t="s">
        <v>136</v>
      </c>
      <c r="C27" t="s">
        <v>137</v>
      </c>
      <c r="D27" t="s">
        <v>29</v>
      </c>
      <c r="E27">
        <v>39</v>
      </c>
      <c r="F27" t="s">
        <v>40</v>
      </c>
      <c r="G27" t="s">
        <v>41</v>
      </c>
      <c r="H27" t="s">
        <v>82</v>
      </c>
      <c r="I27" t="e">
        <f ca="1">_xludf.XLOOKUP(H27,Base_Planos!$A:$A,Base_Planos!$B:$B,"Não encontrado")</f>
        <v>#NAME?</v>
      </c>
      <c r="J27" s="2">
        <f>VLOOKUP(H27,Base_Planos!$A:$G,4,FALSE)</f>
        <v>149.9</v>
      </c>
      <c r="K27" s="4">
        <v>45435</v>
      </c>
      <c r="L27" t="s">
        <v>130</v>
      </c>
      <c r="M27" t="s">
        <v>34</v>
      </c>
      <c r="N27" s="4">
        <v>45946</v>
      </c>
      <c r="O27" s="10">
        <f t="shared" ca="1" si="3"/>
        <v>511</v>
      </c>
      <c r="P27" s="10" t="str">
        <f t="shared" ca="1" si="0"/>
        <v>Mais de 1 ano</v>
      </c>
      <c r="Q27">
        <f t="shared" si="4"/>
        <v>1</v>
      </c>
      <c r="R27">
        <v>4</v>
      </c>
      <c r="S27" s="11">
        <f t="shared" si="5"/>
        <v>149.9</v>
      </c>
      <c r="T27" s="11" t="str">
        <f t="shared" si="1"/>
        <v>Detrator</v>
      </c>
      <c r="U27" s="11" t="str">
        <f t="shared" si="2"/>
        <v>Alto risco</v>
      </c>
      <c r="V27">
        <v>0</v>
      </c>
      <c r="W27">
        <v>93</v>
      </c>
      <c r="X27" s="2">
        <v>151.9</v>
      </c>
      <c r="Y27">
        <v>17</v>
      </c>
      <c r="Z27" t="s">
        <v>35</v>
      </c>
    </row>
    <row r="28" spans="1:26">
      <c r="A28" t="s">
        <v>138</v>
      </c>
      <c r="B28" t="s">
        <v>139</v>
      </c>
      <c r="C28" t="s">
        <v>140</v>
      </c>
      <c r="D28" t="s">
        <v>141</v>
      </c>
      <c r="E28">
        <v>32</v>
      </c>
      <c r="F28" t="s">
        <v>30</v>
      </c>
      <c r="G28" t="s">
        <v>31</v>
      </c>
      <c r="H28" t="s">
        <v>112</v>
      </c>
      <c r="I28" t="e">
        <f ca="1">_xludf.XLOOKUP(H28,Base_Planos!$A:$A,Base_Planos!$B:$B,"Não encontrado")</f>
        <v>#NAME?</v>
      </c>
      <c r="J28" s="2">
        <f>VLOOKUP(H28,Base_Planos!$A:$G,4,FALSE)</f>
        <v>79.900000000000006</v>
      </c>
      <c r="K28" s="4">
        <v>45497</v>
      </c>
      <c r="L28" t="s">
        <v>142</v>
      </c>
      <c r="M28" t="s">
        <v>44</v>
      </c>
      <c r="N28" s="4"/>
      <c r="O28" s="10">
        <f t="shared" ca="1" si="3"/>
        <v>672</v>
      </c>
      <c r="P28" s="10" t="str">
        <f t="shared" ca="1" si="0"/>
        <v>Mais de 1 ano</v>
      </c>
      <c r="Q28">
        <f t="shared" si="4"/>
        <v>0</v>
      </c>
      <c r="R28">
        <v>1</v>
      </c>
      <c r="S28" s="11">
        <f t="shared" si="5"/>
        <v>0</v>
      </c>
      <c r="T28" s="11" t="str">
        <f t="shared" si="1"/>
        <v>Detrator</v>
      </c>
      <c r="U28" s="11" t="str">
        <f t="shared" si="2"/>
        <v>Alto risco</v>
      </c>
      <c r="V28">
        <v>1</v>
      </c>
      <c r="W28">
        <v>52</v>
      </c>
      <c r="X28" s="2">
        <v>83.59</v>
      </c>
      <c r="Y28">
        <v>22</v>
      </c>
      <c r="Z28" t="s">
        <v>35</v>
      </c>
    </row>
    <row r="29" spans="1:26">
      <c r="A29" t="s">
        <v>143</v>
      </c>
      <c r="B29" t="s">
        <v>144</v>
      </c>
      <c r="C29" t="s">
        <v>28</v>
      </c>
      <c r="D29" t="s">
        <v>29</v>
      </c>
      <c r="E29">
        <v>25</v>
      </c>
      <c r="F29" t="s">
        <v>66</v>
      </c>
      <c r="G29" t="s">
        <v>73</v>
      </c>
      <c r="H29" t="s">
        <v>32</v>
      </c>
      <c r="I29" t="e">
        <f ca="1">_xludf.XLOOKUP(H29,Base_Planos!$A:$A,Base_Planos!$B:$B,"Não encontrado")</f>
        <v>#NAME?</v>
      </c>
      <c r="J29" s="2">
        <f>VLOOKUP(H29,Base_Planos!$A:$G,4,FALSE)</f>
        <v>39.9</v>
      </c>
      <c r="K29" s="4">
        <v>45470</v>
      </c>
      <c r="L29" t="s">
        <v>145</v>
      </c>
      <c r="M29" t="s">
        <v>34</v>
      </c>
      <c r="N29" s="4">
        <v>46120</v>
      </c>
      <c r="O29" s="10">
        <f t="shared" ca="1" si="3"/>
        <v>650</v>
      </c>
      <c r="P29" s="10" t="str">
        <f t="shared" ca="1" si="0"/>
        <v>Mais de 1 ano</v>
      </c>
      <c r="Q29">
        <f t="shared" si="4"/>
        <v>1</v>
      </c>
      <c r="R29">
        <v>0</v>
      </c>
      <c r="S29" s="11">
        <f t="shared" si="5"/>
        <v>39.9</v>
      </c>
      <c r="T29" s="11" t="str">
        <f t="shared" si="1"/>
        <v>Detrator</v>
      </c>
      <c r="U29" s="11" t="str">
        <f t="shared" si="2"/>
        <v>Alto risco</v>
      </c>
      <c r="V29">
        <v>1</v>
      </c>
      <c r="W29">
        <v>75</v>
      </c>
      <c r="X29" s="2">
        <v>34.840000000000003</v>
      </c>
      <c r="Y29">
        <v>21</v>
      </c>
      <c r="Z29" t="s">
        <v>35</v>
      </c>
    </row>
    <row r="30" spans="1:26">
      <c r="A30" t="s">
        <v>146</v>
      </c>
      <c r="B30" t="s">
        <v>147</v>
      </c>
      <c r="C30" t="s">
        <v>59</v>
      </c>
      <c r="D30" t="s">
        <v>60</v>
      </c>
      <c r="E30">
        <v>34</v>
      </c>
      <c r="F30" t="s">
        <v>30</v>
      </c>
      <c r="G30" t="s">
        <v>41</v>
      </c>
      <c r="H30" t="s">
        <v>32</v>
      </c>
      <c r="I30" t="e">
        <f ca="1">_xludf.XLOOKUP(H30,Base_Planos!$A:$A,Base_Planos!$B:$B,"Não encontrado")</f>
        <v>#NAME?</v>
      </c>
      <c r="J30" s="2">
        <f>VLOOKUP(H30,Base_Planos!$A:$G,4,FALSE)</f>
        <v>39.9</v>
      </c>
      <c r="K30" s="4">
        <v>46029</v>
      </c>
      <c r="L30" t="s">
        <v>148</v>
      </c>
      <c r="M30" t="s">
        <v>44</v>
      </c>
      <c r="N30" s="4"/>
      <c r="O30" s="10">
        <f t="shared" ca="1" si="3"/>
        <v>140</v>
      </c>
      <c r="P30" s="10" t="str">
        <f t="shared" ca="1" si="0"/>
        <v>91 a 180 dias</v>
      </c>
      <c r="Q30">
        <f t="shared" si="4"/>
        <v>0</v>
      </c>
      <c r="R30">
        <v>10</v>
      </c>
      <c r="S30" s="11">
        <f t="shared" si="5"/>
        <v>0</v>
      </c>
      <c r="T30" s="11" t="str">
        <f t="shared" si="1"/>
        <v>Promotor</v>
      </c>
      <c r="U30" s="11" t="str">
        <f t="shared" si="2"/>
        <v>Baixo risco</v>
      </c>
      <c r="V30">
        <v>1</v>
      </c>
      <c r="W30">
        <v>11</v>
      </c>
      <c r="X30" s="2">
        <v>34.47</v>
      </c>
      <c r="Y30">
        <v>4</v>
      </c>
      <c r="Z30" t="s">
        <v>35</v>
      </c>
    </row>
    <row r="31" spans="1:26">
      <c r="A31" t="s">
        <v>149</v>
      </c>
      <c r="B31" t="s">
        <v>150</v>
      </c>
      <c r="C31" t="s">
        <v>90</v>
      </c>
      <c r="D31" t="s">
        <v>29</v>
      </c>
      <c r="E31">
        <v>38</v>
      </c>
      <c r="F31" t="s">
        <v>40</v>
      </c>
      <c r="G31" t="s">
        <v>55</v>
      </c>
      <c r="H31" t="s">
        <v>82</v>
      </c>
      <c r="I31" t="e">
        <f ca="1">_xludf.XLOOKUP(H31,Base_Planos!$A:$A,Base_Planos!$B:$B,"Não encontrado")</f>
        <v>#NAME?</v>
      </c>
      <c r="J31" s="2">
        <f>VLOOKUP(H31,Base_Planos!$A:$G,4,FALSE)</f>
        <v>149.9</v>
      </c>
      <c r="K31" s="4">
        <v>45542</v>
      </c>
      <c r="L31" t="s">
        <v>91</v>
      </c>
      <c r="M31" t="s">
        <v>44</v>
      </c>
      <c r="N31" s="4"/>
      <c r="O31" s="10">
        <f t="shared" ca="1" si="3"/>
        <v>627</v>
      </c>
      <c r="P31" s="10" t="str">
        <f t="shared" ca="1" si="0"/>
        <v>Mais de 1 ano</v>
      </c>
      <c r="Q31">
        <f t="shared" si="4"/>
        <v>0</v>
      </c>
      <c r="R31">
        <v>8</v>
      </c>
      <c r="S31" s="11">
        <f t="shared" si="5"/>
        <v>0</v>
      </c>
      <c r="T31" s="11" t="str">
        <f t="shared" si="1"/>
        <v>Neutro</v>
      </c>
      <c r="U31" s="11" t="str">
        <f t="shared" si="2"/>
        <v>Médio risco</v>
      </c>
      <c r="V31">
        <v>0</v>
      </c>
      <c r="W31">
        <v>83</v>
      </c>
      <c r="X31" s="2">
        <v>131.22999999999999</v>
      </c>
      <c r="Y31">
        <v>20</v>
      </c>
      <c r="Z31" t="s">
        <v>50</v>
      </c>
    </row>
    <row r="32" spans="1:26">
      <c r="A32" t="s">
        <v>151</v>
      </c>
      <c r="B32" t="s">
        <v>152</v>
      </c>
      <c r="C32" t="s">
        <v>65</v>
      </c>
      <c r="D32" t="s">
        <v>29</v>
      </c>
      <c r="E32">
        <v>65</v>
      </c>
      <c r="F32" t="s">
        <v>66</v>
      </c>
      <c r="G32" t="s">
        <v>73</v>
      </c>
      <c r="H32" t="s">
        <v>112</v>
      </c>
      <c r="I32" t="e">
        <f ca="1">_xludf.XLOOKUP(H32,Base_Planos!$A:$A,Base_Planos!$B:$B,"Não encontrado")</f>
        <v>#NAME?</v>
      </c>
      <c r="J32" s="2">
        <f>VLOOKUP(H32,Base_Planos!$A:$G,4,FALSE)</f>
        <v>79.900000000000006</v>
      </c>
      <c r="K32" s="4">
        <v>44927</v>
      </c>
      <c r="L32" t="s">
        <v>153</v>
      </c>
      <c r="M32" t="s">
        <v>44</v>
      </c>
      <c r="N32" s="4"/>
      <c r="O32" s="10">
        <f t="shared" ca="1" si="3"/>
        <v>1242</v>
      </c>
      <c r="P32" s="10" t="str">
        <f t="shared" ca="1" si="0"/>
        <v>Mais de 1 ano</v>
      </c>
      <c r="Q32">
        <f t="shared" si="4"/>
        <v>0</v>
      </c>
      <c r="R32">
        <v>4</v>
      </c>
      <c r="S32" s="11">
        <f t="shared" si="5"/>
        <v>0</v>
      </c>
      <c r="T32" s="11" t="str">
        <f t="shared" si="1"/>
        <v>Detrator</v>
      </c>
      <c r="U32" s="11" t="str">
        <f t="shared" si="2"/>
        <v>Alto risco</v>
      </c>
      <c r="V32">
        <v>0</v>
      </c>
      <c r="W32">
        <v>85</v>
      </c>
      <c r="X32" s="2">
        <v>75.349999999999994</v>
      </c>
      <c r="Y32">
        <v>41</v>
      </c>
      <c r="Z32" t="s">
        <v>35</v>
      </c>
    </row>
    <row r="33" spans="1:26">
      <c r="A33" t="s">
        <v>154</v>
      </c>
      <c r="B33" t="s">
        <v>155</v>
      </c>
      <c r="C33" t="s">
        <v>38</v>
      </c>
      <c r="D33" t="s">
        <v>39</v>
      </c>
      <c r="E33">
        <v>48</v>
      </c>
      <c r="F33" t="s">
        <v>40</v>
      </c>
      <c r="G33" t="s">
        <v>96</v>
      </c>
      <c r="H33" t="s">
        <v>61</v>
      </c>
      <c r="I33" t="e">
        <f ca="1">_xludf.XLOOKUP(H33,Base_Planos!$A:$A,Base_Planos!$B:$B,"Não encontrado")</f>
        <v>#NAME?</v>
      </c>
      <c r="J33" s="2">
        <f>VLOOKUP(H33,Base_Planos!$A:$G,4,FALSE)</f>
        <v>59.9</v>
      </c>
      <c r="K33" s="4">
        <v>45508</v>
      </c>
      <c r="L33" t="s">
        <v>156</v>
      </c>
      <c r="M33" t="s">
        <v>44</v>
      </c>
      <c r="N33" s="4"/>
      <c r="O33" s="10">
        <f t="shared" ca="1" si="3"/>
        <v>661</v>
      </c>
      <c r="P33" s="10" t="str">
        <f t="shared" ca="1" si="0"/>
        <v>Mais de 1 ano</v>
      </c>
      <c r="Q33">
        <f t="shared" si="4"/>
        <v>0</v>
      </c>
      <c r="R33">
        <v>8</v>
      </c>
      <c r="S33" s="11">
        <f t="shared" si="5"/>
        <v>0</v>
      </c>
      <c r="T33" s="11" t="str">
        <f t="shared" si="1"/>
        <v>Neutro</v>
      </c>
      <c r="U33" s="11" t="str">
        <f t="shared" si="2"/>
        <v>Médio risco</v>
      </c>
      <c r="V33">
        <v>0</v>
      </c>
      <c r="W33">
        <v>23</v>
      </c>
      <c r="X33" s="2">
        <v>53.73</v>
      </c>
      <c r="Y33">
        <v>22</v>
      </c>
      <c r="Z33" t="s">
        <v>50</v>
      </c>
    </row>
    <row r="34" spans="1:26">
      <c r="A34" t="s">
        <v>157</v>
      </c>
      <c r="B34" t="s">
        <v>158</v>
      </c>
      <c r="C34" t="s">
        <v>48</v>
      </c>
      <c r="D34" t="s">
        <v>29</v>
      </c>
      <c r="E34">
        <v>30</v>
      </c>
      <c r="F34" t="s">
        <v>30</v>
      </c>
      <c r="G34" t="s">
        <v>67</v>
      </c>
      <c r="H34" t="s">
        <v>42</v>
      </c>
      <c r="I34" t="e">
        <f ca="1">_xludf.XLOOKUP(H34,Base_Planos!$A:$A,Base_Planos!$B:$B,"Não encontrado")</f>
        <v>#NAME?</v>
      </c>
      <c r="J34" s="2">
        <f>VLOOKUP(H34,Base_Planos!$A:$G,4,FALSE)</f>
        <v>29.9</v>
      </c>
      <c r="K34" s="4">
        <v>45900</v>
      </c>
      <c r="L34" t="s">
        <v>159</v>
      </c>
      <c r="M34" t="s">
        <v>44</v>
      </c>
      <c r="N34" s="4"/>
      <c r="O34" s="10">
        <f t="shared" ca="1" si="3"/>
        <v>269</v>
      </c>
      <c r="P34" s="10" t="str">
        <f t="shared" ca="1" si="0"/>
        <v>181 a 365 dias</v>
      </c>
      <c r="Q34">
        <f t="shared" si="4"/>
        <v>0</v>
      </c>
      <c r="R34">
        <v>9</v>
      </c>
      <c r="S34" s="11">
        <f t="shared" si="5"/>
        <v>0</v>
      </c>
      <c r="T34" s="11" t="str">
        <f t="shared" si="1"/>
        <v>Promotor</v>
      </c>
      <c r="U34" s="11" t="str">
        <f t="shared" si="2"/>
        <v>Baixo risco</v>
      </c>
      <c r="V34">
        <v>0</v>
      </c>
      <c r="W34">
        <v>48</v>
      </c>
      <c r="X34" s="2">
        <v>26.58</v>
      </c>
      <c r="Y34">
        <v>8</v>
      </c>
      <c r="Z34" t="s">
        <v>50</v>
      </c>
    </row>
    <row r="35" spans="1:26">
      <c r="A35" t="s">
        <v>160</v>
      </c>
      <c r="B35" t="s">
        <v>161</v>
      </c>
      <c r="C35" t="s">
        <v>77</v>
      </c>
      <c r="D35" t="s">
        <v>78</v>
      </c>
      <c r="E35">
        <v>43</v>
      </c>
      <c r="F35" t="s">
        <v>30</v>
      </c>
      <c r="G35" t="s">
        <v>67</v>
      </c>
      <c r="H35" t="s">
        <v>86</v>
      </c>
      <c r="I35" t="e">
        <f ca="1">_xludf.XLOOKUP(H35,Base_Planos!$A:$A,Base_Planos!$B:$B,"Não encontrado")</f>
        <v>#NAME?</v>
      </c>
      <c r="J35" s="2">
        <f>VLOOKUP(H35,Base_Planos!$A:$G,4,FALSE)</f>
        <v>119.9</v>
      </c>
      <c r="K35" s="4">
        <v>45145</v>
      </c>
      <c r="L35" t="s">
        <v>162</v>
      </c>
      <c r="M35" t="s">
        <v>44</v>
      </c>
      <c r="N35" s="4"/>
      <c r="O35" s="10">
        <f t="shared" ca="1" si="3"/>
        <v>1024</v>
      </c>
      <c r="P35" s="10" t="str">
        <f t="shared" ca="1" si="0"/>
        <v>Mais de 1 ano</v>
      </c>
      <c r="Q35">
        <f t="shared" si="4"/>
        <v>0</v>
      </c>
      <c r="R35">
        <v>6</v>
      </c>
      <c r="S35" s="11">
        <f t="shared" si="5"/>
        <v>0</v>
      </c>
      <c r="T35" s="11" t="str">
        <f t="shared" si="1"/>
        <v>Detrator</v>
      </c>
      <c r="U35" s="11" t="str">
        <f t="shared" si="2"/>
        <v>Alto risco</v>
      </c>
      <c r="V35">
        <v>1</v>
      </c>
      <c r="W35">
        <v>100</v>
      </c>
      <c r="X35" s="2">
        <v>115.28</v>
      </c>
      <c r="Y35">
        <v>34</v>
      </c>
      <c r="Z35" t="s">
        <v>35</v>
      </c>
    </row>
    <row r="36" spans="1:26">
      <c r="A36" t="s">
        <v>163</v>
      </c>
      <c r="B36" t="s">
        <v>164</v>
      </c>
      <c r="C36" t="s">
        <v>77</v>
      </c>
      <c r="D36" t="s">
        <v>78</v>
      </c>
      <c r="E36">
        <v>26</v>
      </c>
      <c r="F36" t="s">
        <v>40</v>
      </c>
      <c r="G36" t="s">
        <v>165</v>
      </c>
      <c r="H36" t="s">
        <v>166</v>
      </c>
      <c r="I36" t="e">
        <f ca="1">_xludf.XLOOKUP(H36,Base_Planos!$A:$A,Base_Planos!$B:$B,"Não encontrado")</f>
        <v>#NAME?</v>
      </c>
      <c r="J36" s="2">
        <f>VLOOKUP(H36,Base_Planos!$A:$G,4,FALSE)</f>
        <v>399.9</v>
      </c>
      <c r="K36" s="4">
        <v>45833</v>
      </c>
      <c r="L36" t="s">
        <v>167</v>
      </c>
      <c r="M36" t="s">
        <v>44</v>
      </c>
      <c r="N36" s="4"/>
      <c r="O36" s="10">
        <f t="shared" ca="1" si="3"/>
        <v>336</v>
      </c>
      <c r="P36" s="10" t="str">
        <f t="shared" ca="1" si="0"/>
        <v>181 a 365 dias</v>
      </c>
      <c r="Q36">
        <f t="shared" si="4"/>
        <v>0</v>
      </c>
      <c r="R36">
        <v>9</v>
      </c>
      <c r="S36" s="11">
        <f t="shared" si="5"/>
        <v>0</v>
      </c>
      <c r="T36" s="11" t="str">
        <f t="shared" si="1"/>
        <v>Promotor</v>
      </c>
      <c r="U36" s="11" t="str">
        <f t="shared" si="2"/>
        <v>Baixo risco</v>
      </c>
      <c r="V36">
        <v>0</v>
      </c>
      <c r="W36">
        <v>2</v>
      </c>
      <c r="X36" s="2">
        <v>375.58</v>
      </c>
      <c r="Y36">
        <v>11</v>
      </c>
      <c r="Z36" t="s">
        <v>35</v>
      </c>
    </row>
    <row r="37" spans="1:26">
      <c r="A37" t="s">
        <v>168</v>
      </c>
      <c r="B37" t="s">
        <v>169</v>
      </c>
      <c r="C37" t="s">
        <v>77</v>
      </c>
      <c r="D37" t="s">
        <v>78</v>
      </c>
      <c r="E37">
        <v>34</v>
      </c>
      <c r="F37" t="s">
        <v>40</v>
      </c>
      <c r="G37" t="s">
        <v>73</v>
      </c>
      <c r="H37" t="s">
        <v>82</v>
      </c>
      <c r="I37" t="e">
        <f ca="1">_xludf.XLOOKUP(H37,Base_Planos!$A:$A,Base_Planos!$B:$B,"Não encontrado")</f>
        <v>#NAME?</v>
      </c>
      <c r="J37" s="2">
        <f>VLOOKUP(H37,Base_Planos!$A:$G,4,FALSE)</f>
        <v>149.9</v>
      </c>
      <c r="K37" s="4">
        <v>45994</v>
      </c>
      <c r="L37" t="s">
        <v>170</v>
      </c>
      <c r="M37" t="s">
        <v>44</v>
      </c>
      <c r="N37" s="4"/>
      <c r="O37" s="10">
        <f t="shared" ca="1" si="3"/>
        <v>175</v>
      </c>
      <c r="P37" s="10" t="str">
        <f t="shared" ca="1" si="0"/>
        <v>91 a 180 dias</v>
      </c>
      <c r="Q37">
        <f t="shared" si="4"/>
        <v>0</v>
      </c>
      <c r="R37">
        <v>7</v>
      </c>
      <c r="S37" s="11">
        <f t="shared" si="5"/>
        <v>0</v>
      </c>
      <c r="T37" s="11" t="str">
        <f t="shared" si="1"/>
        <v>Neutro</v>
      </c>
      <c r="U37" s="11" t="str">
        <f t="shared" si="2"/>
        <v>Médio risco</v>
      </c>
      <c r="V37">
        <v>0</v>
      </c>
      <c r="W37">
        <v>40</v>
      </c>
      <c r="X37" s="2">
        <v>135.56</v>
      </c>
      <c r="Y37">
        <v>5</v>
      </c>
      <c r="Z37" t="s">
        <v>50</v>
      </c>
    </row>
    <row r="38" spans="1:26">
      <c r="A38" t="s">
        <v>171</v>
      </c>
      <c r="B38" t="s">
        <v>172</v>
      </c>
      <c r="C38" t="s">
        <v>102</v>
      </c>
      <c r="D38" t="s">
        <v>103</v>
      </c>
      <c r="E38">
        <v>26</v>
      </c>
      <c r="F38" t="s">
        <v>30</v>
      </c>
      <c r="G38" t="s">
        <v>41</v>
      </c>
      <c r="H38" t="s">
        <v>61</v>
      </c>
      <c r="I38" t="e">
        <f ca="1">_xludf.XLOOKUP(H38,Base_Planos!$A:$A,Base_Planos!$B:$B,"Não encontrado")</f>
        <v>#NAME?</v>
      </c>
      <c r="J38" s="2">
        <f>VLOOKUP(H38,Base_Planos!$A:$G,4,FALSE)</f>
        <v>59.9</v>
      </c>
      <c r="K38" s="4">
        <v>45365</v>
      </c>
      <c r="L38" t="s">
        <v>126</v>
      </c>
      <c r="M38" t="s">
        <v>34</v>
      </c>
      <c r="N38" s="4">
        <v>45825</v>
      </c>
      <c r="O38" s="10">
        <f t="shared" ca="1" si="3"/>
        <v>460</v>
      </c>
      <c r="P38" s="10" t="str">
        <f t="shared" ca="1" si="0"/>
        <v>Mais de 1 ano</v>
      </c>
      <c r="Q38">
        <f t="shared" si="4"/>
        <v>1</v>
      </c>
      <c r="R38">
        <v>1</v>
      </c>
      <c r="S38" s="11">
        <f t="shared" si="5"/>
        <v>59.9</v>
      </c>
      <c r="T38" s="11" t="str">
        <f t="shared" si="1"/>
        <v>Detrator</v>
      </c>
      <c r="U38" s="11" t="str">
        <f t="shared" si="2"/>
        <v>Alto risco</v>
      </c>
      <c r="V38">
        <v>0</v>
      </c>
      <c r="W38">
        <v>69</v>
      </c>
      <c r="X38" s="2">
        <v>60.14</v>
      </c>
      <c r="Y38">
        <v>15</v>
      </c>
      <c r="Z38" t="s">
        <v>35</v>
      </c>
    </row>
    <row r="39" spans="1:26">
      <c r="A39" t="s">
        <v>173</v>
      </c>
      <c r="B39" t="s">
        <v>174</v>
      </c>
      <c r="C39" t="s">
        <v>53</v>
      </c>
      <c r="D39" t="s">
        <v>29</v>
      </c>
      <c r="E39">
        <v>54</v>
      </c>
      <c r="F39" t="s">
        <v>54</v>
      </c>
      <c r="G39" t="s">
        <v>67</v>
      </c>
      <c r="H39" t="s">
        <v>166</v>
      </c>
      <c r="I39" t="e">
        <f ca="1">_xludf.XLOOKUP(H39,Base_Planos!$A:$A,Base_Planos!$B:$B,"Não encontrado")</f>
        <v>#NAME?</v>
      </c>
      <c r="J39" s="2">
        <f>VLOOKUP(H39,Base_Planos!$A:$G,4,FALSE)</f>
        <v>399.9</v>
      </c>
      <c r="K39" s="4">
        <v>45538</v>
      </c>
      <c r="L39" t="s">
        <v>91</v>
      </c>
      <c r="M39" t="s">
        <v>44</v>
      </c>
      <c r="N39" s="4"/>
      <c r="O39" s="10">
        <f t="shared" ca="1" si="3"/>
        <v>631</v>
      </c>
      <c r="P39" s="10" t="str">
        <f t="shared" ca="1" si="0"/>
        <v>Mais de 1 ano</v>
      </c>
      <c r="Q39">
        <f t="shared" si="4"/>
        <v>0</v>
      </c>
      <c r="R39">
        <v>6</v>
      </c>
      <c r="S39" s="11">
        <f t="shared" si="5"/>
        <v>0</v>
      </c>
      <c r="T39" s="11" t="str">
        <f t="shared" si="1"/>
        <v>Detrator</v>
      </c>
      <c r="U39" s="11" t="str">
        <f t="shared" si="2"/>
        <v>Alto risco</v>
      </c>
      <c r="V39">
        <v>0</v>
      </c>
      <c r="W39">
        <v>1</v>
      </c>
      <c r="X39" s="2">
        <v>383.59</v>
      </c>
      <c r="Y39">
        <v>21</v>
      </c>
      <c r="Z39" t="s">
        <v>45</v>
      </c>
    </row>
    <row r="40" spans="1:26">
      <c r="A40" t="s">
        <v>175</v>
      </c>
      <c r="B40" t="s">
        <v>176</v>
      </c>
      <c r="C40" t="s">
        <v>77</v>
      </c>
      <c r="D40" t="s">
        <v>78</v>
      </c>
      <c r="E40">
        <v>32</v>
      </c>
      <c r="F40" t="s">
        <v>30</v>
      </c>
      <c r="G40" t="s">
        <v>104</v>
      </c>
      <c r="H40" t="s">
        <v>32</v>
      </c>
      <c r="I40" t="e">
        <f ca="1">_xludf.XLOOKUP(H40,Base_Planos!$A:$A,Base_Planos!$B:$B,"Não encontrado")</f>
        <v>#NAME?</v>
      </c>
      <c r="J40" s="2">
        <f>VLOOKUP(H40,Base_Planos!$A:$G,4,FALSE)</f>
        <v>39.9</v>
      </c>
      <c r="K40" s="4">
        <v>45615</v>
      </c>
      <c r="L40" t="s">
        <v>83</v>
      </c>
      <c r="M40" t="s">
        <v>44</v>
      </c>
      <c r="N40" s="4"/>
      <c r="O40" s="10">
        <f t="shared" ca="1" si="3"/>
        <v>554</v>
      </c>
      <c r="P40" s="10" t="str">
        <f t="shared" ca="1" si="0"/>
        <v>Mais de 1 ano</v>
      </c>
      <c r="Q40">
        <f t="shared" si="4"/>
        <v>0</v>
      </c>
      <c r="R40">
        <v>10</v>
      </c>
      <c r="S40" s="11">
        <f t="shared" si="5"/>
        <v>0</v>
      </c>
      <c r="T40" s="11" t="str">
        <f t="shared" si="1"/>
        <v>Promotor</v>
      </c>
      <c r="U40" s="11" t="str">
        <f t="shared" si="2"/>
        <v>Baixo risco</v>
      </c>
      <c r="V40">
        <v>0</v>
      </c>
      <c r="W40">
        <v>31</v>
      </c>
      <c r="X40" s="2">
        <v>34.93</v>
      </c>
      <c r="Y40">
        <v>18</v>
      </c>
      <c r="Z40" t="s">
        <v>50</v>
      </c>
    </row>
    <row r="41" spans="1:26">
      <c r="A41" t="s">
        <v>177</v>
      </c>
      <c r="B41" t="s">
        <v>178</v>
      </c>
      <c r="C41" t="s">
        <v>28</v>
      </c>
      <c r="D41" t="s">
        <v>29</v>
      </c>
      <c r="E41">
        <v>43</v>
      </c>
      <c r="F41" t="s">
        <v>54</v>
      </c>
      <c r="G41" t="s">
        <v>67</v>
      </c>
      <c r="H41" t="s">
        <v>32</v>
      </c>
      <c r="I41" t="e">
        <f ca="1">_xludf.XLOOKUP(H41,Base_Planos!$A:$A,Base_Planos!$B:$B,"Não encontrado")</f>
        <v>#NAME?</v>
      </c>
      <c r="J41" s="2">
        <f>VLOOKUP(H41,Base_Planos!$A:$G,4,FALSE)</f>
        <v>39.9</v>
      </c>
      <c r="K41" s="4">
        <v>45804</v>
      </c>
      <c r="L41" t="s">
        <v>97</v>
      </c>
      <c r="M41" t="s">
        <v>34</v>
      </c>
      <c r="N41" s="4">
        <v>46066</v>
      </c>
      <c r="O41" s="10">
        <f t="shared" ca="1" si="3"/>
        <v>262</v>
      </c>
      <c r="P41" s="10" t="str">
        <f t="shared" ca="1" si="0"/>
        <v>181 a 365 dias</v>
      </c>
      <c r="Q41">
        <f t="shared" si="4"/>
        <v>1</v>
      </c>
      <c r="R41">
        <v>2</v>
      </c>
      <c r="S41" s="11">
        <f t="shared" si="5"/>
        <v>39.9</v>
      </c>
      <c r="T41" s="11" t="str">
        <f t="shared" si="1"/>
        <v>Detrator</v>
      </c>
      <c r="U41" s="11" t="str">
        <f t="shared" si="2"/>
        <v>Alto risco</v>
      </c>
      <c r="V41">
        <v>0</v>
      </c>
      <c r="W41">
        <v>43</v>
      </c>
      <c r="X41" s="2">
        <v>39.99</v>
      </c>
      <c r="Y41">
        <v>8</v>
      </c>
      <c r="Z41" t="s">
        <v>45</v>
      </c>
    </row>
    <row r="42" spans="1:26">
      <c r="A42" t="s">
        <v>179</v>
      </c>
      <c r="B42" t="s">
        <v>180</v>
      </c>
      <c r="C42" t="s">
        <v>48</v>
      </c>
      <c r="D42" t="s">
        <v>29</v>
      </c>
      <c r="E42">
        <v>44</v>
      </c>
      <c r="F42" t="s">
        <v>30</v>
      </c>
      <c r="G42" t="s">
        <v>55</v>
      </c>
      <c r="H42" t="s">
        <v>112</v>
      </c>
      <c r="I42" t="e">
        <f ca="1">_xludf.XLOOKUP(H42,Base_Planos!$A:$A,Base_Planos!$B:$B,"Não encontrado")</f>
        <v>#NAME?</v>
      </c>
      <c r="J42" s="2">
        <f>VLOOKUP(H42,Base_Planos!$A:$G,4,FALSE)</f>
        <v>79.900000000000006</v>
      </c>
      <c r="K42" s="4">
        <v>46031</v>
      </c>
      <c r="L42" t="s">
        <v>148</v>
      </c>
      <c r="M42" t="s">
        <v>44</v>
      </c>
      <c r="N42" s="4"/>
      <c r="O42" s="10">
        <f t="shared" ca="1" si="3"/>
        <v>138</v>
      </c>
      <c r="P42" s="10" t="str">
        <f t="shared" ca="1" si="0"/>
        <v>91 a 180 dias</v>
      </c>
      <c r="Q42">
        <f t="shared" si="4"/>
        <v>0</v>
      </c>
      <c r="R42">
        <v>0</v>
      </c>
      <c r="S42" s="11">
        <f t="shared" si="5"/>
        <v>0</v>
      </c>
      <c r="T42" s="11" t="str">
        <f t="shared" si="1"/>
        <v>Detrator</v>
      </c>
      <c r="U42" s="11" t="str">
        <f t="shared" si="2"/>
        <v>Alto risco</v>
      </c>
      <c r="V42">
        <v>1</v>
      </c>
      <c r="W42">
        <v>56</v>
      </c>
      <c r="X42" s="2">
        <v>78.33</v>
      </c>
      <c r="Y42">
        <v>4</v>
      </c>
      <c r="Z42" t="s">
        <v>35</v>
      </c>
    </row>
    <row r="43" spans="1:26">
      <c r="A43" t="s">
        <v>181</v>
      </c>
      <c r="B43" t="s">
        <v>182</v>
      </c>
      <c r="C43" t="s">
        <v>59</v>
      </c>
      <c r="D43" t="s">
        <v>60</v>
      </c>
      <c r="E43">
        <v>30</v>
      </c>
      <c r="F43" t="s">
        <v>66</v>
      </c>
      <c r="G43" t="s">
        <v>96</v>
      </c>
      <c r="H43" t="s">
        <v>42</v>
      </c>
      <c r="I43" t="e">
        <f ca="1">_xludf.XLOOKUP(H43,Base_Planos!$A:$A,Base_Planos!$B:$B,"Não encontrado")</f>
        <v>#NAME?</v>
      </c>
      <c r="J43" s="2">
        <f>VLOOKUP(H43,Base_Planos!$A:$G,4,FALSE)</f>
        <v>29.9</v>
      </c>
      <c r="K43" s="4">
        <v>45896</v>
      </c>
      <c r="L43" t="s">
        <v>159</v>
      </c>
      <c r="M43" t="s">
        <v>44</v>
      </c>
      <c r="N43" s="4"/>
      <c r="O43" s="10">
        <f t="shared" ca="1" si="3"/>
        <v>273</v>
      </c>
      <c r="P43" s="10" t="str">
        <f t="shared" ca="1" si="0"/>
        <v>181 a 365 dias</v>
      </c>
      <c r="Q43">
        <f t="shared" si="4"/>
        <v>0</v>
      </c>
      <c r="R43">
        <v>10</v>
      </c>
      <c r="S43" s="11">
        <f t="shared" si="5"/>
        <v>0</v>
      </c>
      <c r="T43" s="11" t="str">
        <f t="shared" si="1"/>
        <v>Promotor</v>
      </c>
      <c r="U43" s="11" t="str">
        <f t="shared" si="2"/>
        <v>Baixo risco</v>
      </c>
      <c r="V43">
        <v>0</v>
      </c>
      <c r="W43">
        <v>100</v>
      </c>
      <c r="X43" s="2">
        <v>27.62</v>
      </c>
      <c r="Y43">
        <v>9</v>
      </c>
      <c r="Z43" t="s">
        <v>50</v>
      </c>
    </row>
    <row r="44" spans="1:26">
      <c r="A44" t="s">
        <v>183</v>
      </c>
      <c r="B44" t="s">
        <v>184</v>
      </c>
      <c r="C44" t="s">
        <v>137</v>
      </c>
      <c r="D44" t="s">
        <v>29</v>
      </c>
      <c r="E44">
        <v>63</v>
      </c>
      <c r="F44" t="s">
        <v>30</v>
      </c>
      <c r="G44" t="s">
        <v>96</v>
      </c>
      <c r="H44" t="s">
        <v>166</v>
      </c>
      <c r="I44" t="e">
        <f ca="1">_xludf.XLOOKUP(H44,Base_Planos!$A:$A,Base_Planos!$B:$B,"Não encontrado")</f>
        <v>#NAME?</v>
      </c>
      <c r="J44" s="2">
        <f>VLOOKUP(H44,Base_Planos!$A:$G,4,FALSE)</f>
        <v>399.9</v>
      </c>
      <c r="K44" s="4">
        <v>45148</v>
      </c>
      <c r="L44" t="s">
        <v>162</v>
      </c>
      <c r="M44" t="s">
        <v>44</v>
      </c>
      <c r="N44" s="4"/>
      <c r="O44" s="10">
        <f t="shared" ca="1" si="3"/>
        <v>1021</v>
      </c>
      <c r="P44" s="10" t="str">
        <f t="shared" ca="1" si="0"/>
        <v>Mais de 1 ano</v>
      </c>
      <c r="Q44">
        <f t="shared" si="4"/>
        <v>0</v>
      </c>
      <c r="R44">
        <v>9</v>
      </c>
      <c r="S44" s="11">
        <f t="shared" si="5"/>
        <v>0</v>
      </c>
      <c r="T44" s="11" t="str">
        <f t="shared" si="1"/>
        <v>Promotor</v>
      </c>
      <c r="U44" s="11" t="str">
        <f t="shared" si="2"/>
        <v>Baixo risco</v>
      </c>
      <c r="V44">
        <v>1</v>
      </c>
      <c r="W44">
        <v>60</v>
      </c>
      <c r="X44" s="2">
        <v>371.64</v>
      </c>
      <c r="Y44">
        <v>34</v>
      </c>
      <c r="Z44" t="s">
        <v>50</v>
      </c>
    </row>
    <row r="45" spans="1:26">
      <c r="A45" t="s">
        <v>185</v>
      </c>
      <c r="B45" t="s">
        <v>186</v>
      </c>
      <c r="C45" t="s">
        <v>102</v>
      </c>
      <c r="D45" t="s">
        <v>103</v>
      </c>
      <c r="E45">
        <v>55</v>
      </c>
      <c r="F45" t="s">
        <v>40</v>
      </c>
      <c r="G45" t="s">
        <v>31</v>
      </c>
      <c r="H45" t="s">
        <v>32</v>
      </c>
      <c r="I45" t="e">
        <f ca="1">_xludf.XLOOKUP(H45,Base_Planos!$A:$A,Base_Planos!$B:$B,"Não encontrado")</f>
        <v>#NAME?</v>
      </c>
      <c r="J45" s="2">
        <f>VLOOKUP(H45,Base_Planos!$A:$G,4,FALSE)</f>
        <v>39.9</v>
      </c>
      <c r="K45" s="4">
        <v>45544</v>
      </c>
      <c r="L45" t="s">
        <v>91</v>
      </c>
      <c r="M45" t="s">
        <v>44</v>
      </c>
      <c r="N45" s="4"/>
      <c r="O45" s="10">
        <f t="shared" ca="1" si="3"/>
        <v>625</v>
      </c>
      <c r="P45" s="10" t="str">
        <f t="shared" ca="1" si="0"/>
        <v>Mais de 1 ano</v>
      </c>
      <c r="Q45">
        <f t="shared" si="4"/>
        <v>0</v>
      </c>
      <c r="R45">
        <v>10</v>
      </c>
      <c r="S45" s="11">
        <f t="shared" si="5"/>
        <v>0</v>
      </c>
      <c r="T45" s="11" t="str">
        <f t="shared" si="1"/>
        <v>Promotor</v>
      </c>
      <c r="U45" s="11" t="str">
        <f t="shared" si="2"/>
        <v>Baixo risco</v>
      </c>
      <c r="V45">
        <v>4</v>
      </c>
      <c r="W45">
        <v>48</v>
      </c>
      <c r="X45" s="2">
        <v>36.69</v>
      </c>
      <c r="Y45">
        <v>20</v>
      </c>
      <c r="Z45" t="s">
        <v>50</v>
      </c>
    </row>
    <row r="46" spans="1:26">
      <c r="A46" t="s">
        <v>187</v>
      </c>
      <c r="B46" t="s">
        <v>188</v>
      </c>
      <c r="C46" t="s">
        <v>102</v>
      </c>
      <c r="D46" t="s">
        <v>103</v>
      </c>
      <c r="E46">
        <v>50</v>
      </c>
      <c r="F46" t="s">
        <v>40</v>
      </c>
      <c r="G46" t="s">
        <v>67</v>
      </c>
      <c r="H46" t="s">
        <v>86</v>
      </c>
      <c r="I46" t="e">
        <f ca="1">_xludf.XLOOKUP(H46,Base_Planos!$A:$A,Base_Planos!$B:$B,"Não encontrado")</f>
        <v>#NAME?</v>
      </c>
      <c r="J46" s="2">
        <f>VLOOKUP(H46,Base_Planos!$A:$G,4,FALSE)</f>
        <v>119.9</v>
      </c>
      <c r="K46" s="4">
        <v>45930</v>
      </c>
      <c r="L46" t="s">
        <v>189</v>
      </c>
      <c r="M46" t="s">
        <v>44</v>
      </c>
      <c r="N46" s="4"/>
      <c r="O46" s="10">
        <f t="shared" ca="1" si="3"/>
        <v>239</v>
      </c>
      <c r="P46" s="10" t="str">
        <f t="shared" ca="1" si="0"/>
        <v>181 a 365 dias</v>
      </c>
      <c r="Q46">
        <f t="shared" si="4"/>
        <v>0</v>
      </c>
      <c r="R46">
        <v>1</v>
      </c>
      <c r="S46" s="11">
        <f t="shared" si="5"/>
        <v>0</v>
      </c>
      <c r="T46" s="11" t="str">
        <f t="shared" si="1"/>
        <v>Detrator</v>
      </c>
      <c r="U46" s="11" t="str">
        <f t="shared" si="2"/>
        <v>Alto risco</v>
      </c>
      <c r="V46">
        <v>2</v>
      </c>
      <c r="W46">
        <v>67</v>
      </c>
      <c r="X46" s="2">
        <v>105.58</v>
      </c>
      <c r="Y46">
        <v>7</v>
      </c>
      <c r="Z46" t="s">
        <v>35</v>
      </c>
    </row>
    <row r="47" spans="1:26">
      <c r="A47" t="s">
        <v>190</v>
      </c>
      <c r="B47" t="s">
        <v>191</v>
      </c>
      <c r="C47" t="s">
        <v>65</v>
      </c>
      <c r="D47" t="s">
        <v>29</v>
      </c>
      <c r="E47">
        <v>35</v>
      </c>
      <c r="F47" t="s">
        <v>40</v>
      </c>
      <c r="G47" t="s">
        <v>104</v>
      </c>
      <c r="H47" t="s">
        <v>112</v>
      </c>
      <c r="I47" t="e">
        <f ca="1">_xludf.XLOOKUP(H47,Base_Planos!$A:$A,Base_Planos!$B:$B,"Não encontrado")</f>
        <v>#NAME?</v>
      </c>
      <c r="J47" s="2">
        <f>VLOOKUP(H47,Base_Planos!$A:$G,4,FALSE)</f>
        <v>79.900000000000006</v>
      </c>
      <c r="K47" s="4">
        <v>45476</v>
      </c>
      <c r="L47" t="s">
        <v>142</v>
      </c>
      <c r="M47" t="s">
        <v>44</v>
      </c>
      <c r="N47" s="4"/>
      <c r="O47" s="10">
        <f t="shared" ca="1" si="3"/>
        <v>693</v>
      </c>
      <c r="P47" s="10" t="str">
        <f t="shared" ca="1" si="0"/>
        <v>Mais de 1 ano</v>
      </c>
      <c r="Q47">
        <f t="shared" si="4"/>
        <v>0</v>
      </c>
      <c r="R47">
        <v>5</v>
      </c>
      <c r="S47" s="11">
        <f t="shared" si="5"/>
        <v>0</v>
      </c>
      <c r="T47" s="11" t="str">
        <f t="shared" si="1"/>
        <v>Detrator</v>
      </c>
      <c r="U47" s="11" t="str">
        <f t="shared" si="2"/>
        <v>Alto risco</v>
      </c>
      <c r="V47">
        <v>0</v>
      </c>
      <c r="W47">
        <v>14</v>
      </c>
      <c r="X47" s="2">
        <v>71.81</v>
      </c>
      <c r="Y47">
        <v>23</v>
      </c>
      <c r="Z47" t="s">
        <v>45</v>
      </c>
    </row>
    <row r="48" spans="1:26">
      <c r="A48" t="s">
        <v>192</v>
      </c>
      <c r="B48" t="s">
        <v>193</v>
      </c>
      <c r="C48" t="s">
        <v>90</v>
      </c>
      <c r="D48" t="s">
        <v>29</v>
      </c>
      <c r="E48">
        <v>60</v>
      </c>
      <c r="F48" t="s">
        <v>54</v>
      </c>
      <c r="G48" t="s">
        <v>67</v>
      </c>
      <c r="H48" t="s">
        <v>112</v>
      </c>
      <c r="I48" t="e">
        <f ca="1">_xludf.XLOOKUP(H48,Base_Planos!$A:$A,Base_Planos!$B:$B,"Não encontrado")</f>
        <v>#NAME?</v>
      </c>
      <c r="J48" s="2">
        <f>VLOOKUP(H48,Base_Planos!$A:$G,4,FALSE)</f>
        <v>79.900000000000006</v>
      </c>
      <c r="K48" s="4">
        <v>45592</v>
      </c>
      <c r="L48" t="s">
        <v>123</v>
      </c>
      <c r="M48" t="s">
        <v>34</v>
      </c>
      <c r="N48" s="4">
        <v>45904</v>
      </c>
      <c r="O48" s="10">
        <f t="shared" ca="1" si="3"/>
        <v>312</v>
      </c>
      <c r="P48" s="10" t="str">
        <f t="shared" ca="1" si="0"/>
        <v>181 a 365 dias</v>
      </c>
      <c r="Q48">
        <f t="shared" si="4"/>
        <v>1</v>
      </c>
      <c r="R48">
        <v>2</v>
      </c>
      <c r="S48" s="11">
        <f t="shared" si="5"/>
        <v>79.900000000000006</v>
      </c>
      <c r="T48" s="11" t="str">
        <f t="shared" si="1"/>
        <v>Detrator</v>
      </c>
      <c r="U48" s="11" t="str">
        <f t="shared" si="2"/>
        <v>Alto risco</v>
      </c>
      <c r="V48">
        <v>0</v>
      </c>
      <c r="W48">
        <v>59</v>
      </c>
      <c r="X48" s="2">
        <v>76.17</v>
      </c>
      <c r="Y48">
        <v>10</v>
      </c>
      <c r="Z48" t="s">
        <v>35</v>
      </c>
    </row>
    <row r="49" spans="1:26">
      <c r="A49" t="s">
        <v>194</v>
      </c>
      <c r="B49" t="s">
        <v>195</v>
      </c>
      <c r="C49" t="s">
        <v>59</v>
      </c>
      <c r="D49" t="s">
        <v>60</v>
      </c>
      <c r="E49">
        <v>64</v>
      </c>
      <c r="F49" t="s">
        <v>54</v>
      </c>
      <c r="G49" t="s">
        <v>31</v>
      </c>
      <c r="H49" t="s">
        <v>61</v>
      </c>
      <c r="I49" t="e">
        <f ca="1">_xludf.XLOOKUP(H49,Base_Planos!$A:$A,Base_Planos!$B:$B,"Não encontrado")</f>
        <v>#NAME?</v>
      </c>
      <c r="J49" s="2">
        <f>VLOOKUP(H49,Base_Planos!$A:$G,4,FALSE)</f>
        <v>59.9</v>
      </c>
      <c r="K49" s="4">
        <v>45932</v>
      </c>
      <c r="L49" t="s">
        <v>196</v>
      </c>
      <c r="M49" t="s">
        <v>44</v>
      </c>
      <c r="N49" s="4"/>
      <c r="O49" s="10">
        <f t="shared" ca="1" si="3"/>
        <v>237</v>
      </c>
      <c r="P49" s="10" t="str">
        <f t="shared" ca="1" si="0"/>
        <v>181 a 365 dias</v>
      </c>
      <c r="Q49">
        <f t="shared" si="4"/>
        <v>0</v>
      </c>
      <c r="R49">
        <v>7</v>
      </c>
      <c r="S49" s="11">
        <f t="shared" si="5"/>
        <v>0</v>
      </c>
      <c r="T49" s="11" t="str">
        <f t="shared" si="1"/>
        <v>Neutro</v>
      </c>
      <c r="U49" s="11" t="str">
        <f t="shared" si="2"/>
        <v>Médio risco</v>
      </c>
      <c r="V49">
        <v>0</v>
      </c>
      <c r="W49">
        <v>45</v>
      </c>
      <c r="X49" s="2">
        <v>54.58</v>
      </c>
      <c r="Y49">
        <v>7</v>
      </c>
      <c r="Z49" t="s">
        <v>50</v>
      </c>
    </row>
    <row r="50" spans="1:26">
      <c r="A50" t="s">
        <v>197</v>
      </c>
      <c r="B50" t="s">
        <v>198</v>
      </c>
      <c r="C50" t="s">
        <v>77</v>
      </c>
      <c r="D50" t="s">
        <v>78</v>
      </c>
      <c r="E50">
        <v>53</v>
      </c>
      <c r="F50" t="s">
        <v>54</v>
      </c>
      <c r="G50" t="s">
        <v>41</v>
      </c>
      <c r="H50" t="s">
        <v>166</v>
      </c>
      <c r="I50" t="e">
        <f ca="1">_xludf.XLOOKUP(H50,Base_Planos!$A:$A,Base_Planos!$B:$B,"Não encontrado")</f>
        <v>#NAME?</v>
      </c>
      <c r="J50" s="2">
        <f>VLOOKUP(H50,Base_Planos!$A:$G,4,FALSE)</f>
        <v>399.9</v>
      </c>
      <c r="K50" s="4">
        <v>46054</v>
      </c>
      <c r="L50" t="s">
        <v>74</v>
      </c>
      <c r="M50" t="s">
        <v>44</v>
      </c>
      <c r="N50" s="4"/>
      <c r="O50" s="10">
        <f t="shared" ca="1" si="3"/>
        <v>115</v>
      </c>
      <c r="P50" s="10" t="str">
        <f t="shared" ca="1" si="0"/>
        <v>91 a 180 dias</v>
      </c>
      <c r="Q50">
        <f t="shared" si="4"/>
        <v>0</v>
      </c>
      <c r="R50">
        <v>5</v>
      </c>
      <c r="S50" s="11">
        <f t="shared" si="5"/>
        <v>0</v>
      </c>
      <c r="T50" s="11" t="str">
        <f t="shared" si="1"/>
        <v>Detrator</v>
      </c>
      <c r="U50" s="11" t="str">
        <f t="shared" si="2"/>
        <v>Alto risco</v>
      </c>
      <c r="V50">
        <v>0</v>
      </c>
      <c r="W50">
        <v>81</v>
      </c>
      <c r="X50" s="2">
        <v>397.6</v>
      </c>
      <c r="Y50">
        <v>3</v>
      </c>
      <c r="Z50" t="s">
        <v>50</v>
      </c>
    </row>
    <row r="51" spans="1:26">
      <c r="A51" t="s">
        <v>199</v>
      </c>
      <c r="B51" t="s">
        <v>200</v>
      </c>
      <c r="C51" t="s">
        <v>137</v>
      </c>
      <c r="D51" t="s">
        <v>29</v>
      </c>
      <c r="E51">
        <v>52</v>
      </c>
      <c r="F51" t="s">
        <v>201</v>
      </c>
      <c r="G51" t="s">
        <v>96</v>
      </c>
      <c r="H51" t="s">
        <v>42</v>
      </c>
      <c r="I51" t="e">
        <f ca="1">_xludf.XLOOKUP(H51,Base_Planos!$A:$A,Base_Planos!$B:$B,"Não encontrado")</f>
        <v>#NAME?</v>
      </c>
      <c r="J51" s="2">
        <f>VLOOKUP(H51,Base_Planos!$A:$G,4,FALSE)</f>
        <v>29.9</v>
      </c>
      <c r="K51" s="4">
        <v>45918</v>
      </c>
      <c r="L51" t="s">
        <v>189</v>
      </c>
      <c r="M51" t="s">
        <v>34</v>
      </c>
      <c r="N51" s="4">
        <v>45973</v>
      </c>
      <c r="O51" s="10">
        <f t="shared" ca="1" si="3"/>
        <v>55</v>
      </c>
      <c r="P51" s="10" t="str">
        <f t="shared" ca="1" si="0"/>
        <v>31 a 90 dias</v>
      </c>
      <c r="Q51">
        <f t="shared" si="4"/>
        <v>1</v>
      </c>
      <c r="R51">
        <v>4</v>
      </c>
      <c r="S51" s="11">
        <f t="shared" si="5"/>
        <v>29.9</v>
      </c>
      <c r="T51" s="11" t="str">
        <f t="shared" si="1"/>
        <v>Detrator</v>
      </c>
      <c r="U51" s="11" t="str">
        <f t="shared" si="2"/>
        <v>Alto risco</v>
      </c>
      <c r="V51">
        <v>0</v>
      </c>
      <c r="W51">
        <v>0</v>
      </c>
      <c r="X51" s="2">
        <v>27.19</v>
      </c>
      <c r="Y51">
        <v>1</v>
      </c>
      <c r="Z51" t="s">
        <v>45</v>
      </c>
    </row>
    <row r="52" spans="1:26">
      <c r="A52" t="s">
        <v>202</v>
      </c>
      <c r="B52" t="s">
        <v>203</v>
      </c>
      <c r="C52" t="s">
        <v>140</v>
      </c>
      <c r="D52" t="s">
        <v>141</v>
      </c>
      <c r="E52">
        <v>18</v>
      </c>
      <c r="F52" t="s">
        <v>40</v>
      </c>
      <c r="G52" t="s">
        <v>96</v>
      </c>
      <c r="H52" t="s">
        <v>42</v>
      </c>
      <c r="I52" t="e">
        <f ca="1">_xludf.XLOOKUP(H52,Base_Planos!$A:$A,Base_Planos!$B:$B,"Não encontrado")</f>
        <v>#NAME?</v>
      </c>
      <c r="J52" s="2">
        <f>VLOOKUP(H52,Base_Planos!$A:$G,4,FALSE)</f>
        <v>29.9</v>
      </c>
      <c r="K52" s="4">
        <v>45038</v>
      </c>
      <c r="L52" t="s">
        <v>118</v>
      </c>
      <c r="M52" t="s">
        <v>44</v>
      </c>
      <c r="N52" s="4"/>
      <c r="O52" s="10">
        <f t="shared" ca="1" si="3"/>
        <v>1131</v>
      </c>
      <c r="P52" s="10" t="str">
        <f t="shared" ca="1" si="0"/>
        <v>Mais de 1 ano</v>
      </c>
      <c r="Q52">
        <f t="shared" si="4"/>
        <v>0</v>
      </c>
      <c r="R52">
        <v>8</v>
      </c>
      <c r="S52" s="11">
        <f t="shared" si="5"/>
        <v>0</v>
      </c>
      <c r="T52" s="11" t="str">
        <f t="shared" si="1"/>
        <v>Neutro</v>
      </c>
      <c r="U52" s="11" t="str">
        <f t="shared" si="2"/>
        <v>Médio risco</v>
      </c>
      <c r="V52">
        <v>1</v>
      </c>
      <c r="W52">
        <v>100</v>
      </c>
      <c r="X52" s="2">
        <v>26.03</v>
      </c>
      <c r="Y52">
        <v>37</v>
      </c>
      <c r="Z52" t="s">
        <v>50</v>
      </c>
    </row>
    <row r="53" spans="1:26">
      <c r="A53" t="s">
        <v>204</v>
      </c>
      <c r="B53" t="s">
        <v>205</v>
      </c>
      <c r="C53" t="s">
        <v>140</v>
      </c>
      <c r="D53" t="s">
        <v>141</v>
      </c>
      <c r="E53">
        <v>48</v>
      </c>
      <c r="F53" t="s">
        <v>54</v>
      </c>
      <c r="G53" t="s">
        <v>165</v>
      </c>
      <c r="H53" t="s">
        <v>42</v>
      </c>
      <c r="I53" t="e">
        <f ca="1">_xludf.XLOOKUP(H53,Base_Planos!$A:$A,Base_Planos!$B:$B,"Não encontrado")</f>
        <v>#NAME?</v>
      </c>
      <c r="J53" s="2">
        <f>VLOOKUP(H53,Base_Planos!$A:$G,4,FALSE)</f>
        <v>29.9</v>
      </c>
      <c r="K53" s="4">
        <v>45032</v>
      </c>
      <c r="L53" t="s">
        <v>118</v>
      </c>
      <c r="M53" t="s">
        <v>34</v>
      </c>
      <c r="N53" s="4">
        <v>45213</v>
      </c>
      <c r="O53" s="10">
        <f t="shared" ca="1" si="3"/>
        <v>181</v>
      </c>
      <c r="P53" s="10" t="str">
        <f t="shared" ca="1" si="0"/>
        <v>181 a 365 dias</v>
      </c>
      <c r="Q53">
        <f t="shared" si="4"/>
        <v>1</v>
      </c>
      <c r="R53">
        <v>4</v>
      </c>
      <c r="S53" s="11">
        <f t="shared" si="5"/>
        <v>29.9</v>
      </c>
      <c r="T53" s="11" t="str">
        <f t="shared" si="1"/>
        <v>Detrator</v>
      </c>
      <c r="U53" s="11" t="str">
        <f t="shared" si="2"/>
        <v>Alto risco</v>
      </c>
      <c r="V53">
        <v>2</v>
      </c>
      <c r="W53">
        <v>45</v>
      </c>
      <c r="X53" s="2">
        <v>29.52</v>
      </c>
      <c r="Y53">
        <v>6</v>
      </c>
      <c r="Z53" t="s">
        <v>45</v>
      </c>
    </row>
    <row r="54" spans="1:26">
      <c r="A54" t="s">
        <v>206</v>
      </c>
      <c r="B54" t="s">
        <v>207</v>
      </c>
      <c r="C54" t="s">
        <v>48</v>
      </c>
      <c r="D54" t="s">
        <v>29</v>
      </c>
      <c r="E54">
        <v>54</v>
      </c>
      <c r="F54" t="s">
        <v>66</v>
      </c>
      <c r="G54" t="s">
        <v>55</v>
      </c>
      <c r="H54" t="s">
        <v>166</v>
      </c>
      <c r="I54" t="e">
        <f ca="1">_xludf.XLOOKUP(H54,Base_Planos!$A:$A,Base_Planos!$B:$B,"Não encontrado")</f>
        <v>#NAME?</v>
      </c>
      <c r="J54" s="2">
        <f>VLOOKUP(H54,Base_Planos!$A:$G,4,FALSE)</f>
        <v>399.9</v>
      </c>
      <c r="K54" s="4">
        <v>45169</v>
      </c>
      <c r="L54" t="s">
        <v>162</v>
      </c>
      <c r="M54" t="s">
        <v>34</v>
      </c>
      <c r="N54" s="4">
        <v>45734</v>
      </c>
      <c r="O54" s="10">
        <f t="shared" ca="1" si="3"/>
        <v>565</v>
      </c>
      <c r="P54" s="10" t="str">
        <f t="shared" ca="1" si="0"/>
        <v>Mais de 1 ano</v>
      </c>
      <c r="Q54">
        <f t="shared" si="4"/>
        <v>1</v>
      </c>
      <c r="R54">
        <v>8</v>
      </c>
      <c r="S54" s="11">
        <f t="shared" si="5"/>
        <v>399.9</v>
      </c>
      <c r="T54" s="11" t="str">
        <f t="shared" si="1"/>
        <v>Neutro</v>
      </c>
      <c r="U54" s="11" t="str">
        <f t="shared" si="2"/>
        <v>Alto risco</v>
      </c>
      <c r="V54">
        <v>1</v>
      </c>
      <c r="W54">
        <v>18</v>
      </c>
      <c r="X54" s="2">
        <v>412.58</v>
      </c>
      <c r="Y54">
        <v>18</v>
      </c>
      <c r="Z54" t="s">
        <v>35</v>
      </c>
    </row>
    <row r="55" spans="1:26">
      <c r="A55" t="s">
        <v>208</v>
      </c>
      <c r="B55" t="s">
        <v>209</v>
      </c>
      <c r="C55" t="s">
        <v>71</v>
      </c>
      <c r="D55" t="s">
        <v>72</v>
      </c>
      <c r="E55">
        <v>37</v>
      </c>
      <c r="F55" t="s">
        <v>54</v>
      </c>
      <c r="G55" t="s">
        <v>67</v>
      </c>
      <c r="H55" t="s">
        <v>61</v>
      </c>
      <c r="I55" t="e">
        <f ca="1">_xludf.XLOOKUP(H55,Base_Planos!$A:$A,Base_Planos!$B:$B,"Não encontrado")</f>
        <v>#NAME?</v>
      </c>
      <c r="J55" s="2">
        <f>VLOOKUP(H55,Base_Planos!$A:$G,4,FALSE)</f>
        <v>59.9</v>
      </c>
      <c r="K55" s="4">
        <v>45130</v>
      </c>
      <c r="L55" t="s">
        <v>33</v>
      </c>
      <c r="M55" t="s">
        <v>34</v>
      </c>
      <c r="N55" s="4">
        <v>45725</v>
      </c>
      <c r="O55" s="10">
        <f t="shared" ca="1" si="3"/>
        <v>595</v>
      </c>
      <c r="P55" s="10" t="str">
        <f t="shared" ca="1" si="0"/>
        <v>Mais de 1 ano</v>
      </c>
      <c r="Q55">
        <f t="shared" si="4"/>
        <v>1</v>
      </c>
      <c r="R55">
        <v>3</v>
      </c>
      <c r="S55" s="11">
        <f t="shared" si="5"/>
        <v>59.9</v>
      </c>
      <c r="T55" s="11" t="str">
        <f t="shared" si="1"/>
        <v>Detrator</v>
      </c>
      <c r="U55" s="11" t="str">
        <f t="shared" si="2"/>
        <v>Alto risco</v>
      </c>
      <c r="V55">
        <v>0</v>
      </c>
      <c r="W55">
        <v>41</v>
      </c>
      <c r="X55" s="2">
        <v>50.95</v>
      </c>
      <c r="Y55">
        <v>19</v>
      </c>
      <c r="Z55" t="s">
        <v>35</v>
      </c>
    </row>
    <row r="56" spans="1:26">
      <c r="A56" t="s">
        <v>210</v>
      </c>
      <c r="B56" t="s">
        <v>211</v>
      </c>
      <c r="C56" t="s">
        <v>77</v>
      </c>
      <c r="D56" t="s">
        <v>78</v>
      </c>
      <c r="E56">
        <v>36</v>
      </c>
      <c r="F56" t="s">
        <v>30</v>
      </c>
      <c r="G56" t="s">
        <v>73</v>
      </c>
      <c r="H56" t="s">
        <v>82</v>
      </c>
      <c r="I56" t="e">
        <f ca="1">_xludf.XLOOKUP(H56,Base_Planos!$A:$A,Base_Planos!$B:$B,"Não encontrado")</f>
        <v>#NAME?</v>
      </c>
      <c r="J56" s="2">
        <f>VLOOKUP(H56,Base_Planos!$A:$G,4,FALSE)</f>
        <v>149.9</v>
      </c>
      <c r="K56" s="4">
        <v>45856</v>
      </c>
      <c r="L56" t="s">
        <v>212</v>
      </c>
      <c r="M56" t="s">
        <v>44</v>
      </c>
      <c r="N56" s="4"/>
      <c r="O56" s="10">
        <f t="shared" ca="1" si="3"/>
        <v>313</v>
      </c>
      <c r="P56" s="10" t="str">
        <f t="shared" ca="1" si="0"/>
        <v>181 a 365 dias</v>
      </c>
      <c r="Q56">
        <f t="shared" si="4"/>
        <v>0</v>
      </c>
      <c r="R56">
        <v>1</v>
      </c>
      <c r="S56" s="11">
        <f t="shared" si="5"/>
        <v>0</v>
      </c>
      <c r="T56" s="11" t="str">
        <f t="shared" si="1"/>
        <v>Detrator</v>
      </c>
      <c r="U56" s="11" t="str">
        <f t="shared" si="2"/>
        <v>Alto risco</v>
      </c>
      <c r="V56">
        <v>1</v>
      </c>
      <c r="W56">
        <v>0</v>
      </c>
      <c r="X56" s="2">
        <v>147.24</v>
      </c>
      <c r="Y56">
        <v>10</v>
      </c>
      <c r="Z56" t="s">
        <v>45</v>
      </c>
    </row>
    <row r="57" spans="1:26">
      <c r="A57" t="s">
        <v>213</v>
      </c>
      <c r="B57" t="s">
        <v>214</v>
      </c>
      <c r="C57" t="s">
        <v>71</v>
      </c>
      <c r="D57" t="s">
        <v>72</v>
      </c>
      <c r="E57">
        <v>25</v>
      </c>
      <c r="F57" t="s">
        <v>54</v>
      </c>
      <c r="G57" t="s">
        <v>96</v>
      </c>
      <c r="H57" t="s">
        <v>86</v>
      </c>
      <c r="I57" t="e">
        <f ca="1">_xludf.XLOOKUP(H57,Base_Planos!$A:$A,Base_Planos!$B:$B,"Não encontrado")</f>
        <v>#NAME?</v>
      </c>
      <c r="J57" s="2">
        <f>VLOOKUP(H57,Base_Planos!$A:$G,4,FALSE)</f>
        <v>119.9</v>
      </c>
      <c r="K57" s="4">
        <v>45218</v>
      </c>
      <c r="L57" t="s">
        <v>215</v>
      </c>
      <c r="M57" t="s">
        <v>44</v>
      </c>
      <c r="N57" s="4"/>
      <c r="O57" s="10">
        <f t="shared" ca="1" si="3"/>
        <v>951</v>
      </c>
      <c r="P57" s="10" t="str">
        <f t="shared" ca="1" si="0"/>
        <v>Mais de 1 ano</v>
      </c>
      <c r="Q57">
        <f t="shared" si="4"/>
        <v>0</v>
      </c>
      <c r="R57">
        <v>1</v>
      </c>
      <c r="S57" s="11">
        <f t="shared" si="5"/>
        <v>0</v>
      </c>
      <c r="T57" s="11" t="str">
        <f t="shared" si="1"/>
        <v>Detrator</v>
      </c>
      <c r="U57" s="11" t="str">
        <f t="shared" si="2"/>
        <v>Alto risco</v>
      </c>
      <c r="V57">
        <v>1</v>
      </c>
      <c r="W57">
        <v>75</v>
      </c>
      <c r="X57" s="2">
        <v>124.01</v>
      </c>
      <c r="Y57">
        <v>31</v>
      </c>
      <c r="Z57" t="s">
        <v>45</v>
      </c>
    </row>
    <row r="58" spans="1:26">
      <c r="A58" t="s">
        <v>216</v>
      </c>
      <c r="B58" t="s">
        <v>217</v>
      </c>
      <c r="C58" t="s">
        <v>77</v>
      </c>
      <c r="D58" t="s">
        <v>78</v>
      </c>
      <c r="E58">
        <v>62</v>
      </c>
      <c r="F58" t="s">
        <v>30</v>
      </c>
      <c r="G58" t="s">
        <v>41</v>
      </c>
      <c r="H58" t="s">
        <v>166</v>
      </c>
      <c r="I58" t="e">
        <f ca="1">_xludf.XLOOKUP(H58,Base_Planos!$A:$A,Base_Planos!$B:$B,"Não encontrado")</f>
        <v>#NAME?</v>
      </c>
      <c r="J58" s="2">
        <f>VLOOKUP(H58,Base_Planos!$A:$G,4,FALSE)</f>
        <v>399.9</v>
      </c>
      <c r="K58" s="4">
        <v>45951</v>
      </c>
      <c r="L58" t="s">
        <v>196</v>
      </c>
      <c r="M58" t="s">
        <v>44</v>
      </c>
      <c r="N58" s="4"/>
      <c r="O58" s="10">
        <f t="shared" ca="1" si="3"/>
        <v>218</v>
      </c>
      <c r="P58" s="10" t="str">
        <f t="shared" ca="1" si="0"/>
        <v>181 a 365 dias</v>
      </c>
      <c r="Q58">
        <f t="shared" si="4"/>
        <v>0</v>
      </c>
      <c r="R58">
        <v>8</v>
      </c>
      <c r="S58" s="11">
        <f t="shared" si="5"/>
        <v>0</v>
      </c>
      <c r="T58" s="11" t="str">
        <f t="shared" si="1"/>
        <v>Neutro</v>
      </c>
      <c r="U58" s="11" t="str">
        <f t="shared" si="2"/>
        <v>Médio risco</v>
      </c>
      <c r="V58">
        <v>0</v>
      </c>
      <c r="W58">
        <v>57</v>
      </c>
      <c r="X58" s="2">
        <v>365.69</v>
      </c>
      <c r="Y58">
        <v>7</v>
      </c>
      <c r="Z58" t="s">
        <v>50</v>
      </c>
    </row>
    <row r="59" spans="1:26">
      <c r="A59" t="s">
        <v>218</v>
      </c>
      <c r="B59" t="s">
        <v>219</v>
      </c>
      <c r="C59" t="s">
        <v>102</v>
      </c>
      <c r="D59" t="s">
        <v>103</v>
      </c>
      <c r="E59">
        <v>32</v>
      </c>
      <c r="F59" t="s">
        <v>201</v>
      </c>
      <c r="G59" t="s">
        <v>67</v>
      </c>
      <c r="H59" t="s">
        <v>166</v>
      </c>
      <c r="I59" t="e">
        <f ca="1">_xludf.XLOOKUP(H59,Base_Planos!$A:$A,Base_Planos!$B:$B,"Não encontrado")</f>
        <v>#NAME?</v>
      </c>
      <c r="J59" s="2">
        <f>VLOOKUP(H59,Base_Planos!$A:$G,4,FALSE)</f>
        <v>399.9</v>
      </c>
      <c r="K59" s="4">
        <v>45478</v>
      </c>
      <c r="L59" t="s">
        <v>142</v>
      </c>
      <c r="M59" t="s">
        <v>44</v>
      </c>
      <c r="N59" s="4"/>
      <c r="O59" s="10">
        <f t="shared" ca="1" si="3"/>
        <v>691</v>
      </c>
      <c r="P59" s="10" t="str">
        <f t="shared" ca="1" si="0"/>
        <v>Mais de 1 ano</v>
      </c>
      <c r="Q59">
        <f t="shared" si="4"/>
        <v>0</v>
      </c>
      <c r="R59">
        <v>9</v>
      </c>
      <c r="S59" s="11">
        <f t="shared" si="5"/>
        <v>0</v>
      </c>
      <c r="T59" s="11" t="str">
        <f t="shared" si="1"/>
        <v>Promotor</v>
      </c>
      <c r="U59" s="11" t="str">
        <f t="shared" si="2"/>
        <v>Baixo risco</v>
      </c>
      <c r="V59">
        <v>0</v>
      </c>
      <c r="W59">
        <v>68</v>
      </c>
      <c r="X59" s="2">
        <v>413.18</v>
      </c>
      <c r="Y59">
        <v>23</v>
      </c>
      <c r="Z59" t="s">
        <v>50</v>
      </c>
    </row>
    <row r="60" spans="1:26">
      <c r="A60" t="s">
        <v>220</v>
      </c>
      <c r="B60" t="s">
        <v>221</v>
      </c>
      <c r="C60" t="s">
        <v>71</v>
      </c>
      <c r="D60" t="s">
        <v>72</v>
      </c>
      <c r="E60">
        <v>58</v>
      </c>
      <c r="F60" t="s">
        <v>40</v>
      </c>
      <c r="G60" t="s">
        <v>55</v>
      </c>
      <c r="H60" t="s">
        <v>112</v>
      </c>
      <c r="I60" t="e">
        <f ca="1">_xludf.XLOOKUP(H60,Base_Planos!$A:$A,Base_Planos!$B:$B,"Não encontrado")</f>
        <v>#NAME?</v>
      </c>
      <c r="J60" s="2">
        <f>VLOOKUP(H60,Base_Planos!$A:$G,4,FALSE)</f>
        <v>79.900000000000006</v>
      </c>
      <c r="K60" s="4">
        <v>45763</v>
      </c>
      <c r="L60" t="s">
        <v>222</v>
      </c>
      <c r="M60" t="s">
        <v>44</v>
      </c>
      <c r="N60" s="4"/>
      <c r="O60" s="10">
        <f t="shared" ca="1" si="3"/>
        <v>406</v>
      </c>
      <c r="P60" s="10" t="str">
        <f t="shared" ca="1" si="0"/>
        <v>Mais de 1 ano</v>
      </c>
      <c r="Q60">
        <f t="shared" si="4"/>
        <v>0</v>
      </c>
      <c r="R60">
        <v>5</v>
      </c>
      <c r="S60" s="11">
        <f t="shared" si="5"/>
        <v>0</v>
      </c>
      <c r="T60" s="11" t="str">
        <f t="shared" si="1"/>
        <v>Detrator</v>
      </c>
      <c r="U60" s="11" t="str">
        <f t="shared" si="2"/>
        <v>Alto risco</v>
      </c>
      <c r="V60">
        <v>0</v>
      </c>
      <c r="W60">
        <v>68</v>
      </c>
      <c r="X60" s="2">
        <v>75.83</v>
      </c>
      <c r="Y60">
        <v>13</v>
      </c>
      <c r="Z60" t="s">
        <v>50</v>
      </c>
    </row>
    <row r="61" spans="1:26">
      <c r="A61" t="s">
        <v>223</v>
      </c>
      <c r="B61" t="s">
        <v>224</v>
      </c>
      <c r="C61" t="s">
        <v>53</v>
      </c>
      <c r="D61" t="s">
        <v>29</v>
      </c>
      <c r="E61">
        <v>53</v>
      </c>
      <c r="F61" t="s">
        <v>30</v>
      </c>
      <c r="G61" t="s">
        <v>55</v>
      </c>
      <c r="H61" t="s">
        <v>42</v>
      </c>
      <c r="I61" t="e">
        <f ca="1">_xludf.XLOOKUP(H61,Base_Planos!$A:$A,Base_Planos!$B:$B,"Não encontrado")</f>
        <v>#NAME?</v>
      </c>
      <c r="J61" s="2">
        <f>VLOOKUP(H61,Base_Planos!$A:$G,4,FALSE)</f>
        <v>29.9</v>
      </c>
      <c r="K61" s="4">
        <v>45589</v>
      </c>
      <c r="L61" t="s">
        <v>123</v>
      </c>
      <c r="M61" t="s">
        <v>44</v>
      </c>
      <c r="N61" s="4"/>
      <c r="O61" s="10">
        <f t="shared" ca="1" si="3"/>
        <v>580</v>
      </c>
      <c r="P61" s="10" t="str">
        <f t="shared" ca="1" si="0"/>
        <v>Mais de 1 ano</v>
      </c>
      <c r="Q61">
        <f t="shared" si="4"/>
        <v>0</v>
      </c>
      <c r="R61">
        <v>1</v>
      </c>
      <c r="S61" s="11">
        <f t="shared" si="5"/>
        <v>0</v>
      </c>
      <c r="T61" s="11" t="str">
        <f t="shared" si="1"/>
        <v>Detrator</v>
      </c>
      <c r="U61" s="11" t="str">
        <f t="shared" si="2"/>
        <v>Alto risco</v>
      </c>
      <c r="V61">
        <v>0</v>
      </c>
      <c r="W61">
        <v>51</v>
      </c>
      <c r="X61" s="2">
        <v>29.35</v>
      </c>
      <c r="Y61">
        <v>19</v>
      </c>
      <c r="Z61" t="s">
        <v>35</v>
      </c>
    </row>
    <row r="62" spans="1:26">
      <c r="A62" t="s">
        <v>225</v>
      </c>
      <c r="B62" t="s">
        <v>226</v>
      </c>
      <c r="C62" t="s">
        <v>71</v>
      </c>
      <c r="D62" t="s">
        <v>72</v>
      </c>
      <c r="E62">
        <v>21</v>
      </c>
      <c r="F62" t="s">
        <v>30</v>
      </c>
      <c r="G62" t="s">
        <v>165</v>
      </c>
      <c r="H62" t="s">
        <v>61</v>
      </c>
      <c r="I62" t="e">
        <f ca="1">_xludf.XLOOKUP(H62,Base_Planos!$A:$A,Base_Planos!$B:$B,"Não encontrado")</f>
        <v>#NAME?</v>
      </c>
      <c r="J62" s="2">
        <f>VLOOKUP(H62,Base_Planos!$A:$G,4,FALSE)</f>
        <v>59.9</v>
      </c>
      <c r="K62" s="4">
        <v>45947</v>
      </c>
      <c r="L62" t="s">
        <v>196</v>
      </c>
      <c r="M62" t="s">
        <v>44</v>
      </c>
      <c r="N62" s="4"/>
      <c r="O62" s="10">
        <f t="shared" ca="1" si="3"/>
        <v>222</v>
      </c>
      <c r="P62" s="10" t="str">
        <f t="shared" ca="1" si="0"/>
        <v>181 a 365 dias</v>
      </c>
      <c r="Q62">
        <f t="shared" si="4"/>
        <v>0</v>
      </c>
      <c r="R62">
        <v>10</v>
      </c>
      <c r="S62" s="11">
        <f t="shared" si="5"/>
        <v>0</v>
      </c>
      <c r="T62" s="11" t="str">
        <f t="shared" si="1"/>
        <v>Promotor</v>
      </c>
      <c r="U62" s="11" t="str">
        <f t="shared" si="2"/>
        <v>Baixo risco</v>
      </c>
      <c r="V62">
        <v>0</v>
      </c>
      <c r="W62">
        <v>60</v>
      </c>
      <c r="X62" s="2">
        <v>54.37</v>
      </c>
      <c r="Y62">
        <v>7</v>
      </c>
      <c r="Z62" t="s">
        <v>50</v>
      </c>
    </row>
    <row r="63" spans="1:26">
      <c r="A63" t="s">
        <v>227</v>
      </c>
      <c r="B63" t="s">
        <v>228</v>
      </c>
      <c r="C63" t="s">
        <v>102</v>
      </c>
      <c r="D63" t="s">
        <v>103</v>
      </c>
      <c r="E63">
        <v>19</v>
      </c>
      <c r="F63" t="s">
        <v>201</v>
      </c>
      <c r="G63" t="s">
        <v>31</v>
      </c>
      <c r="H63" t="s">
        <v>82</v>
      </c>
      <c r="I63" t="e">
        <f ca="1">_xludf.XLOOKUP(H63,Base_Planos!$A:$A,Base_Planos!$B:$B,"Não encontrado")</f>
        <v>#NAME?</v>
      </c>
      <c r="J63" s="2">
        <f>VLOOKUP(H63,Base_Planos!$A:$G,4,FALSE)</f>
        <v>149.9</v>
      </c>
      <c r="K63" s="4">
        <v>45563</v>
      </c>
      <c r="L63" t="s">
        <v>91</v>
      </c>
      <c r="M63" t="s">
        <v>44</v>
      </c>
      <c r="N63" s="4"/>
      <c r="O63" s="10">
        <f t="shared" ca="1" si="3"/>
        <v>606</v>
      </c>
      <c r="P63" s="10" t="str">
        <f t="shared" ca="1" si="0"/>
        <v>Mais de 1 ano</v>
      </c>
      <c r="Q63">
        <f t="shared" si="4"/>
        <v>0</v>
      </c>
      <c r="R63">
        <v>8</v>
      </c>
      <c r="S63" s="11">
        <f t="shared" si="5"/>
        <v>0</v>
      </c>
      <c r="T63" s="11" t="str">
        <f t="shared" si="1"/>
        <v>Neutro</v>
      </c>
      <c r="U63" s="11" t="str">
        <f t="shared" si="2"/>
        <v>Médio risco</v>
      </c>
      <c r="V63">
        <v>0</v>
      </c>
      <c r="W63">
        <v>59</v>
      </c>
      <c r="X63" s="2">
        <v>130.82</v>
      </c>
      <c r="Y63">
        <v>20</v>
      </c>
      <c r="Z63" t="s">
        <v>50</v>
      </c>
    </row>
    <row r="64" spans="1:26">
      <c r="A64" t="s">
        <v>229</v>
      </c>
      <c r="B64" t="s">
        <v>230</v>
      </c>
      <c r="C64" t="s">
        <v>77</v>
      </c>
      <c r="D64" t="s">
        <v>78</v>
      </c>
      <c r="E64">
        <v>63</v>
      </c>
      <c r="F64" t="s">
        <v>30</v>
      </c>
      <c r="G64" t="s">
        <v>73</v>
      </c>
      <c r="H64" t="s">
        <v>112</v>
      </c>
      <c r="I64" t="e">
        <f ca="1">_xludf.XLOOKUP(H64,Base_Planos!$A:$A,Base_Planos!$B:$B,"Não encontrado")</f>
        <v>#NAME?</v>
      </c>
      <c r="J64" s="2">
        <f>VLOOKUP(H64,Base_Planos!$A:$G,4,FALSE)</f>
        <v>79.900000000000006</v>
      </c>
      <c r="K64" s="4">
        <v>45915</v>
      </c>
      <c r="L64" t="s">
        <v>189</v>
      </c>
      <c r="M64" t="s">
        <v>44</v>
      </c>
      <c r="N64" s="4"/>
      <c r="O64" s="10">
        <f t="shared" ca="1" si="3"/>
        <v>254</v>
      </c>
      <c r="P64" s="10" t="str">
        <f t="shared" ca="1" si="0"/>
        <v>181 a 365 dias</v>
      </c>
      <c r="Q64">
        <f t="shared" si="4"/>
        <v>0</v>
      </c>
      <c r="R64">
        <v>7</v>
      </c>
      <c r="S64" s="11">
        <f t="shared" si="5"/>
        <v>0</v>
      </c>
      <c r="T64" s="11" t="str">
        <f t="shared" si="1"/>
        <v>Neutro</v>
      </c>
      <c r="U64" s="11" t="str">
        <f t="shared" si="2"/>
        <v>Médio risco</v>
      </c>
      <c r="V64">
        <v>0</v>
      </c>
      <c r="W64">
        <v>92</v>
      </c>
      <c r="X64" s="2">
        <v>76.040000000000006</v>
      </c>
      <c r="Y64">
        <v>8</v>
      </c>
      <c r="Z64" t="s">
        <v>50</v>
      </c>
    </row>
    <row r="65" spans="1:26">
      <c r="A65" t="s">
        <v>231</v>
      </c>
      <c r="B65" t="s">
        <v>232</v>
      </c>
      <c r="C65" t="s">
        <v>53</v>
      </c>
      <c r="D65" t="s">
        <v>29</v>
      </c>
      <c r="E65">
        <v>22</v>
      </c>
      <c r="F65" t="s">
        <v>30</v>
      </c>
      <c r="G65" t="s">
        <v>41</v>
      </c>
      <c r="H65" t="s">
        <v>42</v>
      </c>
      <c r="I65" t="e">
        <f ca="1">_xludf.XLOOKUP(H65,Base_Planos!$A:$A,Base_Planos!$B:$B,"Não encontrado")</f>
        <v>#NAME?</v>
      </c>
      <c r="J65" s="2">
        <f>VLOOKUP(H65,Base_Planos!$A:$G,4,FALSE)</f>
        <v>29.9</v>
      </c>
      <c r="K65" s="4">
        <v>45966</v>
      </c>
      <c r="L65" t="s">
        <v>87</v>
      </c>
      <c r="M65" t="s">
        <v>44</v>
      </c>
      <c r="N65" s="4"/>
      <c r="O65" s="10">
        <f t="shared" ca="1" si="3"/>
        <v>203</v>
      </c>
      <c r="P65" s="10" t="str">
        <f t="shared" ca="1" si="0"/>
        <v>181 a 365 dias</v>
      </c>
      <c r="Q65">
        <f t="shared" si="4"/>
        <v>0</v>
      </c>
      <c r="R65">
        <v>4</v>
      </c>
      <c r="S65" s="11">
        <f t="shared" si="5"/>
        <v>0</v>
      </c>
      <c r="T65" s="11" t="str">
        <f t="shared" si="1"/>
        <v>Detrator</v>
      </c>
      <c r="U65" s="11" t="str">
        <f t="shared" si="2"/>
        <v>Alto risco</v>
      </c>
      <c r="V65">
        <v>0</v>
      </c>
      <c r="W65">
        <v>36</v>
      </c>
      <c r="X65" s="2">
        <v>31.39</v>
      </c>
      <c r="Y65">
        <v>6</v>
      </c>
      <c r="Z65" t="s">
        <v>45</v>
      </c>
    </row>
    <row r="66" spans="1:26">
      <c r="A66" t="s">
        <v>233</v>
      </c>
      <c r="B66" t="s">
        <v>234</v>
      </c>
      <c r="C66" t="s">
        <v>77</v>
      </c>
      <c r="D66" t="s">
        <v>78</v>
      </c>
      <c r="E66">
        <v>52</v>
      </c>
      <c r="F66" t="s">
        <v>54</v>
      </c>
      <c r="G66" t="s">
        <v>165</v>
      </c>
      <c r="H66" t="s">
        <v>61</v>
      </c>
      <c r="I66" t="e">
        <f ca="1">_xludf.XLOOKUP(H66,Base_Planos!$A:$A,Base_Planos!$B:$B,"Não encontrado")</f>
        <v>#NAME?</v>
      </c>
      <c r="J66" s="2">
        <f>VLOOKUP(H66,Base_Planos!$A:$G,4,FALSE)</f>
        <v>59.9</v>
      </c>
      <c r="K66" s="4">
        <v>46039</v>
      </c>
      <c r="L66" t="s">
        <v>148</v>
      </c>
      <c r="M66" t="s">
        <v>44</v>
      </c>
      <c r="N66" s="4"/>
      <c r="O66" s="10">
        <f t="shared" ca="1" si="3"/>
        <v>130</v>
      </c>
      <c r="P66" s="10" t="str">
        <f t="shared" ref="P66:P129" ca="1" si="6">IF(O66&lt;=30,"Até 30 dias",IF(O66&lt;=90,"31 a 90 dias",IF(O66&lt;=180,"91 a 180 dias",IF(O66&lt;=365,"181 a 365 dias","Mais de 1 ano"))))</f>
        <v>91 a 180 dias</v>
      </c>
      <c r="Q66">
        <f t="shared" si="4"/>
        <v>0</v>
      </c>
      <c r="R66">
        <v>6</v>
      </c>
      <c r="S66" s="11">
        <f t="shared" si="5"/>
        <v>0</v>
      </c>
      <c r="T66" s="11" t="str">
        <f t="shared" ref="T66:T129" si="7">IF(R66&lt;=6,"Detrator",IF(R66&lt;=8,"Neutro","Promotor"))</f>
        <v>Detrator</v>
      </c>
      <c r="U66" s="11" t="str">
        <f t="shared" ref="U66:U129" si="8">IF(Q66=1,"Alto risco",IF(R66&lt;=6,"Alto risco",IF(R66&lt;=8,"Médio risco","Baixo risco")))</f>
        <v>Alto risco</v>
      </c>
      <c r="V66">
        <v>0</v>
      </c>
      <c r="W66">
        <v>63</v>
      </c>
      <c r="X66" s="2">
        <v>57.77</v>
      </c>
      <c r="Y66">
        <v>4</v>
      </c>
      <c r="Z66" t="s">
        <v>50</v>
      </c>
    </row>
    <row r="67" spans="1:26">
      <c r="A67" t="s">
        <v>235</v>
      </c>
      <c r="B67" t="s">
        <v>236</v>
      </c>
      <c r="C67" t="s">
        <v>28</v>
      </c>
      <c r="D67" t="s">
        <v>29</v>
      </c>
      <c r="E67">
        <v>38</v>
      </c>
      <c r="F67" t="s">
        <v>40</v>
      </c>
      <c r="G67" t="s">
        <v>41</v>
      </c>
      <c r="H67" t="s">
        <v>112</v>
      </c>
      <c r="I67" t="e">
        <f ca="1">_xludf.XLOOKUP(H67,Base_Planos!$A:$A,Base_Planos!$B:$B,"Não encontrado")</f>
        <v>#NAME?</v>
      </c>
      <c r="J67" s="2">
        <f>VLOOKUP(H67,Base_Planos!$A:$G,4,FALSE)</f>
        <v>79.900000000000006</v>
      </c>
      <c r="K67" s="4">
        <v>45238</v>
      </c>
      <c r="L67" t="s">
        <v>79</v>
      </c>
      <c r="M67" t="s">
        <v>44</v>
      </c>
      <c r="N67" s="4"/>
      <c r="O67" s="10">
        <f t="shared" ref="O67:O130" ca="1" si="9">IF(M67="Cancelado",N67-K67,TODAY()-K67)</f>
        <v>931</v>
      </c>
      <c r="P67" s="10" t="str">
        <f t="shared" ca="1" si="6"/>
        <v>Mais de 1 ano</v>
      </c>
      <c r="Q67">
        <f t="shared" ref="Q67:Q107" si="10">IF(M67="Cancelado",1,0)</f>
        <v>0</v>
      </c>
      <c r="R67">
        <v>7</v>
      </c>
      <c r="S67" s="11">
        <f t="shared" ref="S67:S130" si="11">IF(Q67=1,J67,0)</f>
        <v>0</v>
      </c>
      <c r="T67" s="11" t="str">
        <f t="shared" si="7"/>
        <v>Neutro</v>
      </c>
      <c r="U67" s="11" t="str">
        <f t="shared" si="8"/>
        <v>Médio risco</v>
      </c>
      <c r="V67">
        <v>3</v>
      </c>
      <c r="W67">
        <v>53</v>
      </c>
      <c r="X67" s="2">
        <v>69.52</v>
      </c>
      <c r="Y67">
        <v>31</v>
      </c>
      <c r="Z67" t="s">
        <v>50</v>
      </c>
    </row>
    <row r="68" spans="1:26">
      <c r="A68" t="s">
        <v>237</v>
      </c>
      <c r="B68" t="s">
        <v>238</v>
      </c>
      <c r="C68" t="s">
        <v>102</v>
      </c>
      <c r="D68" t="s">
        <v>103</v>
      </c>
      <c r="E68">
        <v>51</v>
      </c>
      <c r="F68" t="s">
        <v>66</v>
      </c>
      <c r="G68" t="s">
        <v>67</v>
      </c>
      <c r="H68" t="s">
        <v>82</v>
      </c>
      <c r="I68" t="e">
        <f ca="1">_xludf.XLOOKUP(H68,Base_Planos!$A:$A,Base_Planos!$B:$B,"Não encontrado")</f>
        <v>#NAME?</v>
      </c>
      <c r="J68" s="2">
        <f>VLOOKUP(H68,Base_Planos!$A:$G,4,FALSE)</f>
        <v>149.9</v>
      </c>
      <c r="K68" s="4">
        <v>45766</v>
      </c>
      <c r="L68" t="s">
        <v>222</v>
      </c>
      <c r="M68" t="s">
        <v>44</v>
      </c>
      <c r="N68" s="4"/>
      <c r="O68" s="10">
        <f t="shared" ca="1" si="9"/>
        <v>403</v>
      </c>
      <c r="P68" s="10" t="str">
        <f t="shared" ca="1" si="6"/>
        <v>Mais de 1 ano</v>
      </c>
      <c r="Q68">
        <f t="shared" si="10"/>
        <v>0</v>
      </c>
      <c r="R68">
        <v>10</v>
      </c>
      <c r="S68" s="11">
        <f t="shared" si="11"/>
        <v>0</v>
      </c>
      <c r="T68" s="11" t="str">
        <f t="shared" si="7"/>
        <v>Promotor</v>
      </c>
      <c r="U68" s="11" t="str">
        <f t="shared" si="8"/>
        <v>Baixo risco</v>
      </c>
      <c r="V68">
        <v>1</v>
      </c>
      <c r="W68">
        <v>54</v>
      </c>
      <c r="X68" s="2">
        <v>146.1</v>
      </c>
      <c r="Y68">
        <v>13</v>
      </c>
      <c r="Z68" t="s">
        <v>50</v>
      </c>
    </row>
    <row r="69" spans="1:26">
      <c r="A69" t="s">
        <v>239</v>
      </c>
      <c r="B69" t="s">
        <v>240</v>
      </c>
      <c r="C69" t="s">
        <v>53</v>
      </c>
      <c r="D69" t="s">
        <v>29</v>
      </c>
      <c r="E69">
        <v>39</v>
      </c>
      <c r="F69" t="s">
        <v>66</v>
      </c>
      <c r="G69" t="s">
        <v>41</v>
      </c>
      <c r="H69" t="s">
        <v>166</v>
      </c>
      <c r="I69" t="e">
        <f ca="1">_xludf.XLOOKUP(H69,Base_Planos!$A:$A,Base_Planos!$B:$B,"Não encontrado")</f>
        <v>#NAME?</v>
      </c>
      <c r="J69" s="2">
        <f>VLOOKUP(H69,Base_Planos!$A:$G,4,FALSE)</f>
        <v>399.9</v>
      </c>
      <c r="K69" s="4">
        <v>45926</v>
      </c>
      <c r="L69" t="s">
        <v>189</v>
      </c>
      <c r="M69" t="s">
        <v>44</v>
      </c>
      <c r="N69" s="4"/>
      <c r="O69" s="10">
        <f t="shared" ca="1" si="9"/>
        <v>243</v>
      </c>
      <c r="P69" s="10" t="str">
        <f t="shared" ca="1" si="6"/>
        <v>181 a 365 dias</v>
      </c>
      <c r="Q69">
        <f t="shared" si="10"/>
        <v>0</v>
      </c>
      <c r="R69">
        <v>8</v>
      </c>
      <c r="S69" s="11">
        <f t="shared" si="11"/>
        <v>0</v>
      </c>
      <c r="T69" s="11" t="str">
        <f t="shared" si="7"/>
        <v>Neutro</v>
      </c>
      <c r="U69" s="11" t="str">
        <f t="shared" si="8"/>
        <v>Médio risco</v>
      </c>
      <c r="V69">
        <v>1</v>
      </c>
      <c r="W69">
        <v>59</v>
      </c>
      <c r="X69" s="2">
        <v>419.69</v>
      </c>
      <c r="Y69">
        <v>8</v>
      </c>
      <c r="Z69" t="s">
        <v>50</v>
      </c>
    </row>
    <row r="70" spans="1:26">
      <c r="A70" t="s">
        <v>241</v>
      </c>
      <c r="B70" t="s">
        <v>242</v>
      </c>
      <c r="C70" t="s">
        <v>71</v>
      </c>
      <c r="D70" t="s">
        <v>72</v>
      </c>
      <c r="E70">
        <v>24</v>
      </c>
      <c r="F70" t="s">
        <v>40</v>
      </c>
      <c r="G70" t="s">
        <v>55</v>
      </c>
      <c r="H70" t="s">
        <v>112</v>
      </c>
      <c r="I70" t="e">
        <f ca="1">_xludf.XLOOKUP(H70,Base_Planos!$A:$A,Base_Planos!$B:$B,"Não encontrado")</f>
        <v>#NAME?</v>
      </c>
      <c r="J70" s="2">
        <f>VLOOKUP(H70,Base_Planos!$A:$G,4,FALSE)</f>
        <v>79.900000000000006</v>
      </c>
      <c r="K70" s="4">
        <v>45540</v>
      </c>
      <c r="L70" t="s">
        <v>91</v>
      </c>
      <c r="M70" t="s">
        <v>34</v>
      </c>
      <c r="N70" s="4">
        <v>45719</v>
      </c>
      <c r="O70" s="10">
        <f t="shared" ca="1" si="9"/>
        <v>179</v>
      </c>
      <c r="P70" s="10" t="str">
        <f t="shared" ca="1" si="6"/>
        <v>91 a 180 dias</v>
      </c>
      <c r="Q70">
        <f t="shared" si="10"/>
        <v>1</v>
      </c>
      <c r="R70">
        <v>0</v>
      </c>
      <c r="S70" s="11">
        <f t="shared" si="11"/>
        <v>79.900000000000006</v>
      </c>
      <c r="T70" s="11" t="str">
        <f t="shared" si="7"/>
        <v>Detrator</v>
      </c>
      <c r="U70" s="11" t="str">
        <f t="shared" si="8"/>
        <v>Alto risco</v>
      </c>
      <c r="V70">
        <v>0</v>
      </c>
      <c r="W70">
        <v>71</v>
      </c>
      <c r="X70" s="2">
        <v>74.5</v>
      </c>
      <c r="Y70">
        <v>5</v>
      </c>
      <c r="Z70" t="s">
        <v>45</v>
      </c>
    </row>
    <row r="71" spans="1:26">
      <c r="A71" t="s">
        <v>243</v>
      </c>
      <c r="B71" t="s">
        <v>244</v>
      </c>
      <c r="C71" t="s">
        <v>94</v>
      </c>
      <c r="D71" t="s">
        <v>95</v>
      </c>
      <c r="E71">
        <v>29</v>
      </c>
      <c r="F71" t="s">
        <v>30</v>
      </c>
      <c r="G71" t="s">
        <v>41</v>
      </c>
      <c r="H71" t="s">
        <v>61</v>
      </c>
      <c r="I71" t="e">
        <f ca="1">_xludf.XLOOKUP(H71,Base_Planos!$A:$A,Base_Planos!$B:$B,"Não encontrado")</f>
        <v>#NAME?</v>
      </c>
      <c r="J71" s="2">
        <f>VLOOKUP(H71,Base_Planos!$A:$G,4,FALSE)</f>
        <v>59.9</v>
      </c>
      <c r="K71" s="4">
        <v>45420</v>
      </c>
      <c r="L71" t="s">
        <v>130</v>
      </c>
      <c r="M71" t="s">
        <v>44</v>
      </c>
      <c r="N71" s="4"/>
      <c r="O71" s="10">
        <f t="shared" ca="1" si="9"/>
        <v>749</v>
      </c>
      <c r="P71" s="10" t="str">
        <f t="shared" ca="1" si="6"/>
        <v>Mais de 1 ano</v>
      </c>
      <c r="Q71">
        <f t="shared" si="10"/>
        <v>0</v>
      </c>
      <c r="R71">
        <v>7</v>
      </c>
      <c r="S71" s="11">
        <f t="shared" si="11"/>
        <v>0</v>
      </c>
      <c r="T71" s="11" t="str">
        <f t="shared" si="7"/>
        <v>Neutro</v>
      </c>
      <c r="U71" s="11" t="str">
        <f t="shared" si="8"/>
        <v>Médio risco</v>
      </c>
      <c r="V71">
        <v>0</v>
      </c>
      <c r="W71">
        <v>48</v>
      </c>
      <c r="X71" s="2">
        <v>53.97</v>
      </c>
      <c r="Y71">
        <v>24</v>
      </c>
      <c r="Z71" t="s">
        <v>50</v>
      </c>
    </row>
    <row r="72" spans="1:26">
      <c r="A72" t="s">
        <v>245</v>
      </c>
      <c r="B72" t="s">
        <v>246</v>
      </c>
      <c r="C72" t="s">
        <v>140</v>
      </c>
      <c r="D72" t="s">
        <v>141</v>
      </c>
      <c r="E72">
        <v>61</v>
      </c>
      <c r="F72" t="s">
        <v>54</v>
      </c>
      <c r="G72" t="s">
        <v>55</v>
      </c>
      <c r="H72" t="s">
        <v>112</v>
      </c>
      <c r="I72" t="e">
        <f ca="1">_xludf.XLOOKUP(H72,Base_Planos!$A:$A,Base_Planos!$B:$B,"Não encontrado")</f>
        <v>#NAME?</v>
      </c>
      <c r="J72" s="2">
        <f>VLOOKUP(H72,Base_Planos!$A:$G,4,FALSE)</f>
        <v>79.900000000000006</v>
      </c>
      <c r="K72" s="4">
        <v>45634</v>
      </c>
      <c r="L72" t="s">
        <v>49</v>
      </c>
      <c r="M72" t="s">
        <v>44</v>
      </c>
      <c r="N72" s="4"/>
      <c r="O72" s="10">
        <f t="shared" ca="1" si="9"/>
        <v>535</v>
      </c>
      <c r="P72" s="10" t="str">
        <f t="shared" ca="1" si="6"/>
        <v>Mais de 1 ano</v>
      </c>
      <c r="Q72">
        <f t="shared" si="10"/>
        <v>0</v>
      </c>
      <c r="R72">
        <v>9</v>
      </c>
      <c r="S72" s="11">
        <f t="shared" si="11"/>
        <v>0</v>
      </c>
      <c r="T72" s="11" t="str">
        <f t="shared" si="7"/>
        <v>Promotor</v>
      </c>
      <c r="U72" s="11" t="str">
        <f t="shared" si="8"/>
        <v>Baixo risco</v>
      </c>
      <c r="V72">
        <v>1</v>
      </c>
      <c r="W72">
        <v>100</v>
      </c>
      <c r="X72" s="2">
        <v>72.739999999999995</v>
      </c>
      <c r="Y72">
        <v>17</v>
      </c>
      <c r="Z72" t="s">
        <v>50</v>
      </c>
    </row>
    <row r="73" spans="1:26">
      <c r="A73" t="s">
        <v>247</v>
      </c>
      <c r="B73" t="s">
        <v>248</v>
      </c>
      <c r="C73" t="s">
        <v>102</v>
      </c>
      <c r="D73" t="s">
        <v>103</v>
      </c>
      <c r="E73">
        <v>33</v>
      </c>
      <c r="F73" t="s">
        <v>54</v>
      </c>
      <c r="G73" t="s">
        <v>165</v>
      </c>
      <c r="H73" t="s">
        <v>61</v>
      </c>
      <c r="I73" t="e">
        <f ca="1">_xludf.XLOOKUP(H73,Base_Planos!$A:$A,Base_Planos!$B:$B,"Não encontrado")</f>
        <v>#NAME?</v>
      </c>
      <c r="J73" s="2">
        <f>VLOOKUP(H73,Base_Planos!$A:$G,4,FALSE)</f>
        <v>59.9</v>
      </c>
      <c r="K73" s="4">
        <v>45531</v>
      </c>
      <c r="L73" t="s">
        <v>156</v>
      </c>
      <c r="M73" t="s">
        <v>44</v>
      </c>
      <c r="N73" s="4"/>
      <c r="O73" s="10">
        <f t="shared" ca="1" si="9"/>
        <v>638</v>
      </c>
      <c r="P73" s="10" t="str">
        <f t="shared" ca="1" si="6"/>
        <v>Mais de 1 ano</v>
      </c>
      <c r="Q73">
        <f t="shared" si="10"/>
        <v>0</v>
      </c>
      <c r="R73">
        <v>0</v>
      </c>
      <c r="S73" s="11">
        <f t="shared" si="11"/>
        <v>0</v>
      </c>
      <c r="T73" s="11" t="str">
        <f t="shared" si="7"/>
        <v>Detrator</v>
      </c>
      <c r="U73" s="11" t="str">
        <f t="shared" si="8"/>
        <v>Alto risco</v>
      </c>
      <c r="V73">
        <v>0</v>
      </c>
      <c r="W73">
        <v>51</v>
      </c>
      <c r="X73" s="2">
        <v>59.13</v>
      </c>
      <c r="Y73">
        <v>21</v>
      </c>
      <c r="Z73" t="s">
        <v>45</v>
      </c>
    </row>
    <row r="74" spans="1:26">
      <c r="A74" t="s">
        <v>249</v>
      </c>
      <c r="B74" t="s">
        <v>250</v>
      </c>
      <c r="C74" t="s">
        <v>90</v>
      </c>
      <c r="D74" t="s">
        <v>29</v>
      </c>
      <c r="E74">
        <v>65</v>
      </c>
      <c r="F74" t="s">
        <v>54</v>
      </c>
      <c r="G74" t="s">
        <v>73</v>
      </c>
      <c r="H74" t="s">
        <v>82</v>
      </c>
      <c r="I74" t="e">
        <f ca="1">_xludf.XLOOKUP(H74,Base_Planos!$A:$A,Base_Planos!$B:$B,"Não encontrado")</f>
        <v>#NAME?</v>
      </c>
      <c r="J74" s="2">
        <f>VLOOKUP(H74,Base_Planos!$A:$G,4,FALSE)</f>
        <v>149.9</v>
      </c>
      <c r="K74" s="4">
        <v>45398</v>
      </c>
      <c r="L74" t="s">
        <v>56</v>
      </c>
      <c r="M74" t="s">
        <v>44</v>
      </c>
      <c r="N74" s="4"/>
      <c r="O74" s="10">
        <f t="shared" ca="1" si="9"/>
        <v>771</v>
      </c>
      <c r="P74" s="10" t="str">
        <f t="shared" ca="1" si="6"/>
        <v>Mais de 1 ano</v>
      </c>
      <c r="Q74">
        <f t="shared" si="10"/>
        <v>0</v>
      </c>
      <c r="R74">
        <v>9</v>
      </c>
      <c r="S74" s="11">
        <f t="shared" si="11"/>
        <v>0</v>
      </c>
      <c r="T74" s="11" t="str">
        <f t="shared" si="7"/>
        <v>Promotor</v>
      </c>
      <c r="U74" s="11" t="str">
        <f t="shared" si="8"/>
        <v>Baixo risco</v>
      </c>
      <c r="V74">
        <v>0</v>
      </c>
      <c r="W74">
        <v>38</v>
      </c>
      <c r="X74" s="2">
        <v>150.07</v>
      </c>
      <c r="Y74">
        <v>25</v>
      </c>
      <c r="Z74" t="s">
        <v>50</v>
      </c>
    </row>
    <row r="75" spans="1:26">
      <c r="A75" t="s">
        <v>251</v>
      </c>
      <c r="B75" t="s">
        <v>252</v>
      </c>
      <c r="C75" t="s">
        <v>65</v>
      </c>
      <c r="D75" t="s">
        <v>29</v>
      </c>
      <c r="E75">
        <v>24</v>
      </c>
      <c r="F75" t="s">
        <v>66</v>
      </c>
      <c r="G75" t="s">
        <v>67</v>
      </c>
      <c r="H75" t="s">
        <v>42</v>
      </c>
      <c r="I75" t="e">
        <f ca="1">_xludf.XLOOKUP(H75,Base_Planos!$A:$A,Base_Planos!$B:$B,"Não encontrado")</f>
        <v>#NAME?</v>
      </c>
      <c r="J75" s="2">
        <f>VLOOKUP(H75,Base_Planos!$A:$G,4,FALSE)</f>
        <v>29.9</v>
      </c>
      <c r="K75" s="4">
        <v>45829</v>
      </c>
      <c r="L75" t="s">
        <v>167</v>
      </c>
      <c r="M75" t="s">
        <v>34</v>
      </c>
      <c r="N75" s="4">
        <v>46071</v>
      </c>
      <c r="O75" s="10">
        <f t="shared" ca="1" si="9"/>
        <v>242</v>
      </c>
      <c r="P75" s="10" t="str">
        <f t="shared" ca="1" si="6"/>
        <v>181 a 365 dias</v>
      </c>
      <c r="Q75">
        <f t="shared" si="10"/>
        <v>1</v>
      </c>
      <c r="R75">
        <v>0</v>
      </c>
      <c r="S75" s="11">
        <f t="shared" si="11"/>
        <v>29.9</v>
      </c>
      <c r="T75" s="11" t="str">
        <f t="shared" si="7"/>
        <v>Detrator</v>
      </c>
      <c r="U75" s="11" t="str">
        <f t="shared" si="8"/>
        <v>Alto risco</v>
      </c>
      <c r="V75">
        <v>0</v>
      </c>
      <c r="W75">
        <v>35</v>
      </c>
      <c r="X75" s="2">
        <v>26.21</v>
      </c>
      <c r="Y75">
        <v>8</v>
      </c>
      <c r="Z75" t="s">
        <v>35</v>
      </c>
    </row>
    <row r="76" spans="1:26">
      <c r="A76" t="s">
        <v>253</v>
      </c>
      <c r="B76" t="s">
        <v>254</v>
      </c>
      <c r="C76" t="s">
        <v>38</v>
      </c>
      <c r="D76" t="s">
        <v>39</v>
      </c>
      <c r="E76">
        <v>50</v>
      </c>
      <c r="F76" t="s">
        <v>66</v>
      </c>
      <c r="G76" t="s">
        <v>96</v>
      </c>
      <c r="H76" t="s">
        <v>42</v>
      </c>
      <c r="I76" t="e">
        <f ca="1">_xludf.XLOOKUP(H76,Base_Planos!$A:$A,Base_Planos!$B:$B,"Não encontrado")</f>
        <v>#NAME?</v>
      </c>
      <c r="J76" s="2">
        <f>VLOOKUP(H76,Base_Planos!$A:$G,4,FALSE)</f>
        <v>29.9</v>
      </c>
      <c r="K76" s="4">
        <v>45913</v>
      </c>
      <c r="L76" t="s">
        <v>189</v>
      </c>
      <c r="M76" t="s">
        <v>44</v>
      </c>
      <c r="N76" s="4"/>
      <c r="O76" s="10">
        <f t="shared" ca="1" si="9"/>
        <v>256</v>
      </c>
      <c r="P76" s="10" t="str">
        <f t="shared" ca="1" si="6"/>
        <v>181 a 365 dias</v>
      </c>
      <c r="Q76">
        <f t="shared" si="10"/>
        <v>0</v>
      </c>
      <c r="R76">
        <v>4</v>
      </c>
      <c r="S76" s="11">
        <f t="shared" si="11"/>
        <v>0</v>
      </c>
      <c r="T76" s="11" t="str">
        <f t="shared" si="7"/>
        <v>Detrator</v>
      </c>
      <c r="U76" s="11" t="str">
        <f t="shared" si="8"/>
        <v>Alto risco</v>
      </c>
      <c r="V76">
        <v>0</v>
      </c>
      <c r="W76">
        <v>31</v>
      </c>
      <c r="X76" s="2">
        <v>26.26</v>
      </c>
      <c r="Y76">
        <v>8</v>
      </c>
      <c r="Z76" t="s">
        <v>45</v>
      </c>
    </row>
    <row r="77" spans="1:26">
      <c r="A77" t="s">
        <v>255</v>
      </c>
      <c r="B77" t="s">
        <v>256</v>
      </c>
      <c r="C77" t="s">
        <v>53</v>
      </c>
      <c r="D77" t="s">
        <v>29</v>
      </c>
      <c r="E77">
        <v>53</v>
      </c>
      <c r="F77" t="s">
        <v>54</v>
      </c>
      <c r="G77" t="s">
        <v>41</v>
      </c>
      <c r="H77" t="s">
        <v>32</v>
      </c>
      <c r="I77" t="e">
        <f ca="1">_xludf.XLOOKUP(H77,Base_Planos!$A:$A,Base_Planos!$B:$B,"Não encontrado")</f>
        <v>#NAME?</v>
      </c>
      <c r="J77" s="2">
        <f>VLOOKUP(H77,Base_Planos!$A:$G,4,FALSE)</f>
        <v>39.9</v>
      </c>
      <c r="K77" s="4">
        <v>46025</v>
      </c>
      <c r="L77" t="s">
        <v>148</v>
      </c>
      <c r="M77" t="s">
        <v>44</v>
      </c>
      <c r="N77" s="4"/>
      <c r="O77" s="10">
        <f t="shared" ca="1" si="9"/>
        <v>144</v>
      </c>
      <c r="P77" s="10" t="str">
        <f t="shared" ca="1" si="6"/>
        <v>91 a 180 dias</v>
      </c>
      <c r="Q77">
        <f t="shared" si="10"/>
        <v>0</v>
      </c>
      <c r="R77">
        <v>1</v>
      </c>
      <c r="S77" s="11">
        <f t="shared" si="11"/>
        <v>0</v>
      </c>
      <c r="T77" s="11" t="str">
        <f t="shared" si="7"/>
        <v>Detrator</v>
      </c>
      <c r="U77" s="11" t="str">
        <f t="shared" si="8"/>
        <v>Alto risco</v>
      </c>
      <c r="V77">
        <v>1</v>
      </c>
      <c r="W77">
        <v>68</v>
      </c>
      <c r="X77" s="2">
        <v>40.479999999999997</v>
      </c>
      <c r="Y77">
        <v>4</v>
      </c>
      <c r="Z77" t="s">
        <v>35</v>
      </c>
    </row>
    <row r="78" spans="1:26">
      <c r="A78" t="s">
        <v>257</v>
      </c>
      <c r="B78" t="s">
        <v>258</v>
      </c>
      <c r="C78" t="s">
        <v>65</v>
      </c>
      <c r="D78" t="s">
        <v>29</v>
      </c>
      <c r="E78">
        <v>32</v>
      </c>
      <c r="F78" t="s">
        <v>54</v>
      </c>
      <c r="G78" t="s">
        <v>165</v>
      </c>
      <c r="H78" t="s">
        <v>86</v>
      </c>
      <c r="I78" t="e">
        <f ca="1">_xludf.XLOOKUP(H78,Base_Planos!$A:$A,Base_Planos!$B:$B,"Não encontrado")</f>
        <v>#NAME?</v>
      </c>
      <c r="J78" s="2">
        <f>VLOOKUP(H78,Base_Planos!$A:$G,4,FALSE)</f>
        <v>119.9</v>
      </c>
      <c r="K78" s="4">
        <v>45380</v>
      </c>
      <c r="L78" t="s">
        <v>126</v>
      </c>
      <c r="M78" t="s">
        <v>34</v>
      </c>
      <c r="N78" s="4">
        <v>45828</v>
      </c>
      <c r="O78" s="10">
        <f t="shared" ca="1" si="9"/>
        <v>448</v>
      </c>
      <c r="P78" s="10" t="str">
        <f t="shared" ca="1" si="6"/>
        <v>Mais de 1 ano</v>
      </c>
      <c r="Q78">
        <f t="shared" si="10"/>
        <v>1</v>
      </c>
      <c r="R78">
        <v>10</v>
      </c>
      <c r="S78" s="11">
        <f t="shared" si="11"/>
        <v>119.9</v>
      </c>
      <c r="T78" s="11" t="str">
        <f t="shared" si="7"/>
        <v>Promotor</v>
      </c>
      <c r="U78" s="11" t="str">
        <f t="shared" si="8"/>
        <v>Alto risco</v>
      </c>
      <c r="V78">
        <v>3</v>
      </c>
      <c r="W78">
        <v>77</v>
      </c>
      <c r="X78" s="2">
        <v>105.27</v>
      </c>
      <c r="Y78">
        <v>14</v>
      </c>
      <c r="Z78" t="s">
        <v>35</v>
      </c>
    </row>
    <row r="79" spans="1:26">
      <c r="A79" t="s">
        <v>259</v>
      </c>
      <c r="B79" t="s">
        <v>260</v>
      </c>
      <c r="C79" t="s">
        <v>77</v>
      </c>
      <c r="D79" t="s">
        <v>78</v>
      </c>
      <c r="E79">
        <v>25</v>
      </c>
      <c r="F79" t="s">
        <v>30</v>
      </c>
      <c r="G79" t="s">
        <v>96</v>
      </c>
      <c r="H79" t="s">
        <v>112</v>
      </c>
      <c r="I79" t="e">
        <f ca="1">_xludf.XLOOKUP(H79,Base_Planos!$A:$A,Base_Planos!$B:$B,"Não encontrado")</f>
        <v>#NAME?</v>
      </c>
      <c r="J79" s="2">
        <f>VLOOKUP(H79,Base_Planos!$A:$G,4,FALSE)</f>
        <v>79.900000000000006</v>
      </c>
      <c r="K79" s="4">
        <v>45686</v>
      </c>
      <c r="L79" t="s">
        <v>261</v>
      </c>
      <c r="M79" t="s">
        <v>44</v>
      </c>
      <c r="N79" s="4"/>
      <c r="O79" s="10">
        <f t="shared" ca="1" si="9"/>
        <v>483</v>
      </c>
      <c r="P79" s="10" t="str">
        <f t="shared" ca="1" si="6"/>
        <v>Mais de 1 ano</v>
      </c>
      <c r="Q79">
        <f t="shared" si="10"/>
        <v>0</v>
      </c>
      <c r="R79">
        <v>10</v>
      </c>
      <c r="S79" s="11">
        <f t="shared" si="11"/>
        <v>0</v>
      </c>
      <c r="T79" s="11" t="str">
        <f t="shared" si="7"/>
        <v>Promotor</v>
      </c>
      <c r="U79" s="11" t="str">
        <f t="shared" si="8"/>
        <v>Baixo risco</v>
      </c>
      <c r="V79">
        <v>0</v>
      </c>
      <c r="W79">
        <v>43</v>
      </c>
      <c r="X79" s="2">
        <v>79.53</v>
      </c>
      <c r="Y79">
        <v>16</v>
      </c>
      <c r="Z79" t="s">
        <v>35</v>
      </c>
    </row>
    <row r="80" spans="1:26">
      <c r="A80" t="s">
        <v>262</v>
      </c>
      <c r="B80" t="s">
        <v>263</v>
      </c>
      <c r="C80" t="s">
        <v>65</v>
      </c>
      <c r="D80" t="s">
        <v>29</v>
      </c>
      <c r="E80">
        <v>24</v>
      </c>
      <c r="F80" t="s">
        <v>66</v>
      </c>
      <c r="G80" t="s">
        <v>41</v>
      </c>
      <c r="H80" t="s">
        <v>86</v>
      </c>
      <c r="I80" t="e">
        <f ca="1">_xludf.XLOOKUP(H80,Base_Planos!$A:$A,Base_Planos!$B:$B,"Não encontrado")</f>
        <v>#NAME?</v>
      </c>
      <c r="J80" s="2">
        <f>VLOOKUP(H80,Base_Planos!$A:$G,4,FALSE)</f>
        <v>119.9</v>
      </c>
      <c r="K80" s="4">
        <v>45499</v>
      </c>
      <c r="L80" t="s">
        <v>142</v>
      </c>
      <c r="M80" t="s">
        <v>34</v>
      </c>
      <c r="N80" s="4">
        <v>45900</v>
      </c>
      <c r="O80" s="10">
        <f t="shared" ca="1" si="9"/>
        <v>401</v>
      </c>
      <c r="P80" s="10" t="str">
        <f t="shared" ca="1" si="6"/>
        <v>Mais de 1 ano</v>
      </c>
      <c r="Q80">
        <f t="shared" si="10"/>
        <v>1</v>
      </c>
      <c r="R80">
        <v>0</v>
      </c>
      <c r="S80" s="11">
        <f t="shared" si="11"/>
        <v>119.9</v>
      </c>
      <c r="T80" s="11" t="str">
        <f t="shared" si="7"/>
        <v>Detrator</v>
      </c>
      <c r="U80" s="11" t="str">
        <f t="shared" si="8"/>
        <v>Alto risco</v>
      </c>
      <c r="V80">
        <v>0</v>
      </c>
      <c r="W80">
        <v>38</v>
      </c>
      <c r="X80" s="2">
        <v>118.36</v>
      </c>
      <c r="Y80">
        <v>13</v>
      </c>
      <c r="Z80" t="s">
        <v>35</v>
      </c>
    </row>
    <row r="81" spans="1:26">
      <c r="A81" t="s">
        <v>264</v>
      </c>
      <c r="B81" t="s">
        <v>254</v>
      </c>
      <c r="C81" t="s">
        <v>28</v>
      </c>
      <c r="D81" t="s">
        <v>29</v>
      </c>
      <c r="E81">
        <v>43</v>
      </c>
      <c r="F81" t="s">
        <v>30</v>
      </c>
      <c r="G81" t="s">
        <v>55</v>
      </c>
      <c r="H81" t="s">
        <v>166</v>
      </c>
      <c r="I81" t="e">
        <f ca="1">_xludf.XLOOKUP(H81,Base_Planos!$A:$A,Base_Planos!$B:$B,"Não encontrado")</f>
        <v>#NAME?</v>
      </c>
      <c r="J81" s="2">
        <f>VLOOKUP(H81,Base_Planos!$A:$G,4,FALSE)</f>
        <v>399.9</v>
      </c>
      <c r="K81" s="4">
        <v>45858</v>
      </c>
      <c r="L81" t="s">
        <v>212</v>
      </c>
      <c r="M81" t="s">
        <v>34</v>
      </c>
      <c r="N81" s="4">
        <v>46058</v>
      </c>
      <c r="O81" s="10">
        <f t="shared" ca="1" si="9"/>
        <v>200</v>
      </c>
      <c r="P81" s="10" t="str">
        <f t="shared" ca="1" si="6"/>
        <v>181 a 365 dias</v>
      </c>
      <c r="Q81">
        <f t="shared" si="10"/>
        <v>1</v>
      </c>
      <c r="R81">
        <v>1</v>
      </c>
      <c r="S81" s="11">
        <f t="shared" si="11"/>
        <v>399.9</v>
      </c>
      <c r="T81" s="11" t="str">
        <f t="shared" si="7"/>
        <v>Detrator</v>
      </c>
      <c r="U81" s="11" t="str">
        <f t="shared" si="8"/>
        <v>Alto risco</v>
      </c>
      <c r="V81">
        <v>1</v>
      </c>
      <c r="W81">
        <v>22</v>
      </c>
      <c r="X81" s="2">
        <v>349.99</v>
      </c>
      <c r="Y81">
        <v>6</v>
      </c>
      <c r="Z81" t="s">
        <v>35</v>
      </c>
    </row>
    <row r="82" spans="1:26">
      <c r="A82" t="s">
        <v>265</v>
      </c>
      <c r="B82" t="s">
        <v>266</v>
      </c>
      <c r="C82" t="s">
        <v>102</v>
      </c>
      <c r="D82" t="s">
        <v>103</v>
      </c>
      <c r="E82">
        <v>53</v>
      </c>
      <c r="F82" t="s">
        <v>30</v>
      </c>
      <c r="G82" t="s">
        <v>31</v>
      </c>
      <c r="H82" t="s">
        <v>82</v>
      </c>
      <c r="I82" t="e">
        <f ca="1">_xludf.XLOOKUP(H82,Base_Planos!$A:$A,Base_Planos!$B:$B,"Não encontrado")</f>
        <v>#NAME?</v>
      </c>
      <c r="J82" s="2">
        <f>VLOOKUP(H82,Base_Planos!$A:$G,4,FALSE)</f>
        <v>149.9</v>
      </c>
      <c r="K82" s="4">
        <v>45404</v>
      </c>
      <c r="L82" t="s">
        <v>56</v>
      </c>
      <c r="M82" t="s">
        <v>34</v>
      </c>
      <c r="N82" s="4">
        <v>45582</v>
      </c>
      <c r="O82" s="10">
        <f t="shared" ca="1" si="9"/>
        <v>178</v>
      </c>
      <c r="P82" s="10" t="str">
        <f t="shared" ca="1" si="6"/>
        <v>91 a 180 dias</v>
      </c>
      <c r="Q82">
        <f t="shared" si="10"/>
        <v>1</v>
      </c>
      <c r="R82">
        <v>5</v>
      </c>
      <c r="S82" s="11">
        <f t="shared" si="11"/>
        <v>149.9</v>
      </c>
      <c r="T82" s="11" t="str">
        <f t="shared" si="7"/>
        <v>Detrator</v>
      </c>
      <c r="U82" s="11" t="str">
        <f t="shared" si="8"/>
        <v>Alto risco</v>
      </c>
      <c r="V82">
        <v>1</v>
      </c>
      <c r="W82">
        <v>8</v>
      </c>
      <c r="X82" s="2">
        <v>143.61000000000001</v>
      </c>
      <c r="Y82">
        <v>5</v>
      </c>
      <c r="Z82" t="s">
        <v>45</v>
      </c>
    </row>
    <row r="83" spans="1:26">
      <c r="A83" t="s">
        <v>267</v>
      </c>
      <c r="B83" t="s">
        <v>268</v>
      </c>
      <c r="C83" t="s">
        <v>102</v>
      </c>
      <c r="D83" t="s">
        <v>103</v>
      </c>
      <c r="E83">
        <v>60</v>
      </c>
      <c r="F83" t="s">
        <v>66</v>
      </c>
      <c r="G83" t="s">
        <v>96</v>
      </c>
      <c r="H83" t="s">
        <v>32</v>
      </c>
      <c r="I83" t="e">
        <f ca="1">_xludf.XLOOKUP(H83,Base_Planos!$A:$A,Base_Planos!$B:$B,"Não encontrado")</f>
        <v>#NAME?</v>
      </c>
      <c r="J83" s="2">
        <f>VLOOKUP(H83,Base_Planos!$A:$G,4,FALSE)</f>
        <v>39.9</v>
      </c>
      <c r="K83" s="4">
        <v>45414</v>
      </c>
      <c r="L83" t="s">
        <v>130</v>
      </c>
      <c r="M83" t="s">
        <v>44</v>
      </c>
      <c r="N83" s="4"/>
      <c r="O83" s="10">
        <f t="shared" ca="1" si="9"/>
        <v>755</v>
      </c>
      <c r="P83" s="10" t="str">
        <f t="shared" ca="1" si="6"/>
        <v>Mais de 1 ano</v>
      </c>
      <c r="Q83">
        <f t="shared" si="10"/>
        <v>0</v>
      </c>
      <c r="R83">
        <v>9</v>
      </c>
      <c r="S83" s="11">
        <f t="shared" si="11"/>
        <v>0</v>
      </c>
      <c r="T83" s="11" t="str">
        <f t="shared" si="7"/>
        <v>Promotor</v>
      </c>
      <c r="U83" s="11" t="str">
        <f t="shared" si="8"/>
        <v>Baixo risco</v>
      </c>
      <c r="V83">
        <v>0</v>
      </c>
      <c r="W83">
        <v>72</v>
      </c>
      <c r="X83" s="2">
        <v>38.11</v>
      </c>
      <c r="Y83">
        <v>25</v>
      </c>
      <c r="Z83" t="s">
        <v>50</v>
      </c>
    </row>
    <row r="84" spans="1:26">
      <c r="A84" t="s">
        <v>269</v>
      </c>
      <c r="B84" t="s">
        <v>242</v>
      </c>
      <c r="C84" t="s">
        <v>77</v>
      </c>
      <c r="D84" t="s">
        <v>78</v>
      </c>
      <c r="E84">
        <v>46</v>
      </c>
      <c r="F84" t="s">
        <v>40</v>
      </c>
      <c r="G84" t="s">
        <v>55</v>
      </c>
      <c r="H84" t="s">
        <v>112</v>
      </c>
      <c r="I84" t="e">
        <f ca="1">_xludf.XLOOKUP(H84,Base_Planos!$A:$A,Base_Planos!$B:$B,"Não encontrado")</f>
        <v>#NAME?</v>
      </c>
      <c r="J84" s="2">
        <f>VLOOKUP(H84,Base_Planos!$A:$G,4,FALSE)</f>
        <v>79.900000000000006</v>
      </c>
      <c r="K84" s="4">
        <v>45380</v>
      </c>
      <c r="L84" t="s">
        <v>126</v>
      </c>
      <c r="M84" t="s">
        <v>44</v>
      </c>
      <c r="N84" s="4"/>
      <c r="O84" s="10">
        <f t="shared" ca="1" si="9"/>
        <v>789</v>
      </c>
      <c r="P84" s="10" t="str">
        <f t="shared" ca="1" si="6"/>
        <v>Mais de 1 ano</v>
      </c>
      <c r="Q84">
        <f t="shared" si="10"/>
        <v>0</v>
      </c>
      <c r="R84">
        <v>9</v>
      </c>
      <c r="S84" s="11">
        <f t="shared" si="11"/>
        <v>0</v>
      </c>
      <c r="T84" s="11" t="str">
        <f t="shared" si="7"/>
        <v>Promotor</v>
      </c>
      <c r="U84" s="11" t="str">
        <f t="shared" si="8"/>
        <v>Baixo risco</v>
      </c>
      <c r="V84">
        <v>2</v>
      </c>
      <c r="W84">
        <v>70</v>
      </c>
      <c r="X84" s="2">
        <v>75.23</v>
      </c>
      <c r="Y84">
        <v>26</v>
      </c>
      <c r="Z84" t="s">
        <v>35</v>
      </c>
    </row>
    <row r="85" spans="1:26">
      <c r="A85" t="s">
        <v>270</v>
      </c>
      <c r="B85" t="s">
        <v>271</v>
      </c>
      <c r="C85" t="s">
        <v>77</v>
      </c>
      <c r="D85" t="s">
        <v>78</v>
      </c>
      <c r="E85">
        <v>43</v>
      </c>
      <c r="F85" t="s">
        <v>54</v>
      </c>
      <c r="G85" t="s">
        <v>55</v>
      </c>
      <c r="H85" t="s">
        <v>112</v>
      </c>
      <c r="I85" t="e">
        <f ca="1">_xludf.XLOOKUP(H85,Base_Planos!$A:$A,Base_Planos!$B:$B,"Não encontrado")</f>
        <v>#NAME?</v>
      </c>
      <c r="J85" s="2">
        <f>VLOOKUP(H85,Base_Planos!$A:$G,4,FALSE)</f>
        <v>79.900000000000006</v>
      </c>
      <c r="K85" s="4">
        <v>45835</v>
      </c>
      <c r="L85" t="s">
        <v>167</v>
      </c>
      <c r="M85" t="s">
        <v>34</v>
      </c>
      <c r="N85" s="4">
        <v>46164</v>
      </c>
      <c r="O85" s="10">
        <f t="shared" ca="1" si="9"/>
        <v>329</v>
      </c>
      <c r="P85" s="10" t="str">
        <f t="shared" ca="1" si="6"/>
        <v>181 a 365 dias</v>
      </c>
      <c r="Q85">
        <f t="shared" si="10"/>
        <v>1</v>
      </c>
      <c r="R85">
        <v>1</v>
      </c>
      <c r="S85" s="11">
        <f t="shared" si="11"/>
        <v>79.900000000000006</v>
      </c>
      <c r="T85" s="11" t="str">
        <f t="shared" si="7"/>
        <v>Detrator</v>
      </c>
      <c r="U85" s="11" t="str">
        <f t="shared" si="8"/>
        <v>Alto risco</v>
      </c>
      <c r="V85">
        <v>0</v>
      </c>
      <c r="W85">
        <v>42</v>
      </c>
      <c r="X85" s="2">
        <v>73.11</v>
      </c>
      <c r="Y85">
        <v>10</v>
      </c>
      <c r="Z85" t="s">
        <v>45</v>
      </c>
    </row>
    <row r="86" spans="1:26">
      <c r="A86" t="s">
        <v>272</v>
      </c>
      <c r="B86" t="s">
        <v>273</v>
      </c>
      <c r="C86" t="s">
        <v>140</v>
      </c>
      <c r="D86" t="s">
        <v>141</v>
      </c>
      <c r="E86">
        <v>47</v>
      </c>
      <c r="F86" t="s">
        <v>54</v>
      </c>
      <c r="G86" t="s">
        <v>41</v>
      </c>
      <c r="H86" t="s">
        <v>32</v>
      </c>
      <c r="I86" t="e">
        <f ca="1">_xludf.XLOOKUP(H86,Base_Planos!$A:$A,Base_Planos!$B:$B,"Não encontrado")</f>
        <v>#NAME?</v>
      </c>
      <c r="J86" s="2">
        <f>VLOOKUP(H86,Base_Planos!$A:$G,4,FALSE)</f>
        <v>39.9</v>
      </c>
      <c r="K86" s="4">
        <v>45161</v>
      </c>
      <c r="L86" t="s">
        <v>162</v>
      </c>
      <c r="M86" t="s">
        <v>34</v>
      </c>
      <c r="N86" s="4">
        <v>45653</v>
      </c>
      <c r="O86" s="10">
        <f t="shared" ca="1" si="9"/>
        <v>492</v>
      </c>
      <c r="P86" s="10" t="str">
        <f t="shared" ca="1" si="6"/>
        <v>Mais de 1 ano</v>
      </c>
      <c r="Q86">
        <f t="shared" si="10"/>
        <v>1</v>
      </c>
      <c r="R86">
        <v>10</v>
      </c>
      <c r="S86" s="11">
        <f t="shared" si="11"/>
        <v>39.9</v>
      </c>
      <c r="T86" s="11" t="str">
        <f t="shared" si="7"/>
        <v>Promotor</v>
      </c>
      <c r="U86" s="11" t="str">
        <f t="shared" si="8"/>
        <v>Alto risco</v>
      </c>
      <c r="V86">
        <v>1</v>
      </c>
      <c r="W86">
        <v>18</v>
      </c>
      <c r="X86" s="2">
        <v>37.22</v>
      </c>
      <c r="Y86">
        <v>16</v>
      </c>
      <c r="Z86" t="s">
        <v>35</v>
      </c>
    </row>
    <row r="87" spans="1:26">
      <c r="A87" t="s">
        <v>274</v>
      </c>
      <c r="B87" t="s">
        <v>275</v>
      </c>
      <c r="C87" t="s">
        <v>71</v>
      </c>
      <c r="D87" t="s">
        <v>72</v>
      </c>
      <c r="E87">
        <v>44</v>
      </c>
      <c r="F87" t="s">
        <v>40</v>
      </c>
      <c r="G87" t="s">
        <v>165</v>
      </c>
      <c r="H87" t="s">
        <v>112</v>
      </c>
      <c r="I87" t="e">
        <f ca="1">_xludf.XLOOKUP(H87,Base_Planos!$A:$A,Base_Planos!$B:$B,"Não encontrado")</f>
        <v>#NAME?</v>
      </c>
      <c r="J87" s="2">
        <f>VLOOKUP(H87,Base_Planos!$A:$G,4,FALSE)</f>
        <v>79.900000000000006</v>
      </c>
      <c r="K87" s="4">
        <v>45449</v>
      </c>
      <c r="L87" t="s">
        <v>145</v>
      </c>
      <c r="M87" t="s">
        <v>34</v>
      </c>
      <c r="N87" s="4">
        <v>45566</v>
      </c>
      <c r="O87" s="10">
        <f t="shared" ca="1" si="9"/>
        <v>117</v>
      </c>
      <c r="P87" s="10" t="str">
        <f t="shared" ca="1" si="6"/>
        <v>91 a 180 dias</v>
      </c>
      <c r="Q87">
        <f t="shared" si="10"/>
        <v>1</v>
      </c>
      <c r="R87">
        <v>5</v>
      </c>
      <c r="S87" s="11">
        <f t="shared" si="11"/>
        <v>79.900000000000006</v>
      </c>
      <c r="T87" s="11" t="str">
        <f t="shared" si="7"/>
        <v>Detrator</v>
      </c>
      <c r="U87" s="11" t="str">
        <f t="shared" si="8"/>
        <v>Alto risco</v>
      </c>
      <c r="V87">
        <v>0</v>
      </c>
      <c r="W87">
        <v>44</v>
      </c>
      <c r="X87" s="2">
        <v>74.819999999999993</v>
      </c>
      <c r="Y87">
        <v>3</v>
      </c>
      <c r="Z87" t="s">
        <v>35</v>
      </c>
    </row>
    <row r="88" spans="1:26">
      <c r="A88" t="s">
        <v>276</v>
      </c>
      <c r="B88" t="s">
        <v>277</v>
      </c>
      <c r="C88" t="s">
        <v>48</v>
      </c>
      <c r="D88" t="s">
        <v>29</v>
      </c>
      <c r="E88">
        <v>26</v>
      </c>
      <c r="F88" t="s">
        <v>54</v>
      </c>
      <c r="G88" t="s">
        <v>165</v>
      </c>
      <c r="H88" t="s">
        <v>61</v>
      </c>
      <c r="I88" t="e">
        <f ca="1">_xludf.XLOOKUP(H88,Base_Planos!$A:$A,Base_Planos!$B:$B,"Não encontrado")</f>
        <v>#NAME?</v>
      </c>
      <c r="J88" s="2">
        <f>VLOOKUP(H88,Base_Planos!$A:$G,4,FALSE)</f>
        <v>59.9</v>
      </c>
      <c r="K88" s="4">
        <v>45768</v>
      </c>
      <c r="L88" t="s">
        <v>222</v>
      </c>
      <c r="M88" t="s">
        <v>44</v>
      </c>
      <c r="N88" s="4"/>
      <c r="O88" s="10">
        <f t="shared" ca="1" si="9"/>
        <v>401</v>
      </c>
      <c r="P88" s="10" t="str">
        <f t="shared" ca="1" si="6"/>
        <v>Mais de 1 ano</v>
      </c>
      <c r="Q88">
        <f t="shared" si="10"/>
        <v>0</v>
      </c>
      <c r="R88">
        <v>5</v>
      </c>
      <c r="S88" s="11">
        <f t="shared" si="11"/>
        <v>0</v>
      </c>
      <c r="T88" s="11" t="str">
        <f t="shared" si="7"/>
        <v>Detrator</v>
      </c>
      <c r="U88" s="11" t="str">
        <f t="shared" si="8"/>
        <v>Alto risco</v>
      </c>
      <c r="V88">
        <v>0</v>
      </c>
      <c r="W88">
        <v>9</v>
      </c>
      <c r="X88" s="2">
        <v>51.53</v>
      </c>
      <c r="Y88">
        <v>13</v>
      </c>
      <c r="Z88" t="s">
        <v>45</v>
      </c>
    </row>
    <row r="89" spans="1:26">
      <c r="A89" t="s">
        <v>278</v>
      </c>
      <c r="B89" t="s">
        <v>52</v>
      </c>
      <c r="C89" t="s">
        <v>140</v>
      </c>
      <c r="D89" t="s">
        <v>141</v>
      </c>
      <c r="E89">
        <v>40</v>
      </c>
      <c r="F89" t="s">
        <v>30</v>
      </c>
      <c r="G89" t="s">
        <v>31</v>
      </c>
      <c r="H89" t="s">
        <v>32</v>
      </c>
      <c r="I89" t="e">
        <f ca="1">_xludf.XLOOKUP(H89,Base_Planos!$A:$A,Base_Planos!$B:$B,"Não encontrado")</f>
        <v>#NAME?</v>
      </c>
      <c r="J89" s="2">
        <f>VLOOKUP(H89,Base_Planos!$A:$G,4,FALSE)</f>
        <v>39.9</v>
      </c>
      <c r="K89" s="4">
        <v>45914</v>
      </c>
      <c r="L89" t="s">
        <v>189</v>
      </c>
      <c r="M89" t="s">
        <v>34</v>
      </c>
      <c r="N89" s="4">
        <v>46015</v>
      </c>
      <c r="O89" s="10">
        <f t="shared" ca="1" si="9"/>
        <v>101</v>
      </c>
      <c r="P89" s="10" t="str">
        <f t="shared" ca="1" si="6"/>
        <v>91 a 180 dias</v>
      </c>
      <c r="Q89">
        <f t="shared" si="10"/>
        <v>1</v>
      </c>
      <c r="R89">
        <v>3</v>
      </c>
      <c r="S89" s="11">
        <f t="shared" si="11"/>
        <v>39.9</v>
      </c>
      <c r="T89" s="11" t="str">
        <f t="shared" si="7"/>
        <v>Detrator</v>
      </c>
      <c r="U89" s="11" t="str">
        <f t="shared" si="8"/>
        <v>Alto risco</v>
      </c>
      <c r="V89">
        <v>0</v>
      </c>
      <c r="W89">
        <v>35</v>
      </c>
      <c r="X89" s="2">
        <v>40.36</v>
      </c>
      <c r="Y89">
        <v>3</v>
      </c>
      <c r="Z89" t="s">
        <v>45</v>
      </c>
    </row>
    <row r="90" spans="1:26">
      <c r="A90" t="s">
        <v>279</v>
      </c>
      <c r="B90" t="s">
        <v>280</v>
      </c>
      <c r="C90" t="s">
        <v>48</v>
      </c>
      <c r="D90" t="s">
        <v>29</v>
      </c>
      <c r="E90">
        <v>57</v>
      </c>
      <c r="F90" t="s">
        <v>40</v>
      </c>
      <c r="G90" t="s">
        <v>67</v>
      </c>
      <c r="H90" t="s">
        <v>61</v>
      </c>
      <c r="I90" t="e">
        <f ca="1">_xludf.XLOOKUP(H90,Base_Planos!$A:$A,Base_Planos!$B:$B,"Não encontrado")</f>
        <v>#NAME?</v>
      </c>
      <c r="J90" s="2">
        <f>VLOOKUP(H90,Base_Planos!$A:$G,4,FALSE)</f>
        <v>59.9</v>
      </c>
      <c r="K90" s="4">
        <v>45474</v>
      </c>
      <c r="L90" t="s">
        <v>142</v>
      </c>
      <c r="M90" t="s">
        <v>44</v>
      </c>
      <c r="N90" s="4"/>
      <c r="O90" s="10">
        <f t="shared" ca="1" si="9"/>
        <v>695</v>
      </c>
      <c r="P90" s="10" t="str">
        <f t="shared" ca="1" si="6"/>
        <v>Mais de 1 ano</v>
      </c>
      <c r="Q90">
        <f t="shared" si="10"/>
        <v>0</v>
      </c>
      <c r="R90">
        <v>0</v>
      </c>
      <c r="S90" s="11">
        <f t="shared" si="11"/>
        <v>0</v>
      </c>
      <c r="T90" s="11" t="str">
        <f t="shared" si="7"/>
        <v>Detrator</v>
      </c>
      <c r="U90" s="11" t="str">
        <f t="shared" si="8"/>
        <v>Alto risco</v>
      </c>
      <c r="V90">
        <v>0</v>
      </c>
      <c r="W90">
        <v>96</v>
      </c>
      <c r="X90" s="2">
        <v>50.99</v>
      </c>
      <c r="Y90">
        <v>23</v>
      </c>
      <c r="Z90" t="s">
        <v>35</v>
      </c>
    </row>
    <row r="91" spans="1:26">
      <c r="A91" t="s">
        <v>281</v>
      </c>
      <c r="B91" t="s">
        <v>282</v>
      </c>
      <c r="C91" t="s">
        <v>90</v>
      </c>
      <c r="D91" t="s">
        <v>29</v>
      </c>
      <c r="E91">
        <v>60</v>
      </c>
      <c r="F91" t="s">
        <v>54</v>
      </c>
      <c r="G91" t="s">
        <v>96</v>
      </c>
      <c r="H91" t="s">
        <v>82</v>
      </c>
      <c r="I91" t="e">
        <f ca="1">_xludf.XLOOKUP(H91,Base_Planos!$A:$A,Base_Planos!$B:$B,"Não encontrado")</f>
        <v>#NAME?</v>
      </c>
      <c r="J91" s="2">
        <f>VLOOKUP(H91,Base_Planos!$A:$G,4,FALSE)</f>
        <v>149.9</v>
      </c>
      <c r="K91" s="4">
        <v>44989</v>
      </c>
      <c r="L91" t="s">
        <v>68</v>
      </c>
      <c r="M91" t="s">
        <v>34</v>
      </c>
      <c r="N91" s="4">
        <v>45776</v>
      </c>
      <c r="O91" s="10">
        <f t="shared" ca="1" si="9"/>
        <v>787</v>
      </c>
      <c r="P91" s="10" t="str">
        <f t="shared" ca="1" si="6"/>
        <v>Mais de 1 ano</v>
      </c>
      <c r="Q91">
        <f t="shared" si="10"/>
        <v>1</v>
      </c>
      <c r="R91">
        <v>1</v>
      </c>
      <c r="S91" s="11">
        <f t="shared" si="11"/>
        <v>149.9</v>
      </c>
      <c r="T91" s="11" t="str">
        <f t="shared" si="7"/>
        <v>Detrator</v>
      </c>
      <c r="U91" s="11" t="str">
        <f t="shared" si="8"/>
        <v>Alto risco</v>
      </c>
      <c r="V91">
        <v>0</v>
      </c>
      <c r="W91">
        <v>37</v>
      </c>
      <c r="X91" s="2">
        <v>137.13999999999999</v>
      </c>
      <c r="Y91">
        <v>26</v>
      </c>
      <c r="Z91" t="s">
        <v>45</v>
      </c>
    </row>
    <row r="92" spans="1:26">
      <c r="A92" t="s">
        <v>283</v>
      </c>
      <c r="B92" t="s">
        <v>284</v>
      </c>
      <c r="C92" t="s">
        <v>102</v>
      </c>
      <c r="D92" t="s">
        <v>103</v>
      </c>
      <c r="E92">
        <v>21</v>
      </c>
      <c r="F92" t="s">
        <v>30</v>
      </c>
      <c r="G92" t="s">
        <v>67</v>
      </c>
      <c r="H92" t="s">
        <v>61</v>
      </c>
      <c r="I92" t="e">
        <f ca="1">_xludf.XLOOKUP(H92,Base_Planos!$A:$A,Base_Planos!$B:$B,"Não encontrado")</f>
        <v>#NAME?</v>
      </c>
      <c r="J92" s="2">
        <f>VLOOKUP(H92,Base_Planos!$A:$G,4,FALSE)</f>
        <v>59.9</v>
      </c>
      <c r="K92" s="4">
        <v>45484</v>
      </c>
      <c r="L92" t="s">
        <v>142</v>
      </c>
      <c r="M92" t="s">
        <v>44</v>
      </c>
      <c r="N92" s="4"/>
      <c r="O92" s="10">
        <f t="shared" ca="1" si="9"/>
        <v>685</v>
      </c>
      <c r="P92" s="10" t="str">
        <f t="shared" ca="1" si="6"/>
        <v>Mais de 1 ano</v>
      </c>
      <c r="Q92">
        <f t="shared" si="10"/>
        <v>0</v>
      </c>
      <c r="R92">
        <v>7</v>
      </c>
      <c r="S92" s="11">
        <f t="shared" si="11"/>
        <v>0</v>
      </c>
      <c r="T92" s="11" t="str">
        <f t="shared" si="7"/>
        <v>Neutro</v>
      </c>
      <c r="U92" s="11" t="str">
        <f t="shared" si="8"/>
        <v>Médio risco</v>
      </c>
      <c r="V92">
        <v>0</v>
      </c>
      <c r="W92">
        <v>29</v>
      </c>
      <c r="X92" s="2">
        <v>59.96</v>
      </c>
      <c r="Y92">
        <v>22</v>
      </c>
      <c r="Z92" t="s">
        <v>50</v>
      </c>
    </row>
    <row r="93" spans="1:26">
      <c r="A93" t="s">
        <v>285</v>
      </c>
      <c r="B93" t="s">
        <v>286</v>
      </c>
      <c r="C93" t="s">
        <v>71</v>
      </c>
      <c r="D93" t="s">
        <v>72</v>
      </c>
      <c r="E93">
        <v>25</v>
      </c>
      <c r="F93" t="s">
        <v>30</v>
      </c>
      <c r="G93" t="s">
        <v>104</v>
      </c>
      <c r="H93" t="s">
        <v>112</v>
      </c>
      <c r="I93" t="e">
        <f ca="1">_xludf.XLOOKUP(H93,Base_Planos!$A:$A,Base_Planos!$B:$B,"Não encontrado")</f>
        <v>#NAME?</v>
      </c>
      <c r="J93" s="2">
        <f>VLOOKUP(H93,Base_Planos!$A:$G,4,FALSE)</f>
        <v>79.900000000000006</v>
      </c>
      <c r="K93" s="4">
        <v>45558</v>
      </c>
      <c r="L93" t="s">
        <v>91</v>
      </c>
      <c r="M93" t="s">
        <v>34</v>
      </c>
      <c r="N93" s="4">
        <v>45804</v>
      </c>
      <c r="O93" s="10">
        <f t="shared" ca="1" si="9"/>
        <v>246</v>
      </c>
      <c r="P93" s="10" t="str">
        <f t="shared" ca="1" si="6"/>
        <v>181 a 365 dias</v>
      </c>
      <c r="Q93">
        <f t="shared" si="10"/>
        <v>1</v>
      </c>
      <c r="R93">
        <v>0</v>
      </c>
      <c r="S93" s="11">
        <f t="shared" si="11"/>
        <v>79.900000000000006</v>
      </c>
      <c r="T93" s="11" t="str">
        <f t="shared" si="7"/>
        <v>Detrator</v>
      </c>
      <c r="U93" s="11" t="str">
        <f t="shared" si="8"/>
        <v>Alto risco</v>
      </c>
      <c r="V93">
        <v>0</v>
      </c>
      <c r="W93">
        <v>100</v>
      </c>
      <c r="X93" s="2">
        <v>80.13</v>
      </c>
      <c r="Y93">
        <v>8</v>
      </c>
      <c r="Z93" t="s">
        <v>35</v>
      </c>
    </row>
    <row r="94" spans="1:26">
      <c r="A94" t="s">
        <v>287</v>
      </c>
      <c r="B94" t="s">
        <v>288</v>
      </c>
      <c r="C94" t="s">
        <v>102</v>
      </c>
      <c r="D94" t="s">
        <v>103</v>
      </c>
      <c r="E94">
        <v>18</v>
      </c>
      <c r="F94" t="s">
        <v>54</v>
      </c>
      <c r="G94" t="s">
        <v>41</v>
      </c>
      <c r="H94" t="s">
        <v>32</v>
      </c>
      <c r="I94" t="e">
        <f ca="1">_xludf.XLOOKUP(H94,Base_Planos!$A:$A,Base_Planos!$B:$B,"Não encontrado")</f>
        <v>#NAME?</v>
      </c>
      <c r="J94" s="2">
        <f>VLOOKUP(H94,Base_Planos!$A:$G,4,FALSE)</f>
        <v>39.9</v>
      </c>
      <c r="K94" s="4">
        <v>45705</v>
      </c>
      <c r="L94" t="s">
        <v>289</v>
      </c>
      <c r="M94" t="s">
        <v>44</v>
      </c>
      <c r="N94" s="4"/>
      <c r="O94" s="10">
        <f t="shared" ca="1" si="9"/>
        <v>464</v>
      </c>
      <c r="P94" s="10" t="str">
        <f t="shared" ca="1" si="6"/>
        <v>Mais de 1 ano</v>
      </c>
      <c r="Q94">
        <f t="shared" si="10"/>
        <v>0</v>
      </c>
      <c r="R94">
        <v>8</v>
      </c>
      <c r="S94" s="11">
        <f t="shared" si="11"/>
        <v>0</v>
      </c>
      <c r="T94" s="11" t="str">
        <f t="shared" si="7"/>
        <v>Neutro</v>
      </c>
      <c r="U94" s="11" t="str">
        <f t="shared" si="8"/>
        <v>Médio risco</v>
      </c>
      <c r="V94">
        <v>2</v>
      </c>
      <c r="W94">
        <v>25</v>
      </c>
      <c r="X94" s="2">
        <v>34.49</v>
      </c>
      <c r="Y94">
        <v>15</v>
      </c>
      <c r="Z94" t="s">
        <v>35</v>
      </c>
    </row>
    <row r="95" spans="1:26">
      <c r="A95" t="s">
        <v>290</v>
      </c>
      <c r="B95" t="s">
        <v>291</v>
      </c>
      <c r="C95" t="s">
        <v>71</v>
      </c>
      <c r="D95" t="s">
        <v>72</v>
      </c>
      <c r="E95">
        <v>19</v>
      </c>
      <c r="F95" t="s">
        <v>54</v>
      </c>
      <c r="G95" t="s">
        <v>55</v>
      </c>
      <c r="H95" t="s">
        <v>86</v>
      </c>
      <c r="I95" t="e">
        <f ca="1">_xludf.XLOOKUP(H95,Base_Planos!$A:$A,Base_Planos!$B:$B,"Não encontrado")</f>
        <v>#NAME?</v>
      </c>
      <c r="J95" s="2">
        <f>VLOOKUP(H95,Base_Planos!$A:$G,4,FALSE)</f>
        <v>119.9</v>
      </c>
      <c r="K95" s="4">
        <v>46106</v>
      </c>
      <c r="L95" t="s">
        <v>292</v>
      </c>
      <c r="M95" t="s">
        <v>34</v>
      </c>
      <c r="N95" s="4">
        <v>46137</v>
      </c>
      <c r="O95" s="10">
        <f t="shared" ca="1" si="9"/>
        <v>31</v>
      </c>
      <c r="P95" s="10" t="str">
        <f t="shared" ca="1" si="6"/>
        <v>31 a 90 dias</v>
      </c>
      <c r="Q95">
        <f t="shared" si="10"/>
        <v>1</v>
      </c>
      <c r="R95">
        <v>6</v>
      </c>
      <c r="S95" s="11">
        <f t="shared" si="11"/>
        <v>119.9</v>
      </c>
      <c r="T95" s="11" t="str">
        <f t="shared" si="7"/>
        <v>Detrator</v>
      </c>
      <c r="U95" s="11" t="str">
        <f t="shared" si="8"/>
        <v>Alto risco</v>
      </c>
      <c r="V95">
        <v>0</v>
      </c>
      <c r="W95">
        <v>37</v>
      </c>
      <c r="X95" s="2">
        <v>106.04</v>
      </c>
      <c r="Y95">
        <v>1</v>
      </c>
      <c r="Z95" t="s">
        <v>35</v>
      </c>
    </row>
    <row r="96" spans="1:26">
      <c r="A96" t="s">
        <v>293</v>
      </c>
      <c r="B96" t="s">
        <v>294</v>
      </c>
      <c r="C96" t="s">
        <v>53</v>
      </c>
      <c r="D96" t="s">
        <v>29</v>
      </c>
      <c r="E96">
        <v>62</v>
      </c>
      <c r="F96" t="s">
        <v>66</v>
      </c>
      <c r="G96" t="s">
        <v>55</v>
      </c>
      <c r="H96" t="s">
        <v>112</v>
      </c>
      <c r="I96" t="e">
        <f ca="1">_xludf.XLOOKUP(H96,Base_Planos!$A:$A,Base_Planos!$B:$B,"Não encontrado")</f>
        <v>#NAME?</v>
      </c>
      <c r="J96" s="2">
        <f>VLOOKUP(H96,Base_Planos!$A:$G,4,FALSE)</f>
        <v>79.900000000000006</v>
      </c>
      <c r="K96" s="4">
        <v>45143</v>
      </c>
      <c r="L96" t="s">
        <v>162</v>
      </c>
      <c r="M96" t="s">
        <v>44</v>
      </c>
      <c r="N96" s="4"/>
      <c r="O96" s="10">
        <f t="shared" ca="1" si="9"/>
        <v>1026</v>
      </c>
      <c r="P96" s="10" t="str">
        <f t="shared" ca="1" si="6"/>
        <v>Mais de 1 ano</v>
      </c>
      <c r="Q96">
        <f t="shared" si="10"/>
        <v>0</v>
      </c>
      <c r="R96">
        <v>3</v>
      </c>
      <c r="S96" s="11">
        <f t="shared" si="11"/>
        <v>0</v>
      </c>
      <c r="T96" s="11" t="str">
        <f t="shared" si="7"/>
        <v>Detrator</v>
      </c>
      <c r="U96" s="11" t="str">
        <f t="shared" si="8"/>
        <v>Alto risco</v>
      </c>
      <c r="V96">
        <v>0</v>
      </c>
      <c r="W96">
        <v>68</v>
      </c>
      <c r="X96" s="2">
        <v>79.83</v>
      </c>
      <c r="Y96">
        <v>34</v>
      </c>
      <c r="Z96" t="s">
        <v>35</v>
      </c>
    </row>
    <row r="97" spans="1:26">
      <c r="A97" t="s">
        <v>295</v>
      </c>
      <c r="B97" t="s">
        <v>296</v>
      </c>
      <c r="C97" t="s">
        <v>48</v>
      </c>
      <c r="D97" t="s">
        <v>29</v>
      </c>
      <c r="E97">
        <v>28</v>
      </c>
      <c r="F97" t="s">
        <v>30</v>
      </c>
      <c r="G97" t="s">
        <v>55</v>
      </c>
      <c r="H97" t="s">
        <v>112</v>
      </c>
      <c r="I97" t="e">
        <f ca="1">_xludf.XLOOKUP(H97,Base_Planos!$A:$A,Base_Planos!$B:$B,"Não encontrado")</f>
        <v>#NAME?</v>
      </c>
      <c r="J97" s="2">
        <f>VLOOKUP(H97,Base_Planos!$A:$G,4,FALSE)</f>
        <v>79.900000000000006</v>
      </c>
      <c r="K97" s="4">
        <v>45324</v>
      </c>
      <c r="L97" t="s">
        <v>297</v>
      </c>
      <c r="M97" t="s">
        <v>34</v>
      </c>
      <c r="N97" s="4">
        <v>45459</v>
      </c>
      <c r="O97" s="10">
        <f t="shared" ca="1" si="9"/>
        <v>135</v>
      </c>
      <c r="P97" s="10" t="str">
        <f t="shared" ca="1" si="6"/>
        <v>91 a 180 dias</v>
      </c>
      <c r="Q97">
        <f t="shared" si="10"/>
        <v>1</v>
      </c>
      <c r="R97">
        <v>5</v>
      </c>
      <c r="S97" s="11">
        <f t="shared" si="11"/>
        <v>79.900000000000006</v>
      </c>
      <c r="T97" s="11" t="str">
        <f t="shared" si="7"/>
        <v>Detrator</v>
      </c>
      <c r="U97" s="11" t="str">
        <f t="shared" si="8"/>
        <v>Alto risco</v>
      </c>
      <c r="V97">
        <v>1</v>
      </c>
      <c r="W97">
        <v>100</v>
      </c>
      <c r="X97" s="2">
        <v>72.010000000000005</v>
      </c>
      <c r="Y97">
        <v>4</v>
      </c>
      <c r="Z97" t="s">
        <v>50</v>
      </c>
    </row>
    <row r="98" spans="1:26">
      <c r="A98" t="s">
        <v>298</v>
      </c>
      <c r="B98" t="s">
        <v>299</v>
      </c>
      <c r="C98" t="s">
        <v>94</v>
      </c>
      <c r="D98" t="s">
        <v>95</v>
      </c>
      <c r="E98">
        <v>59</v>
      </c>
      <c r="F98" t="s">
        <v>30</v>
      </c>
      <c r="G98" t="s">
        <v>104</v>
      </c>
      <c r="H98" t="s">
        <v>112</v>
      </c>
      <c r="I98" t="e">
        <f ca="1">_xludf.XLOOKUP(H98,Base_Planos!$A:$A,Base_Planos!$B:$B,"Não encontrado")</f>
        <v>#NAME?</v>
      </c>
      <c r="J98" s="2">
        <f>VLOOKUP(H98,Base_Planos!$A:$G,4,FALSE)</f>
        <v>79.900000000000006</v>
      </c>
      <c r="K98" s="4">
        <v>46081</v>
      </c>
      <c r="L98" t="s">
        <v>74</v>
      </c>
      <c r="M98" t="s">
        <v>44</v>
      </c>
      <c r="N98" s="4"/>
      <c r="O98" s="10">
        <f t="shared" ca="1" si="9"/>
        <v>88</v>
      </c>
      <c r="P98" s="10" t="str">
        <f t="shared" ca="1" si="6"/>
        <v>31 a 90 dias</v>
      </c>
      <c r="Q98">
        <f t="shared" si="10"/>
        <v>0</v>
      </c>
      <c r="R98">
        <v>9</v>
      </c>
      <c r="S98" s="11">
        <f t="shared" si="11"/>
        <v>0</v>
      </c>
      <c r="T98" s="11" t="str">
        <f t="shared" si="7"/>
        <v>Promotor</v>
      </c>
      <c r="U98" s="11" t="str">
        <f t="shared" si="8"/>
        <v>Baixo risco</v>
      </c>
      <c r="V98">
        <v>0</v>
      </c>
      <c r="W98">
        <v>77</v>
      </c>
      <c r="X98" s="2">
        <v>77.89</v>
      </c>
      <c r="Y98">
        <v>2</v>
      </c>
      <c r="Z98" t="s">
        <v>50</v>
      </c>
    </row>
    <row r="99" spans="1:26">
      <c r="A99" t="s">
        <v>300</v>
      </c>
      <c r="B99" t="s">
        <v>101</v>
      </c>
      <c r="C99" t="s">
        <v>94</v>
      </c>
      <c r="D99" t="s">
        <v>95</v>
      </c>
      <c r="E99">
        <v>46</v>
      </c>
      <c r="F99" t="s">
        <v>30</v>
      </c>
      <c r="G99" t="s">
        <v>104</v>
      </c>
      <c r="H99" t="s">
        <v>61</v>
      </c>
      <c r="I99" t="e">
        <f ca="1">_xludf.XLOOKUP(H99,Base_Planos!$A:$A,Base_Planos!$B:$B,"Não encontrado")</f>
        <v>#NAME?</v>
      </c>
      <c r="J99" s="2">
        <f>VLOOKUP(H99,Base_Planos!$A:$G,4,FALSE)</f>
        <v>59.9</v>
      </c>
      <c r="K99" s="4">
        <v>45489</v>
      </c>
      <c r="L99" t="s">
        <v>142</v>
      </c>
      <c r="M99" t="s">
        <v>44</v>
      </c>
      <c r="N99" s="4"/>
      <c r="O99" s="10">
        <f t="shared" ca="1" si="9"/>
        <v>680</v>
      </c>
      <c r="P99" s="10" t="str">
        <f t="shared" ca="1" si="6"/>
        <v>Mais de 1 ano</v>
      </c>
      <c r="Q99">
        <f t="shared" si="10"/>
        <v>0</v>
      </c>
      <c r="R99">
        <v>9</v>
      </c>
      <c r="S99" s="11">
        <f t="shared" si="11"/>
        <v>0</v>
      </c>
      <c r="T99" s="11" t="str">
        <f t="shared" si="7"/>
        <v>Promotor</v>
      </c>
      <c r="U99" s="11" t="str">
        <f t="shared" si="8"/>
        <v>Baixo risco</v>
      </c>
      <c r="V99">
        <v>0</v>
      </c>
      <c r="W99">
        <v>68</v>
      </c>
      <c r="X99" s="2">
        <v>51.6</v>
      </c>
      <c r="Y99">
        <v>22</v>
      </c>
      <c r="Z99" t="s">
        <v>50</v>
      </c>
    </row>
    <row r="100" spans="1:26">
      <c r="A100" t="s">
        <v>301</v>
      </c>
      <c r="B100" t="s">
        <v>302</v>
      </c>
      <c r="C100" t="s">
        <v>102</v>
      </c>
      <c r="D100" t="s">
        <v>103</v>
      </c>
      <c r="E100">
        <v>59</v>
      </c>
      <c r="F100" t="s">
        <v>66</v>
      </c>
      <c r="G100" t="s">
        <v>55</v>
      </c>
      <c r="H100" t="s">
        <v>61</v>
      </c>
      <c r="I100" t="e">
        <f ca="1">_xludf.XLOOKUP(H100,Base_Planos!$A:$A,Base_Planos!$B:$B,"Não encontrado")</f>
        <v>#NAME?</v>
      </c>
      <c r="J100" s="2">
        <f>VLOOKUP(H100,Base_Planos!$A:$G,4,FALSE)</f>
        <v>59.9</v>
      </c>
      <c r="K100" s="4">
        <v>45965</v>
      </c>
      <c r="L100" t="s">
        <v>87</v>
      </c>
      <c r="M100" t="s">
        <v>44</v>
      </c>
      <c r="N100" s="4"/>
      <c r="O100" s="10">
        <f t="shared" ca="1" si="9"/>
        <v>204</v>
      </c>
      <c r="P100" s="10" t="str">
        <f t="shared" ca="1" si="6"/>
        <v>181 a 365 dias</v>
      </c>
      <c r="Q100">
        <f t="shared" si="10"/>
        <v>0</v>
      </c>
      <c r="R100">
        <v>6</v>
      </c>
      <c r="S100" s="11">
        <f t="shared" si="11"/>
        <v>0</v>
      </c>
      <c r="T100" s="11" t="str">
        <f t="shared" si="7"/>
        <v>Detrator</v>
      </c>
      <c r="U100" s="11" t="str">
        <f t="shared" si="8"/>
        <v>Alto risco</v>
      </c>
      <c r="V100">
        <v>1</v>
      </c>
      <c r="W100">
        <v>65</v>
      </c>
      <c r="X100" s="2">
        <v>56.3</v>
      </c>
      <c r="Y100">
        <v>6</v>
      </c>
      <c r="Z100" t="s">
        <v>50</v>
      </c>
    </row>
    <row r="101" spans="1:26">
      <c r="A101" t="s">
        <v>303</v>
      </c>
      <c r="B101" t="s">
        <v>304</v>
      </c>
      <c r="C101" t="s">
        <v>65</v>
      </c>
      <c r="D101" t="s">
        <v>29</v>
      </c>
      <c r="E101">
        <v>30</v>
      </c>
      <c r="F101" t="s">
        <v>30</v>
      </c>
      <c r="G101" t="s">
        <v>104</v>
      </c>
      <c r="H101" t="s">
        <v>112</v>
      </c>
      <c r="I101" t="e">
        <f ca="1">_xludf.XLOOKUP(H101,Base_Planos!$A:$A,Base_Planos!$B:$B,"Não encontrado")</f>
        <v>#NAME?</v>
      </c>
      <c r="J101" s="2">
        <f>VLOOKUP(H101,Base_Planos!$A:$G,4,FALSE)</f>
        <v>79.900000000000006</v>
      </c>
      <c r="K101" s="4">
        <v>45053</v>
      </c>
      <c r="L101" t="s">
        <v>115</v>
      </c>
      <c r="M101" t="s">
        <v>44</v>
      </c>
      <c r="N101" s="4"/>
      <c r="O101" s="10">
        <f t="shared" ca="1" si="9"/>
        <v>1116</v>
      </c>
      <c r="P101" s="10" t="str">
        <f t="shared" ca="1" si="6"/>
        <v>Mais de 1 ano</v>
      </c>
      <c r="Q101">
        <f t="shared" si="10"/>
        <v>0</v>
      </c>
      <c r="R101">
        <v>7</v>
      </c>
      <c r="S101" s="11">
        <f t="shared" si="11"/>
        <v>0</v>
      </c>
      <c r="T101" s="11" t="str">
        <f t="shared" si="7"/>
        <v>Neutro</v>
      </c>
      <c r="U101" s="11" t="str">
        <f t="shared" si="8"/>
        <v>Médio risco</v>
      </c>
      <c r="V101">
        <v>0</v>
      </c>
      <c r="W101">
        <v>93</v>
      </c>
      <c r="X101" s="2">
        <v>75.98</v>
      </c>
      <c r="Y101">
        <v>37</v>
      </c>
      <c r="Z101" t="s">
        <v>50</v>
      </c>
    </row>
    <row r="102" spans="1:26">
      <c r="A102" t="s">
        <v>305</v>
      </c>
      <c r="B102" t="s">
        <v>306</v>
      </c>
      <c r="C102" t="s">
        <v>59</v>
      </c>
      <c r="D102" t="s">
        <v>60</v>
      </c>
      <c r="E102">
        <v>63</v>
      </c>
      <c r="F102" t="s">
        <v>54</v>
      </c>
      <c r="G102" t="s">
        <v>104</v>
      </c>
      <c r="H102" t="s">
        <v>112</v>
      </c>
      <c r="I102" t="e">
        <f ca="1">_xludf.XLOOKUP(H102,Base_Planos!$A:$A,Base_Planos!$B:$B,"Não encontrado")</f>
        <v>#NAME?</v>
      </c>
      <c r="J102" s="2">
        <f>VLOOKUP(H102,Base_Planos!$A:$G,4,FALSE)</f>
        <v>79.900000000000006</v>
      </c>
      <c r="K102" s="4">
        <v>45252</v>
      </c>
      <c r="L102" t="s">
        <v>79</v>
      </c>
      <c r="M102" t="s">
        <v>44</v>
      </c>
      <c r="N102" s="4"/>
      <c r="O102" s="10">
        <f t="shared" ca="1" si="9"/>
        <v>917</v>
      </c>
      <c r="P102" s="10" t="str">
        <f t="shared" ca="1" si="6"/>
        <v>Mais de 1 ano</v>
      </c>
      <c r="Q102">
        <f t="shared" si="10"/>
        <v>0</v>
      </c>
      <c r="R102">
        <v>5</v>
      </c>
      <c r="S102" s="11">
        <f t="shared" si="11"/>
        <v>0</v>
      </c>
      <c r="T102" s="11" t="str">
        <f t="shared" si="7"/>
        <v>Detrator</v>
      </c>
      <c r="U102" s="11" t="str">
        <f t="shared" si="8"/>
        <v>Alto risco</v>
      </c>
      <c r="V102">
        <v>0</v>
      </c>
      <c r="W102">
        <v>73</v>
      </c>
      <c r="X102" s="2">
        <v>77.47</v>
      </c>
      <c r="Y102">
        <v>30</v>
      </c>
      <c r="Z102" t="s">
        <v>50</v>
      </c>
    </row>
    <row r="103" spans="1:26">
      <c r="A103" t="s">
        <v>307</v>
      </c>
      <c r="B103" t="s">
        <v>308</v>
      </c>
      <c r="C103" t="s">
        <v>102</v>
      </c>
      <c r="D103" t="s">
        <v>103</v>
      </c>
      <c r="E103">
        <v>39</v>
      </c>
      <c r="F103" t="s">
        <v>30</v>
      </c>
      <c r="G103" t="s">
        <v>41</v>
      </c>
      <c r="H103" t="s">
        <v>42</v>
      </c>
      <c r="I103" t="e">
        <f ca="1">_xludf.XLOOKUP(H103,Base_Planos!$A:$A,Base_Planos!$B:$B,"Não encontrado")</f>
        <v>#NAME?</v>
      </c>
      <c r="J103" s="2">
        <f>VLOOKUP(H103,Base_Planos!$A:$G,4,FALSE)</f>
        <v>29.9</v>
      </c>
      <c r="K103" s="4">
        <v>45234</v>
      </c>
      <c r="L103" t="s">
        <v>79</v>
      </c>
      <c r="M103" t="s">
        <v>34</v>
      </c>
      <c r="N103" s="4">
        <v>45935</v>
      </c>
      <c r="O103" s="10">
        <f t="shared" ca="1" si="9"/>
        <v>701</v>
      </c>
      <c r="P103" s="10" t="str">
        <f t="shared" ca="1" si="6"/>
        <v>Mais de 1 ano</v>
      </c>
      <c r="Q103">
        <f t="shared" si="10"/>
        <v>1</v>
      </c>
      <c r="R103">
        <v>5</v>
      </c>
      <c r="S103" s="11">
        <f t="shared" si="11"/>
        <v>29.9</v>
      </c>
      <c r="T103" s="11" t="str">
        <f t="shared" si="7"/>
        <v>Detrator</v>
      </c>
      <c r="U103" s="11" t="str">
        <f t="shared" si="8"/>
        <v>Alto risco</v>
      </c>
      <c r="V103">
        <v>3</v>
      </c>
      <c r="W103">
        <v>77</v>
      </c>
      <c r="X103" s="2">
        <v>26.19</v>
      </c>
      <c r="Y103">
        <v>23</v>
      </c>
      <c r="Z103" t="s">
        <v>45</v>
      </c>
    </row>
    <row r="104" spans="1:26">
      <c r="A104" t="s">
        <v>309</v>
      </c>
      <c r="B104" t="s">
        <v>310</v>
      </c>
      <c r="C104" t="s">
        <v>140</v>
      </c>
      <c r="D104" t="s">
        <v>141</v>
      </c>
      <c r="E104">
        <v>53</v>
      </c>
      <c r="F104" t="s">
        <v>54</v>
      </c>
      <c r="G104" t="s">
        <v>165</v>
      </c>
      <c r="H104" t="s">
        <v>82</v>
      </c>
      <c r="I104" t="e">
        <f ca="1">_xludf.XLOOKUP(H104,Base_Planos!$A:$A,Base_Planos!$B:$B,"Não encontrado")</f>
        <v>#NAME?</v>
      </c>
      <c r="J104" s="2">
        <f>VLOOKUP(H104,Base_Planos!$A:$G,4,FALSE)</f>
        <v>149.9</v>
      </c>
      <c r="K104" s="4">
        <v>46005</v>
      </c>
      <c r="L104" t="s">
        <v>170</v>
      </c>
      <c r="M104" t="s">
        <v>34</v>
      </c>
      <c r="N104" s="4">
        <v>46081</v>
      </c>
      <c r="O104" s="10">
        <f t="shared" ca="1" si="9"/>
        <v>76</v>
      </c>
      <c r="P104" s="10" t="str">
        <f t="shared" ca="1" si="6"/>
        <v>31 a 90 dias</v>
      </c>
      <c r="Q104">
        <f t="shared" si="10"/>
        <v>1</v>
      </c>
      <c r="R104">
        <v>1</v>
      </c>
      <c r="S104" s="11">
        <f t="shared" si="11"/>
        <v>149.9</v>
      </c>
      <c r="T104" s="11" t="str">
        <f t="shared" si="7"/>
        <v>Detrator</v>
      </c>
      <c r="U104" s="11" t="str">
        <f t="shared" si="8"/>
        <v>Alto risco</v>
      </c>
      <c r="V104">
        <v>0</v>
      </c>
      <c r="W104">
        <v>33</v>
      </c>
      <c r="X104" s="2">
        <v>137.66</v>
      </c>
      <c r="Y104">
        <v>2</v>
      </c>
      <c r="Z104" t="s">
        <v>35</v>
      </c>
    </row>
    <row r="105" spans="1:26">
      <c r="A105" t="s">
        <v>311</v>
      </c>
      <c r="B105" t="s">
        <v>312</v>
      </c>
      <c r="C105" t="s">
        <v>59</v>
      </c>
      <c r="D105" t="s">
        <v>60</v>
      </c>
      <c r="E105">
        <v>32</v>
      </c>
      <c r="F105" t="s">
        <v>201</v>
      </c>
      <c r="G105" t="s">
        <v>96</v>
      </c>
      <c r="H105" t="s">
        <v>32</v>
      </c>
      <c r="I105" t="e">
        <f ca="1">_xludf.XLOOKUP(H105,Base_Planos!$A:$A,Base_Planos!$B:$B,"Não encontrado")</f>
        <v>#NAME?</v>
      </c>
      <c r="J105" s="2">
        <f>VLOOKUP(H105,Base_Planos!$A:$G,4,FALSE)</f>
        <v>39.9</v>
      </c>
      <c r="K105" s="4">
        <v>45134</v>
      </c>
      <c r="L105" t="s">
        <v>33</v>
      </c>
      <c r="M105" t="s">
        <v>34</v>
      </c>
      <c r="N105" s="4">
        <v>45508</v>
      </c>
      <c r="O105" s="10">
        <f t="shared" ca="1" si="9"/>
        <v>374</v>
      </c>
      <c r="P105" s="10" t="str">
        <f t="shared" ca="1" si="6"/>
        <v>Mais de 1 ano</v>
      </c>
      <c r="Q105">
        <f t="shared" si="10"/>
        <v>1</v>
      </c>
      <c r="R105">
        <v>8</v>
      </c>
      <c r="S105" s="11">
        <f t="shared" si="11"/>
        <v>39.9</v>
      </c>
      <c r="T105" s="11" t="str">
        <f t="shared" si="7"/>
        <v>Neutro</v>
      </c>
      <c r="U105" s="11" t="str">
        <f t="shared" si="8"/>
        <v>Alto risco</v>
      </c>
      <c r="V105">
        <v>2</v>
      </c>
      <c r="W105">
        <v>4</v>
      </c>
      <c r="X105" s="2">
        <v>38.85</v>
      </c>
      <c r="Y105">
        <v>12</v>
      </c>
      <c r="Z105" t="s">
        <v>35</v>
      </c>
    </row>
    <row r="106" spans="1:26">
      <c r="A106" t="s">
        <v>313</v>
      </c>
      <c r="B106" t="s">
        <v>314</v>
      </c>
      <c r="C106" t="s">
        <v>94</v>
      </c>
      <c r="D106" t="s">
        <v>95</v>
      </c>
      <c r="E106">
        <v>28</v>
      </c>
      <c r="F106" t="s">
        <v>30</v>
      </c>
      <c r="G106" t="s">
        <v>96</v>
      </c>
      <c r="H106" t="s">
        <v>82</v>
      </c>
      <c r="I106" t="e">
        <f ca="1">_xludf.XLOOKUP(H106,Base_Planos!$A:$A,Base_Planos!$B:$B,"Não encontrado")</f>
        <v>#NAME?</v>
      </c>
      <c r="J106" s="2">
        <f>VLOOKUP(H106,Base_Planos!$A:$G,4,FALSE)</f>
        <v>149.9</v>
      </c>
      <c r="K106" s="4">
        <v>45016</v>
      </c>
      <c r="L106" t="s">
        <v>68</v>
      </c>
      <c r="M106" t="s">
        <v>44</v>
      </c>
      <c r="N106" s="4"/>
      <c r="O106" s="10">
        <f t="shared" ca="1" si="9"/>
        <v>1153</v>
      </c>
      <c r="P106" s="10" t="str">
        <f t="shared" ca="1" si="6"/>
        <v>Mais de 1 ano</v>
      </c>
      <c r="Q106">
        <f t="shared" si="10"/>
        <v>0</v>
      </c>
      <c r="R106">
        <v>6</v>
      </c>
      <c r="S106" s="11">
        <f t="shared" si="11"/>
        <v>0</v>
      </c>
      <c r="T106" s="11" t="str">
        <f t="shared" si="7"/>
        <v>Detrator</v>
      </c>
      <c r="U106" s="11" t="str">
        <f t="shared" si="8"/>
        <v>Alto risco</v>
      </c>
      <c r="V106">
        <v>3</v>
      </c>
      <c r="W106">
        <v>90</v>
      </c>
      <c r="X106" s="2">
        <v>149.97</v>
      </c>
      <c r="Y106">
        <v>38</v>
      </c>
      <c r="Z106" t="s">
        <v>35</v>
      </c>
    </row>
    <row r="107" spans="1:26">
      <c r="A107" t="s">
        <v>315</v>
      </c>
      <c r="B107" t="s">
        <v>316</v>
      </c>
      <c r="C107" t="s">
        <v>59</v>
      </c>
      <c r="D107" t="s">
        <v>60</v>
      </c>
      <c r="E107">
        <v>52</v>
      </c>
      <c r="F107" t="s">
        <v>30</v>
      </c>
      <c r="G107" t="s">
        <v>104</v>
      </c>
      <c r="H107" t="s">
        <v>86</v>
      </c>
      <c r="I107" t="e">
        <f ca="1">_xludf.XLOOKUP(H107,Base_Planos!$A:$A,Base_Planos!$B:$B,"Não encontrado")</f>
        <v>#NAME?</v>
      </c>
      <c r="J107" s="2">
        <f>VLOOKUP(H107,Base_Planos!$A:$G,4,FALSE)</f>
        <v>119.9</v>
      </c>
      <c r="K107" s="4">
        <v>45324</v>
      </c>
      <c r="L107" t="s">
        <v>297</v>
      </c>
      <c r="M107" t="s">
        <v>44</v>
      </c>
      <c r="N107" s="4"/>
      <c r="O107" s="10">
        <f t="shared" ca="1" si="9"/>
        <v>845</v>
      </c>
      <c r="P107" s="10" t="str">
        <f t="shared" ca="1" si="6"/>
        <v>Mais de 1 ano</v>
      </c>
      <c r="Q107">
        <f t="shared" si="10"/>
        <v>0</v>
      </c>
      <c r="R107">
        <v>5</v>
      </c>
      <c r="S107" s="11">
        <f t="shared" si="11"/>
        <v>0</v>
      </c>
      <c r="T107" s="11" t="str">
        <f t="shared" si="7"/>
        <v>Detrator</v>
      </c>
      <c r="U107" s="11" t="str">
        <f t="shared" si="8"/>
        <v>Alto risco</v>
      </c>
      <c r="V107">
        <v>0</v>
      </c>
      <c r="W107">
        <v>24</v>
      </c>
      <c r="X107" s="2">
        <v>120.57</v>
      </c>
      <c r="Y107">
        <v>28</v>
      </c>
      <c r="Z107" t="s">
        <v>35</v>
      </c>
    </row>
    <row r="108" spans="1:26">
      <c r="A108" t="s">
        <v>317</v>
      </c>
      <c r="B108" t="s">
        <v>318</v>
      </c>
      <c r="C108" t="s">
        <v>71</v>
      </c>
      <c r="D108" t="s">
        <v>72</v>
      </c>
      <c r="E108">
        <v>28</v>
      </c>
      <c r="F108" t="s">
        <v>40</v>
      </c>
      <c r="G108" t="s">
        <v>96</v>
      </c>
      <c r="H108" t="s">
        <v>86</v>
      </c>
      <c r="I108" t="e">
        <f ca="1">_xludf.XLOOKUP(H108,Base_Planos!$A:$A,Base_Planos!$B:$B,"Não encontrado")</f>
        <v>#NAME?</v>
      </c>
      <c r="J108" s="2">
        <f>VLOOKUP(H108,Base_Planos!$A:$G,4,FALSE)</f>
        <v>119.9</v>
      </c>
      <c r="K108" s="4">
        <v>45033</v>
      </c>
      <c r="L108" t="s">
        <v>118</v>
      </c>
      <c r="M108" t="s">
        <v>44</v>
      </c>
      <c r="N108" s="4"/>
      <c r="O108" s="10">
        <f t="shared" ca="1" si="9"/>
        <v>1136</v>
      </c>
      <c r="P108" s="10" t="str">
        <f t="shared" ca="1" si="6"/>
        <v>Mais de 1 ano</v>
      </c>
      <c r="Q108">
        <f>IF(M108="Cancelado",1,0)</f>
        <v>0</v>
      </c>
      <c r="R108">
        <v>10</v>
      </c>
      <c r="S108" s="11">
        <f t="shared" si="11"/>
        <v>0</v>
      </c>
      <c r="T108" s="11" t="str">
        <f t="shared" si="7"/>
        <v>Promotor</v>
      </c>
      <c r="U108" s="11" t="str">
        <f t="shared" si="8"/>
        <v>Baixo risco</v>
      </c>
      <c r="V108">
        <v>3</v>
      </c>
      <c r="W108">
        <v>60</v>
      </c>
      <c r="X108" s="2">
        <v>114.29</v>
      </c>
      <c r="Y108">
        <v>37</v>
      </c>
      <c r="Z108" t="s">
        <v>50</v>
      </c>
    </row>
    <row r="109" spans="1:26">
      <c r="A109" t="s">
        <v>319</v>
      </c>
      <c r="B109" t="s">
        <v>320</v>
      </c>
      <c r="C109" t="s">
        <v>102</v>
      </c>
      <c r="D109" t="s">
        <v>103</v>
      </c>
      <c r="E109">
        <v>28</v>
      </c>
      <c r="F109" t="s">
        <v>30</v>
      </c>
      <c r="G109" t="s">
        <v>96</v>
      </c>
      <c r="H109" t="s">
        <v>82</v>
      </c>
      <c r="I109" t="e">
        <f ca="1">_xludf.XLOOKUP(H109,Base_Planos!$A:$A,Base_Planos!$B:$B,"Não encontrado")</f>
        <v>#NAME?</v>
      </c>
      <c r="J109" s="2">
        <f>VLOOKUP(H109,Base_Planos!$A:$G,4,FALSE)</f>
        <v>149.9</v>
      </c>
      <c r="K109" s="4">
        <v>45114</v>
      </c>
      <c r="L109" t="s">
        <v>33</v>
      </c>
      <c r="M109" t="s">
        <v>34</v>
      </c>
      <c r="N109" s="4">
        <v>45955</v>
      </c>
      <c r="O109" s="10">
        <f t="shared" ca="1" si="9"/>
        <v>841</v>
      </c>
      <c r="P109" s="10" t="str">
        <f t="shared" ca="1" si="6"/>
        <v>Mais de 1 ano</v>
      </c>
      <c r="Q109">
        <f t="shared" ref="Q109:Q172" si="12">IF(M109="Cancelado",1,0)</f>
        <v>1</v>
      </c>
      <c r="R109">
        <v>3</v>
      </c>
      <c r="S109" s="11">
        <f t="shared" si="11"/>
        <v>149.9</v>
      </c>
      <c r="T109" s="11" t="str">
        <f t="shared" si="7"/>
        <v>Detrator</v>
      </c>
      <c r="U109" s="11" t="str">
        <f t="shared" si="8"/>
        <v>Alto risco</v>
      </c>
      <c r="V109">
        <v>3</v>
      </c>
      <c r="W109">
        <v>3</v>
      </c>
      <c r="X109" s="2">
        <v>134.47999999999999</v>
      </c>
      <c r="Y109">
        <v>28</v>
      </c>
      <c r="Z109" t="s">
        <v>45</v>
      </c>
    </row>
    <row r="110" spans="1:26">
      <c r="A110" t="s">
        <v>321</v>
      </c>
      <c r="B110" t="s">
        <v>322</v>
      </c>
      <c r="C110" t="s">
        <v>59</v>
      </c>
      <c r="D110" t="s">
        <v>60</v>
      </c>
      <c r="E110">
        <v>19</v>
      </c>
      <c r="F110" t="s">
        <v>30</v>
      </c>
      <c r="G110" t="s">
        <v>55</v>
      </c>
      <c r="H110" t="s">
        <v>82</v>
      </c>
      <c r="I110" t="e">
        <f ca="1">_xludf.XLOOKUP(H110,Base_Planos!$A:$A,Base_Planos!$B:$B,"Não encontrado")</f>
        <v>#NAME?</v>
      </c>
      <c r="J110" s="2">
        <f>VLOOKUP(H110,Base_Planos!$A:$G,4,FALSE)</f>
        <v>149.9</v>
      </c>
      <c r="K110" s="4">
        <v>45613</v>
      </c>
      <c r="L110" t="s">
        <v>83</v>
      </c>
      <c r="M110" t="s">
        <v>44</v>
      </c>
      <c r="N110" s="4"/>
      <c r="O110" s="10">
        <f t="shared" ca="1" si="9"/>
        <v>556</v>
      </c>
      <c r="P110" s="10" t="str">
        <f t="shared" ca="1" si="6"/>
        <v>Mais de 1 ano</v>
      </c>
      <c r="Q110">
        <f t="shared" si="12"/>
        <v>0</v>
      </c>
      <c r="R110">
        <v>2</v>
      </c>
      <c r="S110" s="11">
        <f t="shared" si="11"/>
        <v>0</v>
      </c>
      <c r="T110" s="11" t="str">
        <f t="shared" si="7"/>
        <v>Detrator</v>
      </c>
      <c r="U110" s="11" t="str">
        <f t="shared" si="8"/>
        <v>Alto risco</v>
      </c>
      <c r="V110">
        <v>2</v>
      </c>
      <c r="W110">
        <v>74</v>
      </c>
      <c r="X110" s="2">
        <v>131.58000000000001</v>
      </c>
      <c r="Y110">
        <v>18</v>
      </c>
      <c r="Z110" t="s">
        <v>45</v>
      </c>
    </row>
    <row r="111" spans="1:26">
      <c r="A111" t="s">
        <v>323</v>
      </c>
      <c r="B111" t="s">
        <v>324</v>
      </c>
      <c r="C111" t="s">
        <v>77</v>
      </c>
      <c r="D111" t="s">
        <v>78</v>
      </c>
      <c r="E111">
        <v>57</v>
      </c>
      <c r="F111" t="s">
        <v>30</v>
      </c>
      <c r="G111" t="s">
        <v>55</v>
      </c>
      <c r="H111" t="s">
        <v>32</v>
      </c>
      <c r="I111" t="e">
        <f ca="1">_xludf.XLOOKUP(H111,Base_Planos!$A:$A,Base_Planos!$B:$B,"Não encontrado")</f>
        <v>#NAME?</v>
      </c>
      <c r="J111" s="2">
        <f>VLOOKUP(H111,Base_Planos!$A:$G,4,FALSE)</f>
        <v>39.9</v>
      </c>
      <c r="K111" s="4">
        <v>45368</v>
      </c>
      <c r="L111" t="s">
        <v>126</v>
      </c>
      <c r="M111" t="s">
        <v>34</v>
      </c>
      <c r="N111" s="4">
        <v>45693</v>
      </c>
      <c r="O111" s="10">
        <f t="shared" ca="1" si="9"/>
        <v>325</v>
      </c>
      <c r="P111" s="10" t="str">
        <f t="shared" ca="1" si="6"/>
        <v>181 a 365 dias</v>
      </c>
      <c r="Q111">
        <f t="shared" si="12"/>
        <v>1</v>
      </c>
      <c r="R111">
        <v>2</v>
      </c>
      <c r="S111" s="11">
        <f t="shared" si="11"/>
        <v>39.9</v>
      </c>
      <c r="T111" s="11" t="str">
        <f t="shared" si="7"/>
        <v>Detrator</v>
      </c>
      <c r="U111" s="11" t="str">
        <f t="shared" si="8"/>
        <v>Alto risco</v>
      </c>
      <c r="V111">
        <v>0</v>
      </c>
      <c r="W111">
        <v>43</v>
      </c>
      <c r="X111" s="2">
        <v>34.89</v>
      </c>
      <c r="Y111">
        <v>10</v>
      </c>
      <c r="Z111" t="s">
        <v>35</v>
      </c>
    </row>
    <row r="112" spans="1:26">
      <c r="A112" t="s">
        <v>325</v>
      </c>
      <c r="B112" t="s">
        <v>236</v>
      </c>
      <c r="C112" t="s">
        <v>65</v>
      </c>
      <c r="D112" t="s">
        <v>29</v>
      </c>
      <c r="E112">
        <v>57</v>
      </c>
      <c r="F112" t="s">
        <v>54</v>
      </c>
      <c r="G112" t="s">
        <v>55</v>
      </c>
      <c r="H112" t="s">
        <v>82</v>
      </c>
      <c r="I112" t="e">
        <f ca="1">_xludf.XLOOKUP(H112,Base_Planos!$A:$A,Base_Planos!$B:$B,"Não encontrado")</f>
        <v>#NAME?</v>
      </c>
      <c r="J112" s="2">
        <f>VLOOKUP(H112,Base_Planos!$A:$G,4,FALSE)</f>
        <v>149.9</v>
      </c>
      <c r="K112" s="4">
        <v>45950</v>
      </c>
      <c r="L112" t="s">
        <v>196</v>
      </c>
      <c r="M112" t="s">
        <v>44</v>
      </c>
      <c r="N112" s="4"/>
      <c r="O112" s="10">
        <f t="shared" ca="1" si="9"/>
        <v>219</v>
      </c>
      <c r="P112" s="10" t="str">
        <f t="shared" ca="1" si="6"/>
        <v>181 a 365 dias</v>
      </c>
      <c r="Q112">
        <f t="shared" si="12"/>
        <v>0</v>
      </c>
      <c r="R112">
        <v>9</v>
      </c>
      <c r="S112" s="11">
        <f t="shared" si="11"/>
        <v>0</v>
      </c>
      <c r="T112" s="11" t="str">
        <f t="shared" si="7"/>
        <v>Promotor</v>
      </c>
      <c r="U112" s="11" t="str">
        <f t="shared" si="8"/>
        <v>Baixo risco</v>
      </c>
      <c r="V112">
        <v>0</v>
      </c>
      <c r="W112">
        <v>48</v>
      </c>
      <c r="X112" s="2">
        <v>136.15</v>
      </c>
      <c r="Y112">
        <v>7</v>
      </c>
      <c r="Z112" t="s">
        <v>50</v>
      </c>
    </row>
    <row r="113" spans="1:26">
      <c r="A113" t="s">
        <v>326</v>
      </c>
      <c r="B113" t="s">
        <v>327</v>
      </c>
      <c r="C113" t="s">
        <v>108</v>
      </c>
      <c r="D113" t="s">
        <v>109</v>
      </c>
      <c r="E113">
        <v>33</v>
      </c>
      <c r="F113" t="s">
        <v>54</v>
      </c>
      <c r="G113" t="s">
        <v>96</v>
      </c>
      <c r="H113" t="s">
        <v>61</v>
      </c>
      <c r="I113" t="e">
        <f ca="1">_xludf.XLOOKUP(H113,Base_Planos!$A:$A,Base_Planos!$B:$B,"Não encontrado")</f>
        <v>#NAME?</v>
      </c>
      <c r="J113" s="2">
        <f>VLOOKUP(H113,Base_Planos!$A:$G,4,FALSE)</f>
        <v>59.9</v>
      </c>
      <c r="K113" s="4">
        <v>45102</v>
      </c>
      <c r="L113" t="s">
        <v>328</v>
      </c>
      <c r="M113" t="s">
        <v>44</v>
      </c>
      <c r="N113" s="4"/>
      <c r="O113" s="10">
        <f t="shared" ca="1" si="9"/>
        <v>1067</v>
      </c>
      <c r="P113" s="10" t="str">
        <f t="shared" ca="1" si="6"/>
        <v>Mais de 1 ano</v>
      </c>
      <c r="Q113">
        <f t="shared" si="12"/>
        <v>0</v>
      </c>
      <c r="R113">
        <v>8</v>
      </c>
      <c r="S113" s="11">
        <f t="shared" si="11"/>
        <v>0</v>
      </c>
      <c r="T113" s="11" t="str">
        <f t="shared" si="7"/>
        <v>Neutro</v>
      </c>
      <c r="U113" s="11" t="str">
        <f t="shared" si="8"/>
        <v>Médio risco</v>
      </c>
      <c r="V113">
        <v>0</v>
      </c>
      <c r="W113">
        <v>55</v>
      </c>
      <c r="X113" s="2">
        <v>62.76</v>
      </c>
      <c r="Y113">
        <v>35</v>
      </c>
      <c r="Z113" t="s">
        <v>50</v>
      </c>
    </row>
    <row r="114" spans="1:26">
      <c r="A114" t="s">
        <v>329</v>
      </c>
      <c r="B114" t="s">
        <v>81</v>
      </c>
      <c r="C114" t="s">
        <v>71</v>
      </c>
      <c r="D114" t="s">
        <v>72</v>
      </c>
      <c r="E114">
        <v>48</v>
      </c>
      <c r="F114" t="s">
        <v>30</v>
      </c>
      <c r="G114" t="s">
        <v>41</v>
      </c>
      <c r="H114" t="s">
        <v>166</v>
      </c>
      <c r="I114" t="e">
        <f ca="1">_xludf.XLOOKUP(H114,Base_Planos!$A:$A,Base_Planos!$B:$B,"Não encontrado")</f>
        <v>#NAME?</v>
      </c>
      <c r="J114" s="2">
        <f>VLOOKUP(H114,Base_Planos!$A:$G,4,FALSE)</f>
        <v>399.9</v>
      </c>
      <c r="K114" s="4">
        <v>45446</v>
      </c>
      <c r="L114" t="s">
        <v>145</v>
      </c>
      <c r="M114" t="s">
        <v>44</v>
      </c>
      <c r="N114" s="4"/>
      <c r="O114" s="10">
        <f t="shared" ca="1" si="9"/>
        <v>723</v>
      </c>
      <c r="P114" s="10" t="str">
        <f t="shared" ca="1" si="6"/>
        <v>Mais de 1 ano</v>
      </c>
      <c r="Q114">
        <f t="shared" si="12"/>
        <v>0</v>
      </c>
      <c r="R114">
        <v>0</v>
      </c>
      <c r="S114" s="11">
        <f t="shared" si="11"/>
        <v>0</v>
      </c>
      <c r="T114" s="11" t="str">
        <f t="shared" si="7"/>
        <v>Detrator</v>
      </c>
      <c r="U114" s="11" t="str">
        <f t="shared" si="8"/>
        <v>Alto risco</v>
      </c>
      <c r="V114">
        <v>0</v>
      </c>
      <c r="W114">
        <v>65</v>
      </c>
      <c r="X114" s="2">
        <v>348.21</v>
      </c>
      <c r="Y114">
        <v>24</v>
      </c>
      <c r="Z114" t="s">
        <v>35</v>
      </c>
    </row>
    <row r="115" spans="1:26">
      <c r="A115" t="s">
        <v>330</v>
      </c>
      <c r="B115" t="s">
        <v>331</v>
      </c>
      <c r="C115" t="s">
        <v>94</v>
      </c>
      <c r="D115" t="s">
        <v>95</v>
      </c>
      <c r="E115">
        <v>20</v>
      </c>
      <c r="F115" t="s">
        <v>54</v>
      </c>
      <c r="G115" t="s">
        <v>165</v>
      </c>
      <c r="H115" t="s">
        <v>82</v>
      </c>
      <c r="I115" t="e">
        <f ca="1">_xludf.XLOOKUP(H115,Base_Planos!$A:$A,Base_Planos!$B:$B,"Não encontrado")</f>
        <v>#NAME?</v>
      </c>
      <c r="J115" s="2">
        <f>VLOOKUP(H115,Base_Planos!$A:$G,4,FALSE)</f>
        <v>149.9</v>
      </c>
      <c r="K115" s="4">
        <v>45285</v>
      </c>
      <c r="L115" t="s">
        <v>62</v>
      </c>
      <c r="M115" t="s">
        <v>44</v>
      </c>
      <c r="N115" s="4"/>
      <c r="O115" s="10">
        <f t="shared" ca="1" si="9"/>
        <v>884</v>
      </c>
      <c r="P115" s="10" t="str">
        <f t="shared" ca="1" si="6"/>
        <v>Mais de 1 ano</v>
      </c>
      <c r="Q115">
        <f t="shared" si="12"/>
        <v>0</v>
      </c>
      <c r="R115">
        <v>10</v>
      </c>
      <c r="S115" s="11">
        <f t="shared" si="11"/>
        <v>0</v>
      </c>
      <c r="T115" s="11" t="str">
        <f t="shared" si="7"/>
        <v>Promotor</v>
      </c>
      <c r="U115" s="11" t="str">
        <f t="shared" si="8"/>
        <v>Baixo risco</v>
      </c>
      <c r="V115">
        <v>1</v>
      </c>
      <c r="W115">
        <v>66</v>
      </c>
      <c r="X115" s="2">
        <v>129.31</v>
      </c>
      <c r="Y115">
        <v>29</v>
      </c>
      <c r="Z115" t="s">
        <v>50</v>
      </c>
    </row>
    <row r="116" spans="1:26">
      <c r="A116" t="s">
        <v>332</v>
      </c>
      <c r="B116" t="s">
        <v>333</v>
      </c>
      <c r="C116" t="s">
        <v>28</v>
      </c>
      <c r="D116" t="s">
        <v>29</v>
      </c>
      <c r="E116">
        <v>36</v>
      </c>
      <c r="F116" t="s">
        <v>30</v>
      </c>
      <c r="G116" t="s">
        <v>31</v>
      </c>
      <c r="H116" t="s">
        <v>86</v>
      </c>
      <c r="I116" t="e">
        <f ca="1">_xludf.XLOOKUP(H116,Base_Planos!$A:$A,Base_Planos!$B:$B,"Não encontrado")</f>
        <v>#NAME?</v>
      </c>
      <c r="J116" s="2">
        <f>VLOOKUP(H116,Base_Planos!$A:$G,4,FALSE)</f>
        <v>119.9</v>
      </c>
      <c r="K116" s="4">
        <v>45573</v>
      </c>
      <c r="L116" t="s">
        <v>123</v>
      </c>
      <c r="M116" t="s">
        <v>34</v>
      </c>
      <c r="N116" s="4">
        <v>45798</v>
      </c>
      <c r="O116" s="10">
        <f t="shared" ca="1" si="9"/>
        <v>225</v>
      </c>
      <c r="P116" s="10" t="str">
        <f t="shared" ca="1" si="6"/>
        <v>181 a 365 dias</v>
      </c>
      <c r="Q116">
        <f t="shared" si="12"/>
        <v>1</v>
      </c>
      <c r="R116">
        <v>4</v>
      </c>
      <c r="S116" s="11">
        <f t="shared" si="11"/>
        <v>119.9</v>
      </c>
      <c r="T116" s="11" t="str">
        <f t="shared" si="7"/>
        <v>Detrator</v>
      </c>
      <c r="U116" s="11" t="str">
        <f t="shared" si="8"/>
        <v>Alto risco</v>
      </c>
      <c r="V116">
        <v>0</v>
      </c>
      <c r="W116">
        <v>48</v>
      </c>
      <c r="X116" s="2">
        <v>122.59</v>
      </c>
      <c r="Y116">
        <v>7</v>
      </c>
      <c r="Z116" t="s">
        <v>35</v>
      </c>
    </row>
    <row r="117" spans="1:26">
      <c r="A117" t="s">
        <v>334</v>
      </c>
      <c r="B117" t="s">
        <v>335</v>
      </c>
      <c r="C117" t="s">
        <v>140</v>
      </c>
      <c r="D117" t="s">
        <v>141</v>
      </c>
      <c r="E117">
        <v>25</v>
      </c>
      <c r="F117" t="s">
        <v>40</v>
      </c>
      <c r="G117" t="s">
        <v>41</v>
      </c>
      <c r="H117" t="s">
        <v>86</v>
      </c>
      <c r="I117" t="e">
        <f ca="1">_xludf.XLOOKUP(H117,Base_Planos!$A:$A,Base_Planos!$B:$B,"Não encontrado")</f>
        <v>#NAME?</v>
      </c>
      <c r="J117" s="2">
        <f>VLOOKUP(H117,Base_Planos!$A:$G,4,FALSE)</f>
        <v>119.9</v>
      </c>
      <c r="K117" s="4">
        <v>45827</v>
      </c>
      <c r="L117" t="s">
        <v>167</v>
      </c>
      <c r="M117" t="s">
        <v>44</v>
      </c>
      <c r="N117" s="4"/>
      <c r="O117" s="10">
        <f t="shared" ca="1" si="9"/>
        <v>342</v>
      </c>
      <c r="P117" s="10" t="str">
        <f t="shared" ca="1" si="6"/>
        <v>181 a 365 dias</v>
      </c>
      <c r="Q117">
        <f t="shared" si="12"/>
        <v>0</v>
      </c>
      <c r="R117">
        <v>6</v>
      </c>
      <c r="S117" s="11">
        <f t="shared" si="11"/>
        <v>0</v>
      </c>
      <c r="T117" s="11" t="str">
        <f t="shared" si="7"/>
        <v>Detrator</v>
      </c>
      <c r="U117" s="11" t="str">
        <f t="shared" si="8"/>
        <v>Alto risco</v>
      </c>
      <c r="V117">
        <v>1</v>
      </c>
      <c r="W117">
        <v>72</v>
      </c>
      <c r="X117" s="2">
        <v>121.03</v>
      </c>
      <c r="Y117">
        <v>11</v>
      </c>
      <c r="Z117" t="s">
        <v>50</v>
      </c>
    </row>
    <row r="118" spans="1:26">
      <c r="A118" t="s">
        <v>336</v>
      </c>
      <c r="B118" t="s">
        <v>337</v>
      </c>
      <c r="C118" t="s">
        <v>137</v>
      </c>
      <c r="D118" t="s">
        <v>29</v>
      </c>
      <c r="E118">
        <v>45</v>
      </c>
      <c r="F118" t="s">
        <v>30</v>
      </c>
      <c r="G118" t="s">
        <v>96</v>
      </c>
      <c r="H118" t="s">
        <v>61</v>
      </c>
      <c r="I118" t="e">
        <f ca="1">_xludf.XLOOKUP(H118,Base_Planos!$A:$A,Base_Planos!$B:$B,"Não encontrado")</f>
        <v>#NAME?</v>
      </c>
      <c r="J118" s="2">
        <f>VLOOKUP(H118,Base_Planos!$A:$G,4,FALSE)</f>
        <v>59.9</v>
      </c>
      <c r="K118" s="4">
        <v>45584</v>
      </c>
      <c r="L118" t="s">
        <v>123</v>
      </c>
      <c r="M118" t="s">
        <v>44</v>
      </c>
      <c r="N118" s="4"/>
      <c r="O118" s="10">
        <f t="shared" ca="1" si="9"/>
        <v>585</v>
      </c>
      <c r="P118" s="10" t="str">
        <f t="shared" ca="1" si="6"/>
        <v>Mais de 1 ano</v>
      </c>
      <c r="Q118">
        <f t="shared" si="12"/>
        <v>0</v>
      </c>
      <c r="R118">
        <v>1</v>
      </c>
      <c r="S118" s="11">
        <f t="shared" si="11"/>
        <v>0</v>
      </c>
      <c r="T118" s="11" t="str">
        <f t="shared" si="7"/>
        <v>Detrator</v>
      </c>
      <c r="U118" s="11" t="str">
        <f t="shared" si="8"/>
        <v>Alto risco</v>
      </c>
      <c r="V118">
        <v>0</v>
      </c>
      <c r="W118">
        <v>76</v>
      </c>
      <c r="X118" s="2">
        <v>56.02</v>
      </c>
      <c r="Y118">
        <v>19</v>
      </c>
      <c r="Z118" t="s">
        <v>45</v>
      </c>
    </row>
    <row r="119" spans="1:26">
      <c r="A119" t="s">
        <v>338</v>
      </c>
      <c r="B119" t="s">
        <v>339</v>
      </c>
      <c r="C119" t="s">
        <v>108</v>
      </c>
      <c r="D119" t="s">
        <v>109</v>
      </c>
      <c r="E119">
        <v>46</v>
      </c>
      <c r="F119" t="s">
        <v>30</v>
      </c>
      <c r="G119" t="s">
        <v>165</v>
      </c>
      <c r="H119" t="s">
        <v>61</v>
      </c>
      <c r="I119" t="e">
        <f ca="1">_xludf.XLOOKUP(H119,Base_Planos!$A:$A,Base_Planos!$B:$B,"Não encontrado")</f>
        <v>#NAME?</v>
      </c>
      <c r="J119" s="2">
        <f>VLOOKUP(H119,Base_Planos!$A:$G,4,FALSE)</f>
        <v>59.9</v>
      </c>
      <c r="K119" s="4">
        <v>45817</v>
      </c>
      <c r="L119" t="s">
        <v>167</v>
      </c>
      <c r="M119" t="s">
        <v>44</v>
      </c>
      <c r="N119" s="4"/>
      <c r="O119" s="10">
        <f t="shared" ca="1" si="9"/>
        <v>352</v>
      </c>
      <c r="P119" s="10" t="str">
        <f t="shared" ca="1" si="6"/>
        <v>181 a 365 dias</v>
      </c>
      <c r="Q119">
        <f t="shared" si="12"/>
        <v>0</v>
      </c>
      <c r="R119">
        <v>4</v>
      </c>
      <c r="S119" s="11">
        <f t="shared" si="11"/>
        <v>0</v>
      </c>
      <c r="T119" s="11" t="str">
        <f t="shared" si="7"/>
        <v>Detrator</v>
      </c>
      <c r="U119" s="11" t="str">
        <f t="shared" si="8"/>
        <v>Alto risco</v>
      </c>
      <c r="V119">
        <v>0</v>
      </c>
      <c r="W119">
        <v>18</v>
      </c>
      <c r="X119" s="2">
        <v>55.78</v>
      </c>
      <c r="Y119">
        <v>11</v>
      </c>
      <c r="Z119" t="s">
        <v>45</v>
      </c>
    </row>
    <row r="120" spans="1:26">
      <c r="A120" t="s">
        <v>340</v>
      </c>
      <c r="B120" t="s">
        <v>85</v>
      </c>
      <c r="C120" t="s">
        <v>28</v>
      </c>
      <c r="D120" t="s">
        <v>29</v>
      </c>
      <c r="E120">
        <v>27</v>
      </c>
      <c r="F120" t="s">
        <v>66</v>
      </c>
      <c r="G120" t="s">
        <v>104</v>
      </c>
      <c r="H120" t="s">
        <v>32</v>
      </c>
      <c r="I120" t="e">
        <f ca="1">_xludf.XLOOKUP(H120,Base_Planos!$A:$A,Base_Planos!$B:$B,"Não encontrado")</f>
        <v>#NAME?</v>
      </c>
      <c r="J120" s="2">
        <f>VLOOKUP(H120,Base_Planos!$A:$G,4,FALSE)</f>
        <v>39.9</v>
      </c>
      <c r="K120" s="4">
        <v>45064</v>
      </c>
      <c r="L120" t="s">
        <v>115</v>
      </c>
      <c r="M120" t="s">
        <v>44</v>
      </c>
      <c r="N120" s="4"/>
      <c r="O120" s="10">
        <f t="shared" ca="1" si="9"/>
        <v>1105</v>
      </c>
      <c r="P120" s="10" t="str">
        <f t="shared" ca="1" si="6"/>
        <v>Mais de 1 ano</v>
      </c>
      <c r="Q120">
        <f t="shared" si="12"/>
        <v>0</v>
      </c>
      <c r="R120">
        <v>3</v>
      </c>
      <c r="S120" s="11">
        <f t="shared" si="11"/>
        <v>0</v>
      </c>
      <c r="T120" s="11" t="str">
        <f t="shared" si="7"/>
        <v>Detrator</v>
      </c>
      <c r="U120" s="11" t="str">
        <f t="shared" si="8"/>
        <v>Alto risco</v>
      </c>
      <c r="V120">
        <v>0</v>
      </c>
      <c r="W120">
        <v>30</v>
      </c>
      <c r="X120" s="2">
        <v>38.74</v>
      </c>
      <c r="Y120">
        <v>36</v>
      </c>
      <c r="Z120" t="s">
        <v>45</v>
      </c>
    </row>
    <row r="121" spans="1:26">
      <c r="A121" t="s">
        <v>341</v>
      </c>
      <c r="B121" t="s">
        <v>342</v>
      </c>
      <c r="C121" t="s">
        <v>108</v>
      </c>
      <c r="D121" t="s">
        <v>109</v>
      </c>
      <c r="E121">
        <v>41</v>
      </c>
      <c r="F121" t="s">
        <v>54</v>
      </c>
      <c r="G121" t="s">
        <v>55</v>
      </c>
      <c r="H121" t="s">
        <v>61</v>
      </c>
      <c r="I121" t="e">
        <f ca="1">_xludf.XLOOKUP(H121,Base_Planos!$A:$A,Base_Planos!$B:$B,"Não encontrado")</f>
        <v>#NAME?</v>
      </c>
      <c r="J121" s="2">
        <f>VLOOKUP(H121,Base_Planos!$A:$G,4,FALSE)</f>
        <v>59.9</v>
      </c>
      <c r="K121" s="4">
        <v>46011</v>
      </c>
      <c r="L121" t="s">
        <v>170</v>
      </c>
      <c r="M121" t="s">
        <v>34</v>
      </c>
      <c r="N121" s="4">
        <v>46088</v>
      </c>
      <c r="O121" s="10">
        <f t="shared" ca="1" si="9"/>
        <v>77</v>
      </c>
      <c r="P121" s="10" t="str">
        <f t="shared" ca="1" si="6"/>
        <v>31 a 90 dias</v>
      </c>
      <c r="Q121">
        <f t="shared" si="12"/>
        <v>1</v>
      </c>
      <c r="R121">
        <v>5</v>
      </c>
      <c r="S121" s="11">
        <f t="shared" si="11"/>
        <v>59.9</v>
      </c>
      <c r="T121" s="11" t="str">
        <f t="shared" si="7"/>
        <v>Detrator</v>
      </c>
      <c r="U121" s="11" t="str">
        <f t="shared" si="8"/>
        <v>Alto risco</v>
      </c>
      <c r="V121">
        <v>0</v>
      </c>
      <c r="W121">
        <v>81</v>
      </c>
      <c r="X121" s="2">
        <v>57.12</v>
      </c>
      <c r="Y121">
        <v>2</v>
      </c>
      <c r="Z121" t="s">
        <v>50</v>
      </c>
    </row>
    <row r="122" spans="1:26">
      <c r="A122" t="s">
        <v>343</v>
      </c>
      <c r="B122" t="s">
        <v>344</v>
      </c>
      <c r="C122" t="s">
        <v>102</v>
      </c>
      <c r="D122" t="s">
        <v>103</v>
      </c>
      <c r="E122">
        <v>34</v>
      </c>
      <c r="F122" t="s">
        <v>40</v>
      </c>
      <c r="G122" t="s">
        <v>104</v>
      </c>
      <c r="H122" t="s">
        <v>42</v>
      </c>
      <c r="I122" t="e">
        <f ca="1">_xludf.XLOOKUP(H122,Base_Planos!$A:$A,Base_Planos!$B:$B,"Não encontrado")</f>
        <v>#NAME?</v>
      </c>
      <c r="J122" s="2">
        <f>VLOOKUP(H122,Base_Planos!$A:$G,4,FALSE)</f>
        <v>29.9</v>
      </c>
      <c r="K122" s="4">
        <v>45511</v>
      </c>
      <c r="L122" t="s">
        <v>156</v>
      </c>
      <c r="M122" t="s">
        <v>44</v>
      </c>
      <c r="N122" s="4"/>
      <c r="O122" s="10">
        <f t="shared" ca="1" si="9"/>
        <v>658</v>
      </c>
      <c r="P122" s="10" t="str">
        <f t="shared" ca="1" si="6"/>
        <v>Mais de 1 ano</v>
      </c>
      <c r="Q122">
        <f t="shared" si="12"/>
        <v>0</v>
      </c>
      <c r="R122">
        <v>7</v>
      </c>
      <c r="S122" s="11">
        <f t="shared" si="11"/>
        <v>0</v>
      </c>
      <c r="T122" s="11" t="str">
        <f t="shared" si="7"/>
        <v>Neutro</v>
      </c>
      <c r="U122" s="11" t="str">
        <f t="shared" si="8"/>
        <v>Médio risco</v>
      </c>
      <c r="V122">
        <v>0</v>
      </c>
      <c r="W122">
        <v>71</v>
      </c>
      <c r="X122" s="2">
        <v>29.68</v>
      </c>
      <c r="Y122">
        <v>21</v>
      </c>
      <c r="Z122" t="s">
        <v>50</v>
      </c>
    </row>
    <row r="123" spans="1:26">
      <c r="A123" t="s">
        <v>345</v>
      </c>
      <c r="B123" t="s">
        <v>346</v>
      </c>
      <c r="C123" t="s">
        <v>65</v>
      </c>
      <c r="D123" t="s">
        <v>29</v>
      </c>
      <c r="E123">
        <v>40</v>
      </c>
      <c r="F123" t="s">
        <v>40</v>
      </c>
      <c r="G123" t="s">
        <v>73</v>
      </c>
      <c r="H123" t="s">
        <v>86</v>
      </c>
      <c r="I123" t="e">
        <f ca="1">_xludf.XLOOKUP(H123,Base_Planos!$A:$A,Base_Planos!$B:$B,"Não encontrado")</f>
        <v>#NAME?</v>
      </c>
      <c r="J123" s="2">
        <f>VLOOKUP(H123,Base_Planos!$A:$G,4,FALSE)</f>
        <v>119.9</v>
      </c>
      <c r="K123" s="4">
        <v>45249</v>
      </c>
      <c r="L123" t="s">
        <v>79</v>
      </c>
      <c r="M123" t="s">
        <v>44</v>
      </c>
      <c r="N123" s="4"/>
      <c r="O123" s="10">
        <f t="shared" ca="1" si="9"/>
        <v>920</v>
      </c>
      <c r="P123" s="10" t="str">
        <f t="shared" ca="1" si="6"/>
        <v>Mais de 1 ano</v>
      </c>
      <c r="Q123">
        <f t="shared" si="12"/>
        <v>0</v>
      </c>
      <c r="R123">
        <v>10</v>
      </c>
      <c r="S123" s="11">
        <f t="shared" si="11"/>
        <v>0</v>
      </c>
      <c r="T123" s="11" t="str">
        <f t="shared" si="7"/>
        <v>Promotor</v>
      </c>
      <c r="U123" s="11" t="str">
        <f t="shared" si="8"/>
        <v>Baixo risco</v>
      </c>
      <c r="V123">
        <v>0</v>
      </c>
      <c r="W123">
        <v>80</v>
      </c>
      <c r="X123" s="2">
        <v>120.91</v>
      </c>
      <c r="Y123">
        <v>30</v>
      </c>
      <c r="Z123" t="s">
        <v>50</v>
      </c>
    </row>
    <row r="124" spans="1:26">
      <c r="A124" t="s">
        <v>347</v>
      </c>
      <c r="B124" t="s">
        <v>348</v>
      </c>
      <c r="C124" t="s">
        <v>28</v>
      </c>
      <c r="D124" t="s">
        <v>29</v>
      </c>
      <c r="E124">
        <v>41</v>
      </c>
      <c r="F124" t="s">
        <v>54</v>
      </c>
      <c r="G124" t="s">
        <v>165</v>
      </c>
      <c r="H124" t="s">
        <v>112</v>
      </c>
      <c r="I124" t="e">
        <f ca="1">_xludf.XLOOKUP(H124,Base_Planos!$A:$A,Base_Planos!$B:$B,"Não encontrado")</f>
        <v>#NAME?</v>
      </c>
      <c r="J124" s="2">
        <f>VLOOKUP(H124,Base_Planos!$A:$G,4,FALSE)</f>
        <v>79.900000000000006</v>
      </c>
      <c r="K124" s="4">
        <v>46056</v>
      </c>
      <c r="L124" t="s">
        <v>74</v>
      </c>
      <c r="M124" t="s">
        <v>44</v>
      </c>
      <c r="N124" s="4"/>
      <c r="O124" s="10">
        <f t="shared" ca="1" si="9"/>
        <v>113</v>
      </c>
      <c r="P124" s="10" t="str">
        <f t="shared" ca="1" si="6"/>
        <v>91 a 180 dias</v>
      </c>
      <c r="Q124">
        <f t="shared" si="12"/>
        <v>0</v>
      </c>
      <c r="R124">
        <v>2</v>
      </c>
      <c r="S124" s="11">
        <f t="shared" si="11"/>
        <v>0</v>
      </c>
      <c r="T124" s="11" t="str">
        <f t="shared" si="7"/>
        <v>Detrator</v>
      </c>
      <c r="U124" s="11" t="str">
        <f t="shared" si="8"/>
        <v>Alto risco</v>
      </c>
      <c r="V124">
        <v>0</v>
      </c>
      <c r="W124">
        <v>49</v>
      </c>
      <c r="X124" s="2">
        <v>79.400000000000006</v>
      </c>
      <c r="Y124">
        <v>3</v>
      </c>
      <c r="Z124" t="s">
        <v>35</v>
      </c>
    </row>
    <row r="125" spans="1:26">
      <c r="A125" t="s">
        <v>349</v>
      </c>
      <c r="B125" t="s">
        <v>350</v>
      </c>
      <c r="C125" t="s">
        <v>48</v>
      </c>
      <c r="D125" t="s">
        <v>29</v>
      </c>
      <c r="E125">
        <v>44</v>
      </c>
      <c r="F125" t="s">
        <v>66</v>
      </c>
      <c r="G125" t="s">
        <v>55</v>
      </c>
      <c r="H125" t="s">
        <v>32</v>
      </c>
      <c r="I125" t="e">
        <f ca="1">_xludf.XLOOKUP(H125,Base_Planos!$A:$A,Base_Planos!$B:$B,"Não encontrado")</f>
        <v>#NAME?</v>
      </c>
      <c r="J125" s="2">
        <f>VLOOKUP(H125,Base_Planos!$A:$G,4,FALSE)</f>
        <v>39.9</v>
      </c>
      <c r="K125" s="4">
        <v>45576</v>
      </c>
      <c r="L125" t="s">
        <v>123</v>
      </c>
      <c r="M125" t="s">
        <v>34</v>
      </c>
      <c r="N125" s="4">
        <v>45792</v>
      </c>
      <c r="O125" s="10">
        <f t="shared" ca="1" si="9"/>
        <v>216</v>
      </c>
      <c r="P125" s="10" t="str">
        <f t="shared" ca="1" si="6"/>
        <v>181 a 365 dias</v>
      </c>
      <c r="Q125">
        <f t="shared" si="12"/>
        <v>1</v>
      </c>
      <c r="R125">
        <v>10</v>
      </c>
      <c r="S125" s="11">
        <f t="shared" si="11"/>
        <v>39.9</v>
      </c>
      <c r="T125" s="11" t="str">
        <f t="shared" si="7"/>
        <v>Promotor</v>
      </c>
      <c r="U125" s="11" t="str">
        <f t="shared" si="8"/>
        <v>Alto risco</v>
      </c>
      <c r="V125">
        <v>0</v>
      </c>
      <c r="W125">
        <v>71</v>
      </c>
      <c r="X125" s="2">
        <v>37.369999999999997</v>
      </c>
      <c r="Y125">
        <v>7</v>
      </c>
      <c r="Z125" t="s">
        <v>50</v>
      </c>
    </row>
    <row r="126" spans="1:26">
      <c r="A126" t="s">
        <v>351</v>
      </c>
      <c r="B126" t="s">
        <v>352</v>
      </c>
      <c r="C126" t="s">
        <v>53</v>
      </c>
      <c r="D126" t="s">
        <v>29</v>
      </c>
      <c r="E126">
        <v>25</v>
      </c>
      <c r="F126" t="s">
        <v>54</v>
      </c>
      <c r="G126" t="s">
        <v>73</v>
      </c>
      <c r="H126" t="s">
        <v>32</v>
      </c>
      <c r="I126" t="e">
        <f ca="1">_xludf.XLOOKUP(H126,Base_Planos!$A:$A,Base_Planos!$B:$B,"Não encontrado")</f>
        <v>#NAME?</v>
      </c>
      <c r="J126" s="2">
        <f>VLOOKUP(H126,Base_Planos!$A:$G,4,FALSE)</f>
        <v>39.9</v>
      </c>
      <c r="K126" s="4">
        <v>45587</v>
      </c>
      <c r="L126" t="s">
        <v>123</v>
      </c>
      <c r="M126" t="s">
        <v>44</v>
      </c>
      <c r="N126" s="4"/>
      <c r="O126" s="10">
        <f t="shared" ca="1" si="9"/>
        <v>582</v>
      </c>
      <c r="P126" s="10" t="str">
        <f t="shared" ca="1" si="6"/>
        <v>Mais de 1 ano</v>
      </c>
      <c r="Q126">
        <f t="shared" si="12"/>
        <v>0</v>
      </c>
      <c r="R126">
        <v>3</v>
      </c>
      <c r="S126" s="11">
        <f t="shared" si="11"/>
        <v>0</v>
      </c>
      <c r="T126" s="11" t="str">
        <f t="shared" si="7"/>
        <v>Detrator</v>
      </c>
      <c r="U126" s="11" t="str">
        <f t="shared" si="8"/>
        <v>Alto risco</v>
      </c>
      <c r="V126">
        <v>2</v>
      </c>
      <c r="W126">
        <v>100</v>
      </c>
      <c r="X126" s="2">
        <v>35.909999999999997</v>
      </c>
      <c r="Y126">
        <v>19</v>
      </c>
      <c r="Z126" t="s">
        <v>35</v>
      </c>
    </row>
    <row r="127" spans="1:26">
      <c r="A127" t="s">
        <v>353</v>
      </c>
      <c r="B127" t="s">
        <v>354</v>
      </c>
      <c r="C127" t="s">
        <v>140</v>
      </c>
      <c r="D127" t="s">
        <v>141</v>
      </c>
      <c r="E127">
        <v>26</v>
      </c>
      <c r="F127" t="s">
        <v>40</v>
      </c>
      <c r="G127" t="s">
        <v>55</v>
      </c>
      <c r="H127" t="s">
        <v>112</v>
      </c>
      <c r="I127" t="e">
        <f ca="1">_xludf.XLOOKUP(H127,Base_Planos!$A:$A,Base_Planos!$B:$B,"Não encontrado")</f>
        <v>#NAME?</v>
      </c>
      <c r="J127" s="2">
        <f>VLOOKUP(H127,Base_Planos!$A:$G,4,FALSE)</f>
        <v>79.900000000000006</v>
      </c>
      <c r="K127" s="4">
        <v>45272</v>
      </c>
      <c r="L127" t="s">
        <v>62</v>
      </c>
      <c r="M127" t="s">
        <v>44</v>
      </c>
      <c r="N127" s="4"/>
      <c r="O127" s="10">
        <f t="shared" ca="1" si="9"/>
        <v>897</v>
      </c>
      <c r="P127" s="10" t="str">
        <f t="shared" ca="1" si="6"/>
        <v>Mais de 1 ano</v>
      </c>
      <c r="Q127">
        <f t="shared" si="12"/>
        <v>0</v>
      </c>
      <c r="R127">
        <v>9</v>
      </c>
      <c r="S127" s="11">
        <f t="shared" si="11"/>
        <v>0</v>
      </c>
      <c r="T127" s="11" t="str">
        <f t="shared" si="7"/>
        <v>Promotor</v>
      </c>
      <c r="U127" s="11" t="str">
        <f t="shared" si="8"/>
        <v>Baixo risco</v>
      </c>
      <c r="V127">
        <v>1</v>
      </c>
      <c r="W127">
        <v>51</v>
      </c>
      <c r="X127" s="2">
        <v>77.59</v>
      </c>
      <c r="Y127">
        <v>29</v>
      </c>
      <c r="Z127" t="s">
        <v>50</v>
      </c>
    </row>
    <row r="128" spans="1:26">
      <c r="A128" t="s">
        <v>355</v>
      </c>
      <c r="B128" t="s">
        <v>356</v>
      </c>
      <c r="C128" t="s">
        <v>28</v>
      </c>
      <c r="D128" t="s">
        <v>29</v>
      </c>
      <c r="E128">
        <v>19</v>
      </c>
      <c r="F128" t="s">
        <v>30</v>
      </c>
      <c r="G128" t="s">
        <v>73</v>
      </c>
      <c r="H128" t="s">
        <v>61</v>
      </c>
      <c r="I128" t="e">
        <f ca="1">_xludf.XLOOKUP(H128,Base_Planos!$A:$A,Base_Planos!$B:$B,"Não encontrado")</f>
        <v>#NAME?</v>
      </c>
      <c r="J128" s="2">
        <f>VLOOKUP(H128,Base_Planos!$A:$G,4,FALSE)</f>
        <v>59.9</v>
      </c>
      <c r="K128" s="4">
        <v>46098</v>
      </c>
      <c r="L128" t="s">
        <v>292</v>
      </c>
      <c r="M128" t="s">
        <v>44</v>
      </c>
      <c r="N128" s="4"/>
      <c r="O128" s="10">
        <f t="shared" ca="1" si="9"/>
        <v>71</v>
      </c>
      <c r="P128" s="10" t="str">
        <f t="shared" ca="1" si="6"/>
        <v>31 a 90 dias</v>
      </c>
      <c r="Q128">
        <f t="shared" si="12"/>
        <v>0</v>
      </c>
      <c r="R128">
        <v>6</v>
      </c>
      <c r="S128" s="11">
        <f t="shared" si="11"/>
        <v>0</v>
      </c>
      <c r="T128" s="11" t="str">
        <f t="shared" si="7"/>
        <v>Detrator</v>
      </c>
      <c r="U128" s="11" t="str">
        <f t="shared" si="8"/>
        <v>Alto risco</v>
      </c>
      <c r="V128">
        <v>2</v>
      </c>
      <c r="W128">
        <v>52</v>
      </c>
      <c r="X128" s="2">
        <v>58.61</v>
      </c>
      <c r="Y128">
        <v>2</v>
      </c>
      <c r="Z128" t="s">
        <v>35</v>
      </c>
    </row>
    <row r="129" spans="1:26">
      <c r="A129" t="s">
        <v>357</v>
      </c>
      <c r="B129" t="s">
        <v>358</v>
      </c>
      <c r="C129" t="s">
        <v>59</v>
      </c>
      <c r="D129" t="s">
        <v>60</v>
      </c>
      <c r="E129">
        <v>61</v>
      </c>
      <c r="F129" t="s">
        <v>54</v>
      </c>
      <c r="G129" t="s">
        <v>104</v>
      </c>
      <c r="H129" t="s">
        <v>32</v>
      </c>
      <c r="I129" t="e">
        <f ca="1">_xludf.XLOOKUP(H129,Base_Planos!$A:$A,Base_Planos!$B:$B,"Não encontrado")</f>
        <v>#NAME?</v>
      </c>
      <c r="J129" s="2">
        <f>VLOOKUP(H129,Base_Planos!$A:$G,4,FALSE)</f>
        <v>39.9</v>
      </c>
      <c r="K129" s="4">
        <v>45049</v>
      </c>
      <c r="L129" t="s">
        <v>115</v>
      </c>
      <c r="M129" t="s">
        <v>44</v>
      </c>
      <c r="N129" s="4"/>
      <c r="O129" s="10">
        <f t="shared" ca="1" si="9"/>
        <v>1120</v>
      </c>
      <c r="P129" s="10" t="str">
        <f t="shared" ca="1" si="6"/>
        <v>Mais de 1 ano</v>
      </c>
      <c r="Q129">
        <f t="shared" si="12"/>
        <v>0</v>
      </c>
      <c r="R129">
        <v>2</v>
      </c>
      <c r="S129" s="11">
        <f t="shared" si="11"/>
        <v>0</v>
      </c>
      <c r="T129" s="11" t="str">
        <f t="shared" si="7"/>
        <v>Detrator</v>
      </c>
      <c r="U129" s="11" t="str">
        <f t="shared" si="8"/>
        <v>Alto risco</v>
      </c>
      <c r="V129">
        <v>0</v>
      </c>
      <c r="W129">
        <v>68</v>
      </c>
      <c r="X129" s="2">
        <v>36.409999999999997</v>
      </c>
      <c r="Y129">
        <v>37</v>
      </c>
      <c r="Z129" t="s">
        <v>35</v>
      </c>
    </row>
    <row r="130" spans="1:26">
      <c r="A130" t="s">
        <v>359</v>
      </c>
      <c r="B130" t="s">
        <v>360</v>
      </c>
      <c r="C130" t="s">
        <v>137</v>
      </c>
      <c r="D130" t="s">
        <v>29</v>
      </c>
      <c r="E130">
        <v>40</v>
      </c>
      <c r="F130" t="s">
        <v>201</v>
      </c>
      <c r="G130" t="s">
        <v>96</v>
      </c>
      <c r="H130" t="s">
        <v>82</v>
      </c>
      <c r="I130" t="e">
        <f ca="1">_xludf.XLOOKUP(H130,Base_Planos!$A:$A,Base_Planos!$B:$B,"Não encontrado")</f>
        <v>#NAME?</v>
      </c>
      <c r="J130" s="2">
        <f>VLOOKUP(H130,Base_Planos!$A:$G,4,FALSE)</f>
        <v>149.9</v>
      </c>
      <c r="K130" s="4">
        <v>45981</v>
      </c>
      <c r="L130" t="s">
        <v>87</v>
      </c>
      <c r="M130" t="s">
        <v>44</v>
      </c>
      <c r="N130" s="4"/>
      <c r="O130" s="10">
        <f t="shared" ca="1" si="9"/>
        <v>188</v>
      </c>
      <c r="P130" s="10" t="str">
        <f t="shared" ref="P130:P193" ca="1" si="13">IF(O130&lt;=30,"Até 30 dias",IF(O130&lt;=90,"31 a 90 dias",IF(O130&lt;=180,"91 a 180 dias",IF(O130&lt;=365,"181 a 365 dias","Mais de 1 ano"))))</f>
        <v>181 a 365 dias</v>
      </c>
      <c r="Q130">
        <f t="shared" si="12"/>
        <v>0</v>
      </c>
      <c r="R130">
        <v>8</v>
      </c>
      <c r="S130" s="11">
        <f t="shared" si="11"/>
        <v>0</v>
      </c>
      <c r="T130" s="11" t="str">
        <f t="shared" ref="T130:T193" si="14">IF(R130&lt;=6,"Detrator",IF(R130&lt;=8,"Neutro","Promotor"))</f>
        <v>Neutro</v>
      </c>
      <c r="U130" s="11" t="str">
        <f t="shared" ref="U130:U193" si="15">IF(Q130=1,"Alto risco",IF(R130&lt;=6,"Alto risco",IF(R130&lt;=8,"Médio risco","Baixo risco")))</f>
        <v>Médio risco</v>
      </c>
      <c r="V130">
        <v>0</v>
      </c>
      <c r="W130">
        <v>69</v>
      </c>
      <c r="X130" s="2">
        <v>131.63999999999999</v>
      </c>
      <c r="Y130">
        <v>6</v>
      </c>
      <c r="Z130" t="s">
        <v>50</v>
      </c>
    </row>
    <row r="131" spans="1:26">
      <c r="A131" t="s">
        <v>361</v>
      </c>
      <c r="B131" t="s">
        <v>260</v>
      </c>
      <c r="C131" t="s">
        <v>71</v>
      </c>
      <c r="D131" t="s">
        <v>72</v>
      </c>
      <c r="E131">
        <v>57</v>
      </c>
      <c r="F131" t="s">
        <v>54</v>
      </c>
      <c r="G131" t="s">
        <v>96</v>
      </c>
      <c r="H131" t="s">
        <v>82</v>
      </c>
      <c r="I131" t="e">
        <f ca="1">_xludf.XLOOKUP(H131,Base_Planos!$A:$A,Base_Planos!$B:$B,"Não encontrado")</f>
        <v>#NAME?</v>
      </c>
      <c r="J131" s="2">
        <f>VLOOKUP(H131,Base_Planos!$A:$G,4,FALSE)</f>
        <v>149.9</v>
      </c>
      <c r="K131" s="4">
        <v>46110</v>
      </c>
      <c r="L131" t="s">
        <v>292</v>
      </c>
      <c r="M131" t="s">
        <v>44</v>
      </c>
      <c r="N131" s="4"/>
      <c r="O131" s="10">
        <f t="shared" ref="O131:O194" ca="1" si="16">IF(M131="Cancelado",N131-K131,TODAY()-K131)</f>
        <v>59</v>
      </c>
      <c r="P131" s="10" t="str">
        <f t="shared" ca="1" si="13"/>
        <v>31 a 90 dias</v>
      </c>
      <c r="Q131">
        <f t="shared" si="12"/>
        <v>0</v>
      </c>
      <c r="R131">
        <v>5</v>
      </c>
      <c r="S131" s="11">
        <f t="shared" ref="S131:S194" si="17">IF(Q131=1,J131,0)</f>
        <v>0</v>
      </c>
      <c r="T131" s="11" t="str">
        <f t="shared" si="14"/>
        <v>Detrator</v>
      </c>
      <c r="U131" s="11" t="str">
        <f t="shared" si="15"/>
        <v>Alto risco</v>
      </c>
      <c r="V131">
        <v>4</v>
      </c>
      <c r="W131">
        <v>72</v>
      </c>
      <c r="X131" s="2">
        <v>153.77000000000001</v>
      </c>
      <c r="Y131">
        <v>1</v>
      </c>
      <c r="Z131" t="s">
        <v>35</v>
      </c>
    </row>
    <row r="132" spans="1:26">
      <c r="A132" t="s">
        <v>362</v>
      </c>
      <c r="B132" t="s">
        <v>363</v>
      </c>
      <c r="C132" t="s">
        <v>102</v>
      </c>
      <c r="D132" t="s">
        <v>103</v>
      </c>
      <c r="E132">
        <v>43</v>
      </c>
      <c r="F132" t="s">
        <v>54</v>
      </c>
      <c r="G132" t="s">
        <v>31</v>
      </c>
      <c r="H132" t="s">
        <v>42</v>
      </c>
      <c r="I132" t="e">
        <f ca="1">_xludf.XLOOKUP(H132,Base_Planos!$A:$A,Base_Planos!$B:$B,"Não encontrado")</f>
        <v>#NAME?</v>
      </c>
      <c r="J132" s="2">
        <f>VLOOKUP(H132,Base_Planos!$A:$G,4,FALSE)</f>
        <v>29.9</v>
      </c>
      <c r="K132" s="4">
        <v>45649</v>
      </c>
      <c r="L132" t="s">
        <v>49</v>
      </c>
      <c r="M132" t="s">
        <v>44</v>
      </c>
      <c r="N132" s="4"/>
      <c r="O132" s="10">
        <f t="shared" ca="1" si="16"/>
        <v>520</v>
      </c>
      <c r="P132" s="10" t="str">
        <f t="shared" ca="1" si="13"/>
        <v>Mais de 1 ano</v>
      </c>
      <c r="Q132">
        <f t="shared" si="12"/>
        <v>0</v>
      </c>
      <c r="R132">
        <v>0</v>
      </c>
      <c r="S132" s="11">
        <f t="shared" si="17"/>
        <v>0</v>
      </c>
      <c r="T132" s="11" t="str">
        <f t="shared" si="14"/>
        <v>Detrator</v>
      </c>
      <c r="U132" s="11" t="str">
        <f t="shared" si="15"/>
        <v>Alto risco</v>
      </c>
      <c r="V132">
        <v>2</v>
      </c>
      <c r="W132">
        <v>67</v>
      </c>
      <c r="X132" s="2">
        <v>28.23</v>
      </c>
      <c r="Y132">
        <v>17</v>
      </c>
      <c r="Z132" t="s">
        <v>45</v>
      </c>
    </row>
    <row r="133" spans="1:26">
      <c r="A133" t="s">
        <v>364</v>
      </c>
      <c r="B133" t="s">
        <v>81</v>
      </c>
      <c r="C133" t="s">
        <v>53</v>
      </c>
      <c r="D133" t="s">
        <v>29</v>
      </c>
      <c r="E133">
        <v>24</v>
      </c>
      <c r="F133" t="s">
        <v>54</v>
      </c>
      <c r="G133" t="s">
        <v>73</v>
      </c>
      <c r="H133" t="s">
        <v>82</v>
      </c>
      <c r="I133" t="e">
        <f ca="1">_xludf.XLOOKUP(H133,Base_Planos!$A:$A,Base_Planos!$B:$B,"Não encontrado")</f>
        <v>#NAME?</v>
      </c>
      <c r="J133" s="2">
        <f>VLOOKUP(H133,Base_Planos!$A:$G,4,FALSE)</f>
        <v>149.9</v>
      </c>
      <c r="K133" s="4">
        <v>45752</v>
      </c>
      <c r="L133" t="s">
        <v>222</v>
      </c>
      <c r="M133" t="s">
        <v>44</v>
      </c>
      <c r="N133" s="4"/>
      <c r="O133" s="10">
        <f t="shared" ca="1" si="16"/>
        <v>417</v>
      </c>
      <c r="P133" s="10" t="str">
        <f t="shared" ca="1" si="13"/>
        <v>Mais de 1 ano</v>
      </c>
      <c r="Q133">
        <f t="shared" si="12"/>
        <v>0</v>
      </c>
      <c r="R133">
        <v>5</v>
      </c>
      <c r="S133" s="11">
        <f t="shared" si="17"/>
        <v>0</v>
      </c>
      <c r="T133" s="11" t="str">
        <f t="shared" si="14"/>
        <v>Detrator</v>
      </c>
      <c r="U133" s="11" t="str">
        <f t="shared" si="15"/>
        <v>Alto risco</v>
      </c>
      <c r="V133">
        <v>0</v>
      </c>
      <c r="W133">
        <v>59</v>
      </c>
      <c r="X133" s="2">
        <v>136.07</v>
      </c>
      <c r="Y133">
        <v>13</v>
      </c>
      <c r="Z133" t="s">
        <v>50</v>
      </c>
    </row>
    <row r="134" spans="1:26">
      <c r="A134" t="s">
        <v>365</v>
      </c>
      <c r="B134" t="s">
        <v>366</v>
      </c>
      <c r="C134" t="s">
        <v>77</v>
      </c>
      <c r="D134" t="s">
        <v>78</v>
      </c>
      <c r="E134">
        <v>53</v>
      </c>
      <c r="F134" t="s">
        <v>30</v>
      </c>
      <c r="G134" t="s">
        <v>55</v>
      </c>
      <c r="H134" t="s">
        <v>32</v>
      </c>
      <c r="I134" t="e">
        <f ca="1">_xludf.XLOOKUP(H134,Base_Planos!$A:$A,Base_Planos!$B:$B,"Não encontrado")</f>
        <v>#NAME?</v>
      </c>
      <c r="J134" s="2">
        <f>VLOOKUP(H134,Base_Planos!$A:$G,4,FALSE)</f>
        <v>39.9</v>
      </c>
      <c r="K134" s="4">
        <v>45125</v>
      </c>
      <c r="L134" t="s">
        <v>33</v>
      </c>
      <c r="M134" t="s">
        <v>44</v>
      </c>
      <c r="N134" s="4"/>
      <c r="O134" s="10">
        <f t="shared" ca="1" si="16"/>
        <v>1044</v>
      </c>
      <c r="P134" s="10" t="str">
        <f t="shared" ca="1" si="13"/>
        <v>Mais de 1 ano</v>
      </c>
      <c r="Q134">
        <f t="shared" si="12"/>
        <v>0</v>
      </c>
      <c r="R134">
        <v>6</v>
      </c>
      <c r="S134" s="11">
        <f t="shared" si="17"/>
        <v>0</v>
      </c>
      <c r="T134" s="11" t="str">
        <f t="shared" si="14"/>
        <v>Detrator</v>
      </c>
      <c r="U134" s="11" t="str">
        <f t="shared" si="15"/>
        <v>Alto risco</v>
      </c>
      <c r="V134">
        <v>0</v>
      </c>
      <c r="W134">
        <v>100</v>
      </c>
      <c r="X134" s="2">
        <v>35.07</v>
      </c>
      <c r="Y134">
        <v>34</v>
      </c>
      <c r="Z134" t="s">
        <v>50</v>
      </c>
    </row>
    <row r="135" spans="1:26">
      <c r="A135" t="s">
        <v>367</v>
      </c>
      <c r="B135" t="s">
        <v>273</v>
      </c>
      <c r="C135" t="s">
        <v>71</v>
      </c>
      <c r="D135" t="s">
        <v>72</v>
      </c>
      <c r="E135">
        <v>50</v>
      </c>
      <c r="F135" t="s">
        <v>30</v>
      </c>
      <c r="G135" t="s">
        <v>67</v>
      </c>
      <c r="H135" t="s">
        <v>32</v>
      </c>
      <c r="I135" t="e">
        <f ca="1">_xludf.XLOOKUP(H135,Base_Planos!$A:$A,Base_Planos!$B:$B,"Não encontrado")</f>
        <v>#NAME?</v>
      </c>
      <c r="J135" s="2">
        <f>VLOOKUP(H135,Base_Planos!$A:$G,4,FALSE)</f>
        <v>39.9</v>
      </c>
      <c r="K135" s="4">
        <v>45609</v>
      </c>
      <c r="L135" t="s">
        <v>83</v>
      </c>
      <c r="M135" t="s">
        <v>34</v>
      </c>
      <c r="N135" s="4">
        <v>45965</v>
      </c>
      <c r="O135" s="10">
        <f t="shared" ca="1" si="16"/>
        <v>356</v>
      </c>
      <c r="P135" s="10" t="str">
        <f t="shared" ca="1" si="13"/>
        <v>181 a 365 dias</v>
      </c>
      <c r="Q135">
        <f t="shared" si="12"/>
        <v>1</v>
      </c>
      <c r="R135">
        <v>7</v>
      </c>
      <c r="S135" s="11">
        <f t="shared" si="17"/>
        <v>39.9</v>
      </c>
      <c r="T135" s="11" t="str">
        <f t="shared" si="14"/>
        <v>Neutro</v>
      </c>
      <c r="U135" s="11" t="str">
        <f t="shared" si="15"/>
        <v>Alto risco</v>
      </c>
      <c r="V135">
        <v>2</v>
      </c>
      <c r="W135">
        <v>55</v>
      </c>
      <c r="X135" s="2">
        <v>37.049999999999997</v>
      </c>
      <c r="Y135">
        <v>11</v>
      </c>
      <c r="Z135" t="s">
        <v>50</v>
      </c>
    </row>
    <row r="136" spans="1:26">
      <c r="A136" t="s">
        <v>368</v>
      </c>
      <c r="B136" t="s">
        <v>369</v>
      </c>
      <c r="C136" t="s">
        <v>90</v>
      </c>
      <c r="D136" t="s">
        <v>29</v>
      </c>
      <c r="E136">
        <v>39</v>
      </c>
      <c r="F136" t="s">
        <v>54</v>
      </c>
      <c r="G136" t="s">
        <v>104</v>
      </c>
      <c r="H136" t="s">
        <v>82</v>
      </c>
      <c r="I136" t="e">
        <f ca="1">_xludf.XLOOKUP(H136,Base_Planos!$A:$A,Base_Planos!$B:$B,"Não encontrado")</f>
        <v>#NAME?</v>
      </c>
      <c r="J136" s="2">
        <f>VLOOKUP(H136,Base_Planos!$A:$G,4,FALSE)</f>
        <v>149.9</v>
      </c>
      <c r="K136" s="4">
        <v>45540</v>
      </c>
      <c r="L136" t="s">
        <v>91</v>
      </c>
      <c r="M136" t="s">
        <v>44</v>
      </c>
      <c r="N136" s="4"/>
      <c r="O136" s="10">
        <f t="shared" ca="1" si="16"/>
        <v>629</v>
      </c>
      <c r="P136" s="10" t="str">
        <f t="shared" ca="1" si="13"/>
        <v>Mais de 1 ano</v>
      </c>
      <c r="Q136">
        <f t="shared" si="12"/>
        <v>0</v>
      </c>
      <c r="R136">
        <v>7</v>
      </c>
      <c r="S136" s="11">
        <f t="shared" si="17"/>
        <v>0</v>
      </c>
      <c r="T136" s="11" t="str">
        <f t="shared" si="14"/>
        <v>Neutro</v>
      </c>
      <c r="U136" s="11" t="str">
        <f t="shared" si="15"/>
        <v>Médio risco</v>
      </c>
      <c r="V136">
        <v>1</v>
      </c>
      <c r="W136">
        <v>32</v>
      </c>
      <c r="X136" s="2">
        <v>144.91</v>
      </c>
      <c r="Y136">
        <v>20</v>
      </c>
      <c r="Z136" t="s">
        <v>35</v>
      </c>
    </row>
    <row r="137" spans="1:26">
      <c r="A137" t="s">
        <v>370</v>
      </c>
      <c r="B137" t="s">
        <v>371</v>
      </c>
      <c r="C137" t="s">
        <v>90</v>
      </c>
      <c r="D137" t="s">
        <v>29</v>
      </c>
      <c r="E137">
        <v>48</v>
      </c>
      <c r="F137" t="s">
        <v>30</v>
      </c>
      <c r="G137" t="s">
        <v>31</v>
      </c>
      <c r="H137" t="s">
        <v>82</v>
      </c>
      <c r="I137" t="e">
        <f ca="1">_xludf.XLOOKUP(H137,Base_Planos!$A:$A,Base_Planos!$B:$B,"Não encontrado")</f>
        <v>#NAME?</v>
      </c>
      <c r="J137" s="2">
        <f>VLOOKUP(H137,Base_Planos!$A:$G,4,FALSE)</f>
        <v>149.9</v>
      </c>
      <c r="K137" s="4">
        <v>46122</v>
      </c>
      <c r="L137" t="s">
        <v>43</v>
      </c>
      <c r="M137" t="s">
        <v>44</v>
      </c>
      <c r="N137" s="4"/>
      <c r="O137" s="10">
        <f t="shared" ca="1" si="16"/>
        <v>47</v>
      </c>
      <c r="P137" s="10" t="str">
        <f t="shared" ca="1" si="13"/>
        <v>31 a 90 dias</v>
      </c>
      <c r="Q137">
        <f t="shared" si="12"/>
        <v>0</v>
      </c>
      <c r="R137">
        <v>7</v>
      </c>
      <c r="S137" s="11">
        <f t="shared" si="17"/>
        <v>0</v>
      </c>
      <c r="T137" s="11" t="str">
        <f t="shared" si="14"/>
        <v>Neutro</v>
      </c>
      <c r="U137" s="11" t="str">
        <f t="shared" si="15"/>
        <v>Médio risco</v>
      </c>
      <c r="V137">
        <v>1</v>
      </c>
      <c r="W137">
        <v>91</v>
      </c>
      <c r="X137" s="2">
        <v>131.85</v>
      </c>
      <c r="Y137">
        <v>1</v>
      </c>
      <c r="Z137" t="s">
        <v>50</v>
      </c>
    </row>
    <row r="138" spans="1:26">
      <c r="A138" t="s">
        <v>372</v>
      </c>
      <c r="B138" t="s">
        <v>373</v>
      </c>
      <c r="C138" t="s">
        <v>28</v>
      </c>
      <c r="D138" t="s">
        <v>29</v>
      </c>
      <c r="E138">
        <v>54</v>
      </c>
      <c r="F138" t="s">
        <v>66</v>
      </c>
      <c r="G138" t="s">
        <v>55</v>
      </c>
      <c r="H138" t="s">
        <v>42</v>
      </c>
      <c r="I138" t="e">
        <f ca="1">_xludf.XLOOKUP(H138,Base_Planos!$A:$A,Base_Planos!$B:$B,"Não encontrado")</f>
        <v>#NAME?</v>
      </c>
      <c r="J138" s="2">
        <f>VLOOKUP(H138,Base_Planos!$A:$G,4,FALSE)</f>
        <v>29.9</v>
      </c>
      <c r="K138" s="4">
        <v>45830</v>
      </c>
      <c r="L138" t="s">
        <v>167</v>
      </c>
      <c r="M138" t="s">
        <v>44</v>
      </c>
      <c r="N138" s="4"/>
      <c r="O138" s="10">
        <f t="shared" ca="1" si="16"/>
        <v>339</v>
      </c>
      <c r="P138" s="10" t="str">
        <f t="shared" ca="1" si="13"/>
        <v>181 a 365 dias</v>
      </c>
      <c r="Q138">
        <f t="shared" si="12"/>
        <v>0</v>
      </c>
      <c r="R138">
        <v>5</v>
      </c>
      <c r="S138" s="11">
        <f t="shared" si="17"/>
        <v>0</v>
      </c>
      <c r="T138" s="11" t="str">
        <f t="shared" si="14"/>
        <v>Detrator</v>
      </c>
      <c r="U138" s="11" t="str">
        <f t="shared" si="15"/>
        <v>Alto risco</v>
      </c>
      <c r="V138">
        <v>0</v>
      </c>
      <c r="W138">
        <v>71</v>
      </c>
      <c r="X138" s="2">
        <v>29.07</v>
      </c>
      <c r="Y138">
        <v>11</v>
      </c>
      <c r="Z138" t="s">
        <v>50</v>
      </c>
    </row>
    <row r="139" spans="1:26">
      <c r="A139" t="s">
        <v>374</v>
      </c>
      <c r="B139" t="s">
        <v>375</v>
      </c>
      <c r="C139" t="s">
        <v>137</v>
      </c>
      <c r="D139" t="s">
        <v>29</v>
      </c>
      <c r="E139">
        <v>26</v>
      </c>
      <c r="F139" t="s">
        <v>54</v>
      </c>
      <c r="G139" t="s">
        <v>165</v>
      </c>
      <c r="H139" t="s">
        <v>166</v>
      </c>
      <c r="I139" t="e">
        <f ca="1">_xludf.XLOOKUP(H139,Base_Planos!$A:$A,Base_Planos!$B:$B,"Não encontrado")</f>
        <v>#NAME?</v>
      </c>
      <c r="J139" s="2">
        <f>VLOOKUP(H139,Base_Planos!$A:$G,4,FALSE)</f>
        <v>399.9</v>
      </c>
      <c r="K139" s="4">
        <v>45906</v>
      </c>
      <c r="L139" t="s">
        <v>189</v>
      </c>
      <c r="M139" t="s">
        <v>44</v>
      </c>
      <c r="N139" s="4"/>
      <c r="O139" s="10">
        <f t="shared" ca="1" si="16"/>
        <v>263</v>
      </c>
      <c r="P139" s="10" t="str">
        <f t="shared" ca="1" si="13"/>
        <v>181 a 365 dias</v>
      </c>
      <c r="Q139">
        <f t="shared" si="12"/>
        <v>0</v>
      </c>
      <c r="R139">
        <v>8</v>
      </c>
      <c r="S139" s="11">
        <f t="shared" si="17"/>
        <v>0</v>
      </c>
      <c r="T139" s="11" t="str">
        <f t="shared" si="14"/>
        <v>Neutro</v>
      </c>
      <c r="U139" s="11" t="str">
        <f t="shared" si="15"/>
        <v>Médio risco</v>
      </c>
      <c r="V139">
        <v>0</v>
      </c>
      <c r="W139">
        <v>100</v>
      </c>
      <c r="X139" s="2">
        <v>383.61</v>
      </c>
      <c r="Y139">
        <v>8</v>
      </c>
      <c r="Z139" t="s">
        <v>50</v>
      </c>
    </row>
    <row r="140" spans="1:26">
      <c r="A140" t="s">
        <v>376</v>
      </c>
      <c r="B140" t="s">
        <v>377</v>
      </c>
      <c r="C140" t="s">
        <v>90</v>
      </c>
      <c r="D140" t="s">
        <v>29</v>
      </c>
      <c r="E140">
        <v>48</v>
      </c>
      <c r="F140" t="s">
        <v>30</v>
      </c>
      <c r="G140" t="s">
        <v>31</v>
      </c>
      <c r="H140" t="s">
        <v>42</v>
      </c>
      <c r="I140" t="e">
        <f ca="1">_xludf.XLOOKUP(H140,Base_Planos!$A:$A,Base_Planos!$B:$B,"Não encontrado")</f>
        <v>#NAME?</v>
      </c>
      <c r="J140" s="2">
        <f>VLOOKUP(H140,Base_Planos!$A:$G,4,FALSE)</f>
        <v>29.9</v>
      </c>
      <c r="K140" s="4">
        <v>45538</v>
      </c>
      <c r="L140" t="s">
        <v>91</v>
      </c>
      <c r="M140" t="s">
        <v>44</v>
      </c>
      <c r="N140" s="4"/>
      <c r="O140" s="10">
        <f t="shared" ca="1" si="16"/>
        <v>631</v>
      </c>
      <c r="P140" s="10" t="str">
        <f t="shared" ca="1" si="13"/>
        <v>Mais de 1 ano</v>
      </c>
      <c r="Q140">
        <f t="shared" si="12"/>
        <v>0</v>
      </c>
      <c r="R140">
        <v>3</v>
      </c>
      <c r="S140" s="11">
        <f t="shared" si="17"/>
        <v>0</v>
      </c>
      <c r="T140" s="11" t="str">
        <f t="shared" si="14"/>
        <v>Detrator</v>
      </c>
      <c r="U140" s="11" t="str">
        <f t="shared" si="15"/>
        <v>Alto risco</v>
      </c>
      <c r="V140">
        <v>1</v>
      </c>
      <c r="W140">
        <v>28</v>
      </c>
      <c r="X140" s="2">
        <v>29.54</v>
      </c>
      <c r="Y140">
        <v>21</v>
      </c>
      <c r="Z140" t="s">
        <v>45</v>
      </c>
    </row>
    <row r="141" spans="1:26">
      <c r="A141" t="s">
        <v>378</v>
      </c>
      <c r="B141" t="s">
        <v>379</v>
      </c>
      <c r="C141" t="s">
        <v>77</v>
      </c>
      <c r="D141" t="s">
        <v>78</v>
      </c>
      <c r="E141">
        <v>40</v>
      </c>
      <c r="F141" t="s">
        <v>54</v>
      </c>
      <c r="G141" t="s">
        <v>73</v>
      </c>
      <c r="H141" t="s">
        <v>42</v>
      </c>
      <c r="I141" t="e">
        <f ca="1">_xludf.XLOOKUP(H141,Base_Planos!$A:$A,Base_Planos!$B:$B,"Não encontrado")</f>
        <v>#NAME?</v>
      </c>
      <c r="J141" s="2">
        <f>VLOOKUP(H141,Base_Planos!$A:$G,4,FALSE)</f>
        <v>29.9</v>
      </c>
      <c r="K141" s="4">
        <v>46101</v>
      </c>
      <c r="L141" t="s">
        <v>292</v>
      </c>
      <c r="M141" t="s">
        <v>44</v>
      </c>
      <c r="N141" s="4"/>
      <c r="O141" s="10">
        <f t="shared" ca="1" si="16"/>
        <v>68</v>
      </c>
      <c r="P141" s="10" t="str">
        <f t="shared" ca="1" si="13"/>
        <v>31 a 90 dias</v>
      </c>
      <c r="Q141">
        <f t="shared" si="12"/>
        <v>0</v>
      </c>
      <c r="R141">
        <v>10</v>
      </c>
      <c r="S141" s="11">
        <f t="shared" si="17"/>
        <v>0</v>
      </c>
      <c r="T141" s="11" t="str">
        <f t="shared" si="14"/>
        <v>Promotor</v>
      </c>
      <c r="U141" s="11" t="str">
        <f t="shared" si="15"/>
        <v>Baixo risco</v>
      </c>
      <c r="V141">
        <v>0</v>
      </c>
      <c r="W141">
        <v>41</v>
      </c>
      <c r="X141" s="2">
        <v>30.04</v>
      </c>
      <c r="Y141">
        <v>2</v>
      </c>
      <c r="Z141" t="s">
        <v>50</v>
      </c>
    </row>
    <row r="142" spans="1:26">
      <c r="A142" t="s">
        <v>380</v>
      </c>
      <c r="B142" t="s">
        <v>381</v>
      </c>
      <c r="C142" t="s">
        <v>28</v>
      </c>
      <c r="D142" t="s">
        <v>29</v>
      </c>
      <c r="E142">
        <v>36</v>
      </c>
      <c r="F142" t="s">
        <v>201</v>
      </c>
      <c r="G142" t="s">
        <v>55</v>
      </c>
      <c r="H142" t="s">
        <v>112</v>
      </c>
      <c r="I142" t="e">
        <f ca="1">_xludf.XLOOKUP(H142,Base_Planos!$A:$A,Base_Planos!$B:$B,"Não encontrado")</f>
        <v>#NAME?</v>
      </c>
      <c r="J142" s="2">
        <f>VLOOKUP(H142,Base_Planos!$A:$G,4,FALSE)</f>
        <v>79.900000000000006</v>
      </c>
      <c r="K142" s="4">
        <v>45832</v>
      </c>
      <c r="L142" t="s">
        <v>167</v>
      </c>
      <c r="M142" t="s">
        <v>44</v>
      </c>
      <c r="N142" s="4"/>
      <c r="O142" s="10">
        <f t="shared" ca="1" si="16"/>
        <v>337</v>
      </c>
      <c r="P142" s="10" t="str">
        <f t="shared" ca="1" si="13"/>
        <v>181 a 365 dias</v>
      </c>
      <c r="Q142">
        <f t="shared" si="12"/>
        <v>0</v>
      </c>
      <c r="R142">
        <v>10</v>
      </c>
      <c r="S142" s="11">
        <f t="shared" si="17"/>
        <v>0</v>
      </c>
      <c r="T142" s="11" t="str">
        <f t="shared" si="14"/>
        <v>Promotor</v>
      </c>
      <c r="U142" s="11" t="str">
        <f t="shared" si="15"/>
        <v>Baixo risco</v>
      </c>
      <c r="V142">
        <v>0</v>
      </c>
      <c r="W142">
        <v>88</v>
      </c>
      <c r="X142" s="2">
        <v>82.82</v>
      </c>
      <c r="Y142">
        <v>11</v>
      </c>
      <c r="Z142" t="s">
        <v>50</v>
      </c>
    </row>
    <row r="143" spans="1:26">
      <c r="A143" t="s">
        <v>382</v>
      </c>
      <c r="B143" t="s">
        <v>383</v>
      </c>
      <c r="C143" t="s">
        <v>94</v>
      </c>
      <c r="D143" t="s">
        <v>95</v>
      </c>
      <c r="E143">
        <v>24</v>
      </c>
      <c r="F143" t="s">
        <v>40</v>
      </c>
      <c r="G143" t="s">
        <v>31</v>
      </c>
      <c r="H143" t="s">
        <v>42</v>
      </c>
      <c r="I143" t="e">
        <f ca="1">_xludf.XLOOKUP(H143,Base_Planos!$A:$A,Base_Planos!$B:$B,"Não encontrado")</f>
        <v>#NAME?</v>
      </c>
      <c r="J143" s="2">
        <f>VLOOKUP(H143,Base_Planos!$A:$G,4,FALSE)</f>
        <v>29.9</v>
      </c>
      <c r="K143" s="4">
        <v>46014</v>
      </c>
      <c r="L143" t="s">
        <v>170</v>
      </c>
      <c r="M143" t="s">
        <v>44</v>
      </c>
      <c r="N143" s="4"/>
      <c r="O143" s="10">
        <f t="shared" ca="1" si="16"/>
        <v>155</v>
      </c>
      <c r="P143" s="10" t="str">
        <f t="shared" ca="1" si="13"/>
        <v>91 a 180 dias</v>
      </c>
      <c r="Q143">
        <f t="shared" si="12"/>
        <v>0</v>
      </c>
      <c r="R143">
        <v>3</v>
      </c>
      <c r="S143" s="11">
        <f t="shared" si="17"/>
        <v>0</v>
      </c>
      <c r="T143" s="11" t="str">
        <f t="shared" si="14"/>
        <v>Detrator</v>
      </c>
      <c r="U143" s="11" t="str">
        <f t="shared" si="15"/>
        <v>Alto risco</v>
      </c>
      <c r="V143">
        <v>0</v>
      </c>
      <c r="W143">
        <v>49</v>
      </c>
      <c r="X143" s="2">
        <v>26.02</v>
      </c>
      <c r="Y143">
        <v>5</v>
      </c>
      <c r="Z143" t="s">
        <v>35</v>
      </c>
    </row>
    <row r="144" spans="1:26">
      <c r="A144" t="s">
        <v>384</v>
      </c>
      <c r="B144" t="s">
        <v>252</v>
      </c>
      <c r="C144" t="s">
        <v>28</v>
      </c>
      <c r="D144" t="s">
        <v>29</v>
      </c>
      <c r="E144">
        <v>53</v>
      </c>
      <c r="F144" t="s">
        <v>201</v>
      </c>
      <c r="G144" t="s">
        <v>96</v>
      </c>
      <c r="H144" t="s">
        <v>112</v>
      </c>
      <c r="I144" t="e">
        <f ca="1">_xludf.XLOOKUP(H144,Base_Planos!$A:$A,Base_Planos!$B:$B,"Não encontrado")</f>
        <v>#NAME?</v>
      </c>
      <c r="J144" s="2">
        <f>VLOOKUP(H144,Base_Planos!$A:$G,4,FALSE)</f>
        <v>79.900000000000006</v>
      </c>
      <c r="K144" s="4">
        <v>45901</v>
      </c>
      <c r="L144" t="s">
        <v>189</v>
      </c>
      <c r="M144" t="s">
        <v>34</v>
      </c>
      <c r="N144" s="4">
        <v>45946</v>
      </c>
      <c r="O144" s="10">
        <f t="shared" ca="1" si="16"/>
        <v>45</v>
      </c>
      <c r="P144" s="10" t="str">
        <f t="shared" ca="1" si="13"/>
        <v>31 a 90 dias</v>
      </c>
      <c r="Q144">
        <f t="shared" si="12"/>
        <v>1</v>
      </c>
      <c r="R144">
        <v>7</v>
      </c>
      <c r="S144" s="11">
        <f t="shared" si="17"/>
        <v>79.900000000000006</v>
      </c>
      <c r="T144" s="11" t="str">
        <f t="shared" si="14"/>
        <v>Neutro</v>
      </c>
      <c r="U144" s="11" t="str">
        <f t="shared" si="15"/>
        <v>Alto risco</v>
      </c>
      <c r="V144">
        <v>0</v>
      </c>
      <c r="W144">
        <v>18</v>
      </c>
      <c r="X144" s="2">
        <v>69.34</v>
      </c>
      <c r="Y144">
        <v>1</v>
      </c>
      <c r="Z144" t="s">
        <v>35</v>
      </c>
    </row>
    <row r="145" spans="1:26">
      <c r="A145" t="s">
        <v>385</v>
      </c>
      <c r="B145" t="s">
        <v>386</v>
      </c>
      <c r="C145" t="s">
        <v>38</v>
      </c>
      <c r="D145" t="s">
        <v>39</v>
      </c>
      <c r="E145">
        <v>65</v>
      </c>
      <c r="F145" t="s">
        <v>40</v>
      </c>
      <c r="G145" t="s">
        <v>67</v>
      </c>
      <c r="H145" t="s">
        <v>86</v>
      </c>
      <c r="I145" t="e">
        <f ca="1">_xludf.XLOOKUP(H145,Base_Planos!$A:$A,Base_Planos!$B:$B,"Não encontrado")</f>
        <v>#NAME?</v>
      </c>
      <c r="J145" s="2">
        <f>VLOOKUP(H145,Base_Planos!$A:$G,4,FALSE)</f>
        <v>119.9</v>
      </c>
      <c r="K145" s="4">
        <v>45285</v>
      </c>
      <c r="L145" t="s">
        <v>62</v>
      </c>
      <c r="M145" t="s">
        <v>44</v>
      </c>
      <c r="N145" s="4"/>
      <c r="O145" s="10">
        <f t="shared" ca="1" si="16"/>
        <v>884</v>
      </c>
      <c r="P145" s="10" t="str">
        <f t="shared" ca="1" si="13"/>
        <v>Mais de 1 ano</v>
      </c>
      <c r="Q145">
        <f t="shared" si="12"/>
        <v>0</v>
      </c>
      <c r="R145">
        <v>6</v>
      </c>
      <c r="S145" s="11">
        <f t="shared" si="17"/>
        <v>0</v>
      </c>
      <c r="T145" s="11" t="str">
        <f t="shared" si="14"/>
        <v>Detrator</v>
      </c>
      <c r="U145" s="11" t="str">
        <f t="shared" si="15"/>
        <v>Alto risco</v>
      </c>
      <c r="V145">
        <v>3</v>
      </c>
      <c r="W145">
        <v>45</v>
      </c>
      <c r="X145" s="2">
        <v>111.43</v>
      </c>
      <c r="Y145">
        <v>29</v>
      </c>
      <c r="Z145" t="s">
        <v>35</v>
      </c>
    </row>
    <row r="146" spans="1:26">
      <c r="A146" t="s">
        <v>387</v>
      </c>
      <c r="B146" t="s">
        <v>388</v>
      </c>
      <c r="C146" t="s">
        <v>137</v>
      </c>
      <c r="D146" t="s">
        <v>29</v>
      </c>
      <c r="E146">
        <v>36</v>
      </c>
      <c r="F146" t="s">
        <v>66</v>
      </c>
      <c r="G146" t="s">
        <v>67</v>
      </c>
      <c r="H146" t="s">
        <v>42</v>
      </c>
      <c r="I146" t="e">
        <f ca="1">_xludf.XLOOKUP(H146,Base_Planos!$A:$A,Base_Planos!$B:$B,"Não encontrado")</f>
        <v>#NAME?</v>
      </c>
      <c r="J146" s="2">
        <f>VLOOKUP(H146,Base_Planos!$A:$G,4,FALSE)</f>
        <v>29.9</v>
      </c>
      <c r="K146" s="4">
        <v>45146</v>
      </c>
      <c r="L146" t="s">
        <v>162</v>
      </c>
      <c r="M146" t="s">
        <v>44</v>
      </c>
      <c r="N146" s="4"/>
      <c r="O146" s="10">
        <f t="shared" ca="1" si="16"/>
        <v>1023</v>
      </c>
      <c r="P146" s="10" t="str">
        <f t="shared" ca="1" si="13"/>
        <v>Mais de 1 ano</v>
      </c>
      <c r="Q146">
        <f t="shared" si="12"/>
        <v>0</v>
      </c>
      <c r="R146">
        <v>5</v>
      </c>
      <c r="S146" s="11">
        <f t="shared" si="17"/>
        <v>0</v>
      </c>
      <c r="T146" s="11" t="str">
        <f t="shared" si="14"/>
        <v>Detrator</v>
      </c>
      <c r="U146" s="11" t="str">
        <f t="shared" si="15"/>
        <v>Alto risco</v>
      </c>
      <c r="V146">
        <v>0</v>
      </c>
      <c r="W146">
        <v>100</v>
      </c>
      <c r="X146" s="2">
        <v>31.03</v>
      </c>
      <c r="Y146">
        <v>34</v>
      </c>
      <c r="Z146" t="s">
        <v>50</v>
      </c>
    </row>
    <row r="147" spans="1:26">
      <c r="A147" t="s">
        <v>389</v>
      </c>
      <c r="B147" t="s">
        <v>390</v>
      </c>
      <c r="C147" t="s">
        <v>77</v>
      </c>
      <c r="D147" t="s">
        <v>78</v>
      </c>
      <c r="E147">
        <v>35</v>
      </c>
      <c r="F147" t="s">
        <v>30</v>
      </c>
      <c r="G147" t="s">
        <v>55</v>
      </c>
      <c r="H147" t="s">
        <v>42</v>
      </c>
      <c r="I147" t="e">
        <f ca="1">_xludf.XLOOKUP(H147,Base_Planos!$A:$A,Base_Planos!$B:$B,"Não encontrado")</f>
        <v>#NAME?</v>
      </c>
      <c r="J147" s="2">
        <f>VLOOKUP(H147,Base_Planos!$A:$G,4,FALSE)</f>
        <v>29.9</v>
      </c>
      <c r="K147" s="4">
        <v>45866</v>
      </c>
      <c r="L147" t="s">
        <v>212</v>
      </c>
      <c r="M147" t="s">
        <v>44</v>
      </c>
      <c r="N147" s="4"/>
      <c r="O147" s="10">
        <f t="shared" ca="1" si="16"/>
        <v>303</v>
      </c>
      <c r="P147" s="10" t="str">
        <f t="shared" ca="1" si="13"/>
        <v>181 a 365 dias</v>
      </c>
      <c r="Q147">
        <f t="shared" si="12"/>
        <v>0</v>
      </c>
      <c r="R147">
        <v>10</v>
      </c>
      <c r="S147" s="11">
        <f t="shared" si="17"/>
        <v>0</v>
      </c>
      <c r="T147" s="11" t="str">
        <f t="shared" si="14"/>
        <v>Promotor</v>
      </c>
      <c r="U147" s="11" t="str">
        <f t="shared" si="15"/>
        <v>Baixo risco</v>
      </c>
      <c r="V147">
        <v>1</v>
      </c>
      <c r="W147">
        <v>74</v>
      </c>
      <c r="X147" s="2">
        <v>28.81</v>
      </c>
      <c r="Y147">
        <v>10</v>
      </c>
      <c r="Z147" t="s">
        <v>50</v>
      </c>
    </row>
    <row r="148" spans="1:26">
      <c r="A148" t="s">
        <v>391</v>
      </c>
      <c r="B148" t="s">
        <v>392</v>
      </c>
      <c r="C148" t="s">
        <v>94</v>
      </c>
      <c r="D148" t="s">
        <v>95</v>
      </c>
      <c r="E148">
        <v>57</v>
      </c>
      <c r="F148" t="s">
        <v>66</v>
      </c>
      <c r="G148" t="s">
        <v>41</v>
      </c>
      <c r="H148" t="s">
        <v>82</v>
      </c>
      <c r="I148" t="e">
        <f ca="1">_xludf.XLOOKUP(H148,Base_Planos!$A:$A,Base_Planos!$B:$B,"Não encontrado")</f>
        <v>#NAME?</v>
      </c>
      <c r="J148" s="2">
        <f>VLOOKUP(H148,Base_Planos!$A:$G,4,FALSE)</f>
        <v>149.9</v>
      </c>
      <c r="K148" s="4">
        <v>45982</v>
      </c>
      <c r="L148" t="s">
        <v>87</v>
      </c>
      <c r="M148" t="s">
        <v>34</v>
      </c>
      <c r="N148" s="4">
        <v>46094</v>
      </c>
      <c r="O148" s="10">
        <f t="shared" ca="1" si="16"/>
        <v>112</v>
      </c>
      <c r="P148" s="10" t="str">
        <f t="shared" ca="1" si="13"/>
        <v>91 a 180 dias</v>
      </c>
      <c r="Q148">
        <f t="shared" si="12"/>
        <v>1</v>
      </c>
      <c r="R148">
        <v>5</v>
      </c>
      <c r="S148" s="11">
        <f t="shared" si="17"/>
        <v>149.9</v>
      </c>
      <c r="T148" s="11" t="str">
        <f t="shared" si="14"/>
        <v>Detrator</v>
      </c>
      <c r="U148" s="11" t="str">
        <f t="shared" si="15"/>
        <v>Alto risco</v>
      </c>
      <c r="V148">
        <v>0</v>
      </c>
      <c r="W148">
        <v>78</v>
      </c>
      <c r="X148" s="2">
        <v>127.62</v>
      </c>
      <c r="Y148">
        <v>3</v>
      </c>
      <c r="Z148" t="s">
        <v>35</v>
      </c>
    </row>
    <row r="149" spans="1:26">
      <c r="A149" t="s">
        <v>393</v>
      </c>
      <c r="B149" t="s">
        <v>394</v>
      </c>
      <c r="C149" t="s">
        <v>77</v>
      </c>
      <c r="D149" t="s">
        <v>78</v>
      </c>
      <c r="E149">
        <v>35</v>
      </c>
      <c r="F149" t="s">
        <v>201</v>
      </c>
      <c r="G149" t="s">
        <v>73</v>
      </c>
      <c r="H149" t="s">
        <v>61</v>
      </c>
      <c r="I149" t="e">
        <f ca="1">_xludf.XLOOKUP(H149,Base_Planos!$A:$A,Base_Planos!$B:$B,"Não encontrado")</f>
        <v>#NAME?</v>
      </c>
      <c r="J149" s="2">
        <f>VLOOKUP(H149,Base_Planos!$A:$G,4,FALSE)</f>
        <v>59.9</v>
      </c>
      <c r="K149" s="4">
        <v>46100</v>
      </c>
      <c r="L149" t="s">
        <v>292</v>
      </c>
      <c r="M149" t="s">
        <v>44</v>
      </c>
      <c r="N149" s="4"/>
      <c r="O149" s="10">
        <f t="shared" ca="1" si="16"/>
        <v>69</v>
      </c>
      <c r="P149" s="10" t="str">
        <f t="shared" ca="1" si="13"/>
        <v>31 a 90 dias</v>
      </c>
      <c r="Q149">
        <f t="shared" si="12"/>
        <v>0</v>
      </c>
      <c r="R149">
        <v>0</v>
      </c>
      <c r="S149" s="11">
        <f t="shared" si="17"/>
        <v>0</v>
      </c>
      <c r="T149" s="11" t="str">
        <f t="shared" si="14"/>
        <v>Detrator</v>
      </c>
      <c r="U149" s="11" t="str">
        <f t="shared" si="15"/>
        <v>Alto risco</v>
      </c>
      <c r="V149">
        <v>0</v>
      </c>
      <c r="W149">
        <v>83</v>
      </c>
      <c r="X149" s="2">
        <v>56.49</v>
      </c>
      <c r="Y149">
        <v>2</v>
      </c>
      <c r="Z149" t="s">
        <v>35</v>
      </c>
    </row>
    <row r="150" spans="1:26">
      <c r="A150" t="s">
        <v>395</v>
      </c>
      <c r="B150" t="s">
        <v>396</v>
      </c>
      <c r="C150" t="s">
        <v>65</v>
      </c>
      <c r="D150" t="s">
        <v>29</v>
      </c>
      <c r="E150">
        <v>50</v>
      </c>
      <c r="F150" t="s">
        <v>66</v>
      </c>
      <c r="G150" t="s">
        <v>73</v>
      </c>
      <c r="H150" t="s">
        <v>61</v>
      </c>
      <c r="I150" t="e">
        <f ca="1">_xludf.XLOOKUP(H150,Base_Planos!$A:$A,Base_Planos!$B:$B,"Não encontrado")</f>
        <v>#NAME?</v>
      </c>
      <c r="J150" s="2">
        <f>VLOOKUP(H150,Base_Planos!$A:$G,4,FALSE)</f>
        <v>59.9</v>
      </c>
      <c r="K150" s="4">
        <v>45531</v>
      </c>
      <c r="L150" t="s">
        <v>156</v>
      </c>
      <c r="M150" t="s">
        <v>44</v>
      </c>
      <c r="N150" s="4"/>
      <c r="O150" s="10">
        <f t="shared" ca="1" si="16"/>
        <v>638</v>
      </c>
      <c r="P150" s="10" t="str">
        <f t="shared" ca="1" si="13"/>
        <v>Mais de 1 ano</v>
      </c>
      <c r="Q150">
        <f t="shared" si="12"/>
        <v>0</v>
      </c>
      <c r="R150">
        <v>5</v>
      </c>
      <c r="S150" s="11">
        <f t="shared" si="17"/>
        <v>0</v>
      </c>
      <c r="T150" s="11" t="str">
        <f t="shared" si="14"/>
        <v>Detrator</v>
      </c>
      <c r="U150" s="11" t="str">
        <f t="shared" si="15"/>
        <v>Alto risco</v>
      </c>
      <c r="V150">
        <v>0</v>
      </c>
      <c r="W150">
        <v>44</v>
      </c>
      <c r="X150" s="2">
        <v>59.87</v>
      </c>
      <c r="Y150">
        <v>21</v>
      </c>
      <c r="Z150" t="s">
        <v>35</v>
      </c>
    </row>
    <row r="151" spans="1:26">
      <c r="A151" t="s">
        <v>397</v>
      </c>
      <c r="B151" t="s">
        <v>398</v>
      </c>
      <c r="C151" t="s">
        <v>71</v>
      </c>
      <c r="D151" t="s">
        <v>72</v>
      </c>
      <c r="E151">
        <v>62</v>
      </c>
      <c r="F151" t="s">
        <v>54</v>
      </c>
      <c r="G151" t="s">
        <v>104</v>
      </c>
      <c r="H151" t="s">
        <v>82</v>
      </c>
      <c r="I151" t="e">
        <f ca="1">_xludf.XLOOKUP(H151,Base_Planos!$A:$A,Base_Planos!$B:$B,"Não encontrado")</f>
        <v>#NAME?</v>
      </c>
      <c r="J151" s="2">
        <f>VLOOKUP(H151,Base_Planos!$A:$G,4,FALSE)</f>
        <v>149.9</v>
      </c>
      <c r="K151" s="4">
        <v>45374</v>
      </c>
      <c r="L151" t="s">
        <v>126</v>
      </c>
      <c r="M151" t="s">
        <v>44</v>
      </c>
      <c r="N151" s="4"/>
      <c r="O151" s="10">
        <f t="shared" ca="1" si="16"/>
        <v>795</v>
      </c>
      <c r="P151" s="10" t="str">
        <f t="shared" ca="1" si="13"/>
        <v>Mais de 1 ano</v>
      </c>
      <c r="Q151">
        <f t="shared" si="12"/>
        <v>0</v>
      </c>
      <c r="R151">
        <v>3</v>
      </c>
      <c r="S151" s="11">
        <f t="shared" si="17"/>
        <v>0</v>
      </c>
      <c r="T151" s="11" t="str">
        <f t="shared" si="14"/>
        <v>Detrator</v>
      </c>
      <c r="U151" s="11" t="str">
        <f t="shared" si="15"/>
        <v>Alto risco</v>
      </c>
      <c r="V151">
        <v>1</v>
      </c>
      <c r="W151">
        <v>22</v>
      </c>
      <c r="X151" s="2">
        <v>143.25</v>
      </c>
      <c r="Y151">
        <v>26</v>
      </c>
      <c r="Z151" t="s">
        <v>35</v>
      </c>
    </row>
    <row r="152" spans="1:26">
      <c r="A152" t="s">
        <v>399</v>
      </c>
      <c r="B152" t="s">
        <v>400</v>
      </c>
      <c r="C152" t="s">
        <v>90</v>
      </c>
      <c r="D152" t="s">
        <v>29</v>
      </c>
      <c r="E152">
        <v>25</v>
      </c>
      <c r="F152" t="s">
        <v>30</v>
      </c>
      <c r="G152" t="s">
        <v>31</v>
      </c>
      <c r="H152" t="s">
        <v>61</v>
      </c>
      <c r="I152" t="e">
        <f ca="1">_xludf.XLOOKUP(H152,Base_Planos!$A:$A,Base_Planos!$B:$B,"Não encontrado")</f>
        <v>#NAME?</v>
      </c>
      <c r="J152" s="2">
        <f>VLOOKUP(H152,Base_Planos!$A:$G,4,FALSE)</f>
        <v>59.9</v>
      </c>
      <c r="K152" s="4">
        <v>45233</v>
      </c>
      <c r="L152" t="s">
        <v>79</v>
      </c>
      <c r="M152" t="s">
        <v>34</v>
      </c>
      <c r="N152" s="4">
        <v>45860</v>
      </c>
      <c r="O152" s="10">
        <f t="shared" ca="1" si="16"/>
        <v>627</v>
      </c>
      <c r="P152" s="10" t="str">
        <f t="shared" ca="1" si="13"/>
        <v>Mais de 1 ano</v>
      </c>
      <c r="Q152">
        <f t="shared" si="12"/>
        <v>1</v>
      </c>
      <c r="R152">
        <v>2</v>
      </c>
      <c r="S152" s="11">
        <f t="shared" si="17"/>
        <v>59.9</v>
      </c>
      <c r="T152" s="11" t="str">
        <f t="shared" si="14"/>
        <v>Detrator</v>
      </c>
      <c r="U152" s="11" t="str">
        <f t="shared" si="15"/>
        <v>Alto risco</v>
      </c>
      <c r="V152">
        <v>0</v>
      </c>
      <c r="W152">
        <v>86</v>
      </c>
      <c r="X152" s="2">
        <v>61.68</v>
      </c>
      <c r="Y152">
        <v>20</v>
      </c>
      <c r="Z152" t="s">
        <v>35</v>
      </c>
    </row>
    <row r="153" spans="1:26">
      <c r="A153" t="s">
        <v>401</v>
      </c>
      <c r="B153" t="s">
        <v>402</v>
      </c>
      <c r="C153" t="s">
        <v>77</v>
      </c>
      <c r="D153" t="s">
        <v>78</v>
      </c>
      <c r="E153">
        <v>26</v>
      </c>
      <c r="F153" t="s">
        <v>54</v>
      </c>
      <c r="G153" t="s">
        <v>104</v>
      </c>
      <c r="H153" t="s">
        <v>61</v>
      </c>
      <c r="I153" t="e">
        <f ca="1">_xludf.XLOOKUP(H153,Base_Planos!$A:$A,Base_Planos!$B:$B,"Não encontrado")</f>
        <v>#NAME?</v>
      </c>
      <c r="J153" s="2">
        <f>VLOOKUP(H153,Base_Planos!$A:$G,4,FALSE)</f>
        <v>59.9</v>
      </c>
      <c r="K153" s="4">
        <v>46071</v>
      </c>
      <c r="L153" t="s">
        <v>74</v>
      </c>
      <c r="M153" t="s">
        <v>44</v>
      </c>
      <c r="N153" s="4"/>
      <c r="O153" s="10">
        <f t="shared" ca="1" si="16"/>
        <v>98</v>
      </c>
      <c r="P153" s="10" t="str">
        <f t="shared" ca="1" si="13"/>
        <v>91 a 180 dias</v>
      </c>
      <c r="Q153">
        <f t="shared" si="12"/>
        <v>0</v>
      </c>
      <c r="R153">
        <v>7</v>
      </c>
      <c r="S153" s="11">
        <f t="shared" si="17"/>
        <v>0</v>
      </c>
      <c r="T153" s="11" t="str">
        <f t="shared" si="14"/>
        <v>Neutro</v>
      </c>
      <c r="U153" s="11" t="str">
        <f t="shared" si="15"/>
        <v>Médio risco</v>
      </c>
      <c r="V153">
        <v>0</v>
      </c>
      <c r="W153">
        <v>35</v>
      </c>
      <c r="X153" s="2">
        <v>50.95</v>
      </c>
      <c r="Y153">
        <v>3</v>
      </c>
      <c r="Z153" t="s">
        <v>50</v>
      </c>
    </row>
    <row r="154" spans="1:26">
      <c r="A154" t="s">
        <v>403</v>
      </c>
      <c r="B154" t="s">
        <v>404</v>
      </c>
      <c r="C154" t="s">
        <v>102</v>
      </c>
      <c r="D154" t="s">
        <v>103</v>
      </c>
      <c r="E154">
        <v>20</v>
      </c>
      <c r="F154" t="s">
        <v>54</v>
      </c>
      <c r="G154" t="s">
        <v>55</v>
      </c>
      <c r="H154" t="s">
        <v>61</v>
      </c>
      <c r="I154" t="e">
        <f ca="1">_xludf.XLOOKUP(H154,Base_Planos!$A:$A,Base_Planos!$B:$B,"Não encontrado")</f>
        <v>#NAME?</v>
      </c>
      <c r="J154" s="2">
        <f>VLOOKUP(H154,Base_Planos!$A:$G,4,FALSE)</f>
        <v>59.9</v>
      </c>
      <c r="K154" s="4">
        <v>45050</v>
      </c>
      <c r="L154" t="s">
        <v>115</v>
      </c>
      <c r="M154" t="s">
        <v>34</v>
      </c>
      <c r="N154" s="4">
        <v>45357</v>
      </c>
      <c r="O154" s="10">
        <f t="shared" ca="1" si="16"/>
        <v>307</v>
      </c>
      <c r="P154" s="10" t="str">
        <f t="shared" ca="1" si="13"/>
        <v>181 a 365 dias</v>
      </c>
      <c r="Q154">
        <f t="shared" si="12"/>
        <v>1</v>
      </c>
      <c r="R154">
        <v>1</v>
      </c>
      <c r="S154" s="11">
        <f t="shared" si="17"/>
        <v>59.9</v>
      </c>
      <c r="T154" s="11" t="str">
        <f t="shared" si="14"/>
        <v>Detrator</v>
      </c>
      <c r="U154" s="11" t="str">
        <f t="shared" si="15"/>
        <v>Alto risco</v>
      </c>
      <c r="V154">
        <v>0</v>
      </c>
      <c r="W154">
        <v>54</v>
      </c>
      <c r="X154" s="2">
        <v>62.64</v>
      </c>
      <c r="Y154">
        <v>10</v>
      </c>
      <c r="Z154" t="s">
        <v>45</v>
      </c>
    </row>
    <row r="155" spans="1:26">
      <c r="A155" t="s">
        <v>405</v>
      </c>
      <c r="B155" t="s">
        <v>406</v>
      </c>
      <c r="C155" t="s">
        <v>108</v>
      </c>
      <c r="D155" t="s">
        <v>109</v>
      </c>
      <c r="E155">
        <v>42</v>
      </c>
      <c r="F155" t="s">
        <v>54</v>
      </c>
      <c r="G155" t="s">
        <v>41</v>
      </c>
      <c r="H155" t="s">
        <v>112</v>
      </c>
      <c r="I155" t="e">
        <f ca="1">_xludf.XLOOKUP(H155,Base_Planos!$A:$A,Base_Planos!$B:$B,"Não encontrado")</f>
        <v>#NAME?</v>
      </c>
      <c r="J155" s="2">
        <f>VLOOKUP(H155,Base_Planos!$A:$G,4,FALSE)</f>
        <v>79.900000000000006</v>
      </c>
      <c r="K155" s="4">
        <v>46031</v>
      </c>
      <c r="L155" t="s">
        <v>148</v>
      </c>
      <c r="M155" t="s">
        <v>44</v>
      </c>
      <c r="N155" s="4"/>
      <c r="O155" s="10">
        <f t="shared" ca="1" si="16"/>
        <v>138</v>
      </c>
      <c r="P155" s="10" t="str">
        <f t="shared" ca="1" si="13"/>
        <v>91 a 180 dias</v>
      </c>
      <c r="Q155">
        <f t="shared" si="12"/>
        <v>0</v>
      </c>
      <c r="R155">
        <v>2</v>
      </c>
      <c r="S155" s="11">
        <f t="shared" si="17"/>
        <v>0</v>
      </c>
      <c r="T155" s="11" t="str">
        <f t="shared" si="14"/>
        <v>Detrator</v>
      </c>
      <c r="U155" s="11" t="str">
        <f t="shared" si="15"/>
        <v>Alto risco</v>
      </c>
      <c r="V155">
        <v>0</v>
      </c>
      <c r="W155">
        <v>35</v>
      </c>
      <c r="X155" s="2">
        <v>76.37</v>
      </c>
      <c r="Y155">
        <v>4</v>
      </c>
      <c r="Z155" t="s">
        <v>35</v>
      </c>
    </row>
    <row r="156" spans="1:26">
      <c r="A156" t="s">
        <v>407</v>
      </c>
      <c r="B156" t="s">
        <v>408</v>
      </c>
      <c r="C156" t="s">
        <v>53</v>
      </c>
      <c r="D156" t="s">
        <v>29</v>
      </c>
      <c r="E156">
        <v>18</v>
      </c>
      <c r="F156" t="s">
        <v>40</v>
      </c>
      <c r="G156" t="s">
        <v>73</v>
      </c>
      <c r="H156" t="s">
        <v>112</v>
      </c>
      <c r="I156" t="e">
        <f ca="1">_xludf.XLOOKUP(H156,Base_Planos!$A:$A,Base_Planos!$B:$B,"Não encontrado")</f>
        <v>#NAME?</v>
      </c>
      <c r="J156" s="2">
        <f>VLOOKUP(H156,Base_Planos!$A:$G,4,FALSE)</f>
        <v>79.900000000000006</v>
      </c>
      <c r="K156" s="4">
        <v>46042</v>
      </c>
      <c r="L156" t="s">
        <v>148</v>
      </c>
      <c r="M156" t="s">
        <v>44</v>
      </c>
      <c r="N156" s="4"/>
      <c r="O156" s="10">
        <f t="shared" ca="1" si="16"/>
        <v>127</v>
      </c>
      <c r="P156" s="10" t="str">
        <f t="shared" ca="1" si="13"/>
        <v>91 a 180 dias</v>
      </c>
      <c r="Q156">
        <f t="shared" si="12"/>
        <v>0</v>
      </c>
      <c r="R156">
        <v>6</v>
      </c>
      <c r="S156" s="11">
        <f t="shared" si="17"/>
        <v>0</v>
      </c>
      <c r="T156" s="11" t="str">
        <f t="shared" si="14"/>
        <v>Detrator</v>
      </c>
      <c r="U156" s="11" t="str">
        <f t="shared" si="15"/>
        <v>Alto risco</v>
      </c>
      <c r="V156">
        <v>0</v>
      </c>
      <c r="W156">
        <v>46</v>
      </c>
      <c r="X156" s="2">
        <v>72.319999999999993</v>
      </c>
      <c r="Y156">
        <v>4</v>
      </c>
      <c r="Z156" t="s">
        <v>50</v>
      </c>
    </row>
    <row r="157" spans="1:26">
      <c r="A157" t="s">
        <v>409</v>
      </c>
      <c r="B157" t="s">
        <v>164</v>
      </c>
      <c r="C157" t="s">
        <v>28</v>
      </c>
      <c r="D157" t="s">
        <v>29</v>
      </c>
      <c r="E157">
        <v>60</v>
      </c>
      <c r="F157" t="s">
        <v>54</v>
      </c>
      <c r="G157" t="s">
        <v>67</v>
      </c>
      <c r="H157" t="s">
        <v>42</v>
      </c>
      <c r="I157" t="e">
        <f ca="1">_xludf.XLOOKUP(H157,Base_Planos!$A:$A,Base_Planos!$B:$B,"Não encontrado")</f>
        <v>#NAME?</v>
      </c>
      <c r="J157" s="2">
        <f>VLOOKUP(H157,Base_Planos!$A:$G,4,FALSE)</f>
        <v>29.9</v>
      </c>
      <c r="K157" s="4">
        <v>45064</v>
      </c>
      <c r="L157" t="s">
        <v>115</v>
      </c>
      <c r="M157" t="s">
        <v>44</v>
      </c>
      <c r="N157" s="4"/>
      <c r="O157" s="10">
        <f t="shared" ca="1" si="16"/>
        <v>1105</v>
      </c>
      <c r="P157" s="10" t="str">
        <f t="shared" ca="1" si="13"/>
        <v>Mais de 1 ano</v>
      </c>
      <c r="Q157">
        <f t="shared" si="12"/>
        <v>0</v>
      </c>
      <c r="R157">
        <v>1</v>
      </c>
      <c r="S157" s="11">
        <f t="shared" si="17"/>
        <v>0</v>
      </c>
      <c r="T157" s="11" t="str">
        <f t="shared" si="14"/>
        <v>Detrator</v>
      </c>
      <c r="U157" s="11" t="str">
        <f t="shared" si="15"/>
        <v>Alto risco</v>
      </c>
      <c r="V157">
        <v>1</v>
      </c>
      <c r="W157">
        <v>40</v>
      </c>
      <c r="X157" s="2">
        <v>26.88</v>
      </c>
      <c r="Y157">
        <v>36</v>
      </c>
      <c r="Z157" t="s">
        <v>35</v>
      </c>
    </row>
    <row r="158" spans="1:26">
      <c r="A158" t="s">
        <v>410</v>
      </c>
      <c r="B158" t="s">
        <v>411</v>
      </c>
      <c r="C158" t="s">
        <v>77</v>
      </c>
      <c r="D158" t="s">
        <v>78</v>
      </c>
      <c r="E158">
        <v>32</v>
      </c>
      <c r="F158" t="s">
        <v>54</v>
      </c>
      <c r="G158" t="s">
        <v>67</v>
      </c>
      <c r="H158" t="s">
        <v>32</v>
      </c>
      <c r="I158" t="e">
        <f ca="1">_xludf.XLOOKUP(H158,Base_Planos!$A:$A,Base_Planos!$B:$B,"Não encontrado")</f>
        <v>#NAME?</v>
      </c>
      <c r="J158" s="2">
        <f>VLOOKUP(H158,Base_Planos!$A:$G,4,FALSE)</f>
        <v>39.9</v>
      </c>
      <c r="K158" s="4">
        <v>45519</v>
      </c>
      <c r="L158" t="s">
        <v>156</v>
      </c>
      <c r="M158" t="s">
        <v>44</v>
      </c>
      <c r="N158" s="4"/>
      <c r="O158" s="10">
        <f t="shared" ca="1" si="16"/>
        <v>650</v>
      </c>
      <c r="P158" s="10" t="str">
        <f t="shared" ca="1" si="13"/>
        <v>Mais de 1 ano</v>
      </c>
      <c r="Q158">
        <f t="shared" si="12"/>
        <v>0</v>
      </c>
      <c r="R158">
        <v>3</v>
      </c>
      <c r="S158" s="11">
        <f t="shared" si="17"/>
        <v>0</v>
      </c>
      <c r="T158" s="11" t="str">
        <f t="shared" si="14"/>
        <v>Detrator</v>
      </c>
      <c r="U158" s="11" t="str">
        <f t="shared" si="15"/>
        <v>Alto risco</v>
      </c>
      <c r="V158">
        <v>0</v>
      </c>
      <c r="W158">
        <v>15</v>
      </c>
      <c r="X158" s="2">
        <v>39.28</v>
      </c>
      <c r="Y158">
        <v>21</v>
      </c>
      <c r="Z158" t="s">
        <v>45</v>
      </c>
    </row>
    <row r="159" spans="1:26">
      <c r="A159" t="s">
        <v>412</v>
      </c>
      <c r="B159" t="s">
        <v>413</v>
      </c>
      <c r="C159" t="s">
        <v>140</v>
      </c>
      <c r="D159" t="s">
        <v>141</v>
      </c>
      <c r="E159">
        <v>27</v>
      </c>
      <c r="F159" t="s">
        <v>201</v>
      </c>
      <c r="G159" t="s">
        <v>31</v>
      </c>
      <c r="H159" t="s">
        <v>112</v>
      </c>
      <c r="I159" t="e">
        <f ca="1">_xludf.XLOOKUP(H159,Base_Planos!$A:$A,Base_Planos!$B:$B,"Não encontrado")</f>
        <v>#NAME?</v>
      </c>
      <c r="J159" s="2">
        <f>VLOOKUP(H159,Base_Planos!$A:$G,4,FALSE)</f>
        <v>79.900000000000006</v>
      </c>
      <c r="K159" s="4">
        <v>45490</v>
      </c>
      <c r="L159" t="s">
        <v>142</v>
      </c>
      <c r="M159" t="s">
        <v>34</v>
      </c>
      <c r="N159" s="4">
        <v>45957</v>
      </c>
      <c r="O159" s="10">
        <f t="shared" ca="1" si="16"/>
        <v>467</v>
      </c>
      <c r="P159" s="10" t="str">
        <f t="shared" ca="1" si="13"/>
        <v>Mais de 1 ano</v>
      </c>
      <c r="Q159">
        <f t="shared" si="12"/>
        <v>1</v>
      </c>
      <c r="R159">
        <v>0</v>
      </c>
      <c r="S159" s="11">
        <f t="shared" si="17"/>
        <v>79.900000000000006</v>
      </c>
      <c r="T159" s="11" t="str">
        <f t="shared" si="14"/>
        <v>Detrator</v>
      </c>
      <c r="U159" s="11" t="str">
        <f t="shared" si="15"/>
        <v>Alto risco</v>
      </c>
      <c r="V159">
        <v>1</v>
      </c>
      <c r="W159">
        <v>43</v>
      </c>
      <c r="X159" s="2">
        <v>68.66</v>
      </c>
      <c r="Y159">
        <v>15</v>
      </c>
      <c r="Z159" t="s">
        <v>35</v>
      </c>
    </row>
    <row r="160" spans="1:26">
      <c r="A160" t="s">
        <v>414</v>
      </c>
      <c r="B160" t="s">
        <v>415</v>
      </c>
      <c r="C160" t="s">
        <v>48</v>
      </c>
      <c r="D160" t="s">
        <v>29</v>
      </c>
      <c r="E160">
        <v>51</v>
      </c>
      <c r="F160" t="s">
        <v>30</v>
      </c>
      <c r="G160" t="s">
        <v>41</v>
      </c>
      <c r="H160" t="s">
        <v>112</v>
      </c>
      <c r="I160" t="e">
        <f ca="1">_xludf.XLOOKUP(H160,Base_Planos!$A:$A,Base_Planos!$B:$B,"Não encontrado")</f>
        <v>#NAME?</v>
      </c>
      <c r="J160" s="2">
        <f>VLOOKUP(H160,Base_Planos!$A:$G,4,FALSE)</f>
        <v>79.900000000000006</v>
      </c>
      <c r="K160" s="4">
        <v>45541</v>
      </c>
      <c r="L160" t="s">
        <v>91</v>
      </c>
      <c r="M160" t="s">
        <v>44</v>
      </c>
      <c r="N160" s="4"/>
      <c r="O160" s="10">
        <f t="shared" ca="1" si="16"/>
        <v>628</v>
      </c>
      <c r="P160" s="10" t="str">
        <f t="shared" ca="1" si="13"/>
        <v>Mais de 1 ano</v>
      </c>
      <c r="Q160">
        <f t="shared" si="12"/>
        <v>0</v>
      </c>
      <c r="R160">
        <v>6</v>
      </c>
      <c r="S160" s="11">
        <f t="shared" si="17"/>
        <v>0</v>
      </c>
      <c r="T160" s="11" t="str">
        <f t="shared" si="14"/>
        <v>Detrator</v>
      </c>
      <c r="U160" s="11" t="str">
        <f t="shared" si="15"/>
        <v>Alto risco</v>
      </c>
      <c r="V160">
        <v>0</v>
      </c>
      <c r="W160">
        <v>88</v>
      </c>
      <c r="X160" s="2">
        <v>81.62</v>
      </c>
      <c r="Y160">
        <v>20</v>
      </c>
      <c r="Z160" t="s">
        <v>50</v>
      </c>
    </row>
    <row r="161" spans="1:26">
      <c r="A161" t="s">
        <v>416</v>
      </c>
      <c r="B161" t="s">
        <v>417</v>
      </c>
      <c r="C161" t="s">
        <v>28</v>
      </c>
      <c r="D161" t="s">
        <v>29</v>
      </c>
      <c r="E161">
        <v>53</v>
      </c>
      <c r="F161" t="s">
        <v>54</v>
      </c>
      <c r="G161" t="s">
        <v>41</v>
      </c>
      <c r="H161" t="s">
        <v>61</v>
      </c>
      <c r="I161" t="e">
        <f ca="1">_xludf.XLOOKUP(H161,Base_Planos!$A:$A,Base_Planos!$B:$B,"Não encontrado")</f>
        <v>#NAME?</v>
      </c>
      <c r="J161" s="2">
        <f>VLOOKUP(H161,Base_Planos!$A:$G,4,FALSE)</f>
        <v>59.9</v>
      </c>
      <c r="K161" s="4">
        <v>45201</v>
      </c>
      <c r="L161" t="s">
        <v>215</v>
      </c>
      <c r="M161" t="s">
        <v>44</v>
      </c>
      <c r="N161" s="4"/>
      <c r="O161" s="10">
        <f t="shared" ca="1" si="16"/>
        <v>968</v>
      </c>
      <c r="P161" s="10" t="str">
        <f t="shared" ca="1" si="13"/>
        <v>Mais de 1 ano</v>
      </c>
      <c r="Q161">
        <f t="shared" si="12"/>
        <v>0</v>
      </c>
      <c r="R161">
        <v>6</v>
      </c>
      <c r="S161" s="11">
        <f t="shared" si="17"/>
        <v>0</v>
      </c>
      <c r="T161" s="11" t="str">
        <f t="shared" si="14"/>
        <v>Detrator</v>
      </c>
      <c r="U161" s="11" t="str">
        <f t="shared" si="15"/>
        <v>Alto risco</v>
      </c>
      <c r="V161">
        <v>1</v>
      </c>
      <c r="W161">
        <v>75</v>
      </c>
      <c r="X161" s="2">
        <v>61.06</v>
      </c>
      <c r="Y161">
        <v>32</v>
      </c>
      <c r="Z161" t="s">
        <v>35</v>
      </c>
    </row>
    <row r="162" spans="1:26">
      <c r="A162" t="s">
        <v>418</v>
      </c>
      <c r="B162" t="s">
        <v>419</v>
      </c>
      <c r="C162" t="s">
        <v>137</v>
      </c>
      <c r="D162" t="s">
        <v>29</v>
      </c>
      <c r="E162">
        <v>30</v>
      </c>
      <c r="F162" t="s">
        <v>30</v>
      </c>
      <c r="G162" t="s">
        <v>41</v>
      </c>
      <c r="H162" t="s">
        <v>61</v>
      </c>
      <c r="I162" t="e">
        <f ca="1">_xludf.XLOOKUP(H162,Base_Planos!$A:$A,Base_Planos!$B:$B,"Não encontrado")</f>
        <v>#NAME?</v>
      </c>
      <c r="J162" s="2">
        <f>VLOOKUP(H162,Base_Planos!$A:$G,4,FALSE)</f>
        <v>59.9</v>
      </c>
      <c r="K162" s="4">
        <v>45007</v>
      </c>
      <c r="L162" t="s">
        <v>68</v>
      </c>
      <c r="M162" t="s">
        <v>44</v>
      </c>
      <c r="N162" s="4"/>
      <c r="O162" s="10">
        <f t="shared" ca="1" si="16"/>
        <v>1162</v>
      </c>
      <c r="P162" s="10" t="str">
        <f t="shared" ca="1" si="13"/>
        <v>Mais de 1 ano</v>
      </c>
      <c r="Q162">
        <f t="shared" si="12"/>
        <v>0</v>
      </c>
      <c r="R162">
        <v>1</v>
      </c>
      <c r="S162" s="11">
        <f t="shared" si="17"/>
        <v>0</v>
      </c>
      <c r="T162" s="11" t="str">
        <f t="shared" si="14"/>
        <v>Detrator</v>
      </c>
      <c r="U162" s="11" t="str">
        <f t="shared" si="15"/>
        <v>Alto risco</v>
      </c>
      <c r="V162">
        <v>1</v>
      </c>
      <c r="W162">
        <v>100</v>
      </c>
      <c r="X162" s="2">
        <v>56.66</v>
      </c>
      <c r="Y162">
        <v>38</v>
      </c>
      <c r="Z162" t="s">
        <v>35</v>
      </c>
    </row>
    <row r="163" spans="1:26">
      <c r="A163" t="s">
        <v>420</v>
      </c>
      <c r="B163" t="s">
        <v>101</v>
      </c>
      <c r="C163" t="s">
        <v>140</v>
      </c>
      <c r="D163" t="s">
        <v>141</v>
      </c>
      <c r="E163">
        <v>18</v>
      </c>
      <c r="F163" t="s">
        <v>30</v>
      </c>
      <c r="G163" t="s">
        <v>31</v>
      </c>
      <c r="H163" t="s">
        <v>166</v>
      </c>
      <c r="I163" t="e">
        <f ca="1">_xludf.XLOOKUP(H163,Base_Planos!$A:$A,Base_Planos!$B:$B,"Não encontrado")</f>
        <v>#NAME?</v>
      </c>
      <c r="J163" s="2">
        <f>VLOOKUP(H163,Base_Planos!$A:$G,4,FALSE)</f>
        <v>399.9</v>
      </c>
      <c r="K163" s="4">
        <v>45167</v>
      </c>
      <c r="L163" t="s">
        <v>162</v>
      </c>
      <c r="M163" t="s">
        <v>44</v>
      </c>
      <c r="N163" s="4"/>
      <c r="O163" s="10">
        <f t="shared" ca="1" si="16"/>
        <v>1002</v>
      </c>
      <c r="P163" s="10" t="str">
        <f t="shared" ca="1" si="13"/>
        <v>Mais de 1 ano</v>
      </c>
      <c r="Q163">
        <f t="shared" si="12"/>
        <v>0</v>
      </c>
      <c r="R163">
        <v>7</v>
      </c>
      <c r="S163" s="11">
        <f t="shared" si="17"/>
        <v>0</v>
      </c>
      <c r="T163" s="11" t="str">
        <f t="shared" si="14"/>
        <v>Neutro</v>
      </c>
      <c r="U163" s="11" t="str">
        <f t="shared" si="15"/>
        <v>Médio risco</v>
      </c>
      <c r="V163">
        <v>1</v>
      </c>
      <c r="W163">
        <v>34</v>
      </c>
      <c r="X163" s="2">
        <v>359.06</v>
      </c>
      <c r="Y163">
        <v>33</v>
      </c>
      <c r="Z163" t="s">
        <v>35</v>
      </c>
    </row>
    <row r="164" spans="1:26">
      <c r="A164" t="s">
        <v>421</v>
      </c>
      <c r="B164" t="s">
        <v>422</v>
      </c>
      <c r="C164" t="s">
        <v>71</v>
      </c>
      <c r="D164" t="s">
        <v>72</v>
      </c>
      <c r="E164">
        <v>47</v>
      </c>
      <c r="F164" t="s">
        <v>54</v>
      </c>
      <c r="G164" t="s">
        <v>165</v>
      </c>
      <c r="H164" t="s">
        <v>42</v>
      </c>
      <c r="I164" t="e">
        <f ca="1">_xludf.XLOOKUP(H164,Base_Planos!$A:$A,Base_Planos!$B:$B,"Não encontrado")</f>
        <v>#NAME?</v>
      </c>
      <c r="J164" s="2">
        <f>VLOOKUP(H164,Base_Planos!$A:$G,4,FALSE)</f>
        <v>29.9</v>
      </c>
      <c r="K164" s="4">
        <v>45663</v>
      </c>
      <c r="L164" t="s">
        <v>261</v>
      </c>
      <c r="M164" t="s">
        <v>44</v>
      </c>
      <c r="N164" s="4"/>
      <c r="O164" s="10">
        <f t="shared" ca="1" si="16"/>
        <v>506</v>
      </c>
      <c r="P164" s="10" t="str">
        <f t="shared" ca="1" si="13"/>
        <v>Mais de 1 ano</v>
      </c>
      <c r="Q164">
        <f t="shared" si="12"/>
        <v>0</v>
      </c>
      <c r="R164">
        <v>8</v>
      </c>
      <c r="S164" s="11">
        <f t="shared" si="17"/>
        <v>0</v>
      </c>
      <c r="T164" s="11" t="str">
        <f t="shared" si="14"/>
        <v>Neutro</v>
      </c>
      <c r="U164" s="11" t="str">
        <f t="shared" si="15"/>
        <v>Médio risco</v>
      </c>
      <c r="V164">
        <v>2</v>
      </c>
      <c r="W164">
        <v>35</v>
      </c>
      <c r="X164" s="2">
        <v>29.97</v>
      </c>
      <c r="Y164">
        <v>16</v>
      </c>
      <c r="Z164" t="s">
        <v>35</v>
      </c>
    </row>
    <row r="165" spans="1:26">
      <c r="A165" t="s">
        <v>423</v>
      </c>
      <c r="B165" t="s">
        <v>424</v>
      </c>
      <c r="C165" t="s">
        <v>108</v>
      </c>
      <c r="D165" t="s">
        <v>109</v>
      </c>
      <c r="E165">
        <v>38</v>
      </c>
      <c r="F165" t="s">
        <v>54</v>
      </c>
      <c r="G165" t="s">
        <v>31</v>
      </c>
      <c r="H165" t="s">
        <v>82</v>
      </c>
      <c r="I165" t="e">
        <f ca="1">_xludf.XLOOKUP(H165,Base_Planos!$A:$A,Base_Planos!$B:$B,"Não encontrado")</f>
        <v>#NAME?</v>
      </c>
      <c r="J165" s="2">
        <f>VLOOKUP(H165,Base_Planos!$A:$G,4,FALSE)</f>
        <v>149.9</v>
      </c>
      <c r="K165" s="4">
        <v>44960</v>
      </c>
      <c r="L165" t="s">
        <v>425</v>
      </c>
      <c r="M165" t="s">
        <v>34</v>
      </c>
      <c r="N165" s="4">
        <v>45391</v>
      </c>
      <c r="O165" s="10">
        <f t="shared" ca="1" si="16"/>
        <v>431</v>
      </c>
      <c r="P165" s="10" t="str">
        <f t="shared" ca="1" si="13"/>
        <v>Mais de 1 ano</v>
      </c>
      <c r="Q165">
        <f t="shared" si="12"/>
        <v>1</v>
      </c>
      <c r="R165">
        <v>4</v>
      </c>
      <c r="S165" s="11">
        <f t="shared" si="17"/>
        <v>149.9</v>
      </c>
      <c r="T165" s="11" t="str">
        <f t="shared" si="14"/>
        <v>Detrator</v>
      </c>
      <c r="U165" s="11" t="str">
        <f t="shared" si="15"/>
        <v>Alto risco</v>
      </c>
      <c r="V165">
        <v>1</v>
      </c>
      <c r="W165">
        <v>44</v>
      </c>
      <c r="X165" s="2">
        <v>138.80000000000001</v>
      </c>
      <c r="Y165">
        <v>14</v>
      </c>
      <c r="Z165" t="s">
        <v>35</v>
      </c>
    </row>
    <row r="166" spans="1:26">
      <c r="A166" t="s">
        <v>426</v>
      </c>
      <c r="B166" t="s">
        <v>427</v>
      </c>
      <c r="C166" t="s">
        <v>77</v>
      </c>
      <c r="D166" t="s">
        <v>78</v>
      </c>
      <c r="E166">
        <v>53</v>
      </c>
      <c r="F166" t="s">
        <v>40</v>
      </c>
      <c r="G166" t="s">
        <v>165</v>
      </c>
      <c r="H166" t="s">
        <v>42</v>
      </c>
      <c r="I166" t="e">
        <f ca="1">_xludf.XLOOKUP(H166,Base_Planos!$A:$A,Base_Planos!$B:$B,"Não encontrado")</f>
        <v>#NAME?</v>
      </c>
      <c r="J166" s="2">
        <f>VLOOKUP(H166,Base_Planos!$A:$G,4,FALSE)</f>
        <v>29.9</v>
      </c>
      <c r="K166" s="4">
        <v>45927</v>
      </c>
      <c r="L166" t="s">
        <v>189</v>
      </c>
      <c r="M166" t="s">
        <v>44</v>
      </c>
      <c r="N166" s="4"/>
      <c r="O166" s="10">
        <f t="shared" ca="1" si="16"/>
        <v>242</v>
      </c>
      <c r="P166" s="10" t="str">
        <f t="shared" ca="1" si="13"/>
        <v>181 a 365 dias</v>
      </c>
      <c r="Q166">
        <f t="shared" si="12"/>
        <v>0</v>
      </c>
      <c r="R166">
        <v>10</v>
      </c>
      <c r="S166" s="11">
        <f t="shared" si="17"/>
        <v>0</v>
      </c>
      <c r="T166" s="11" t="str">
        <f t="shared" si="14"/>
        <v>Promotor</v>
      </c>
      <c r="U166" s="11" t="str">
        <f t="shared" si="15"/>
        <v>Baixo risco</v>
      </c>
      <c r="V166">
        <v>1</v>
      </c>
      <c r="W166">
        <v>25</v>
      </c>
      <c r="X166" s="2">
        <v>26.25</v>
      </c>
      <c r="Y166">
        <v>8</v>
      </c>
      <c r="Z166" t="s">
        <v>35</v>
      </c>
    </row>
    <row r="167" spans="1:26">
      <c r="A167" t="s">
        <v>428</v>
      </c>
      <c r="B167" t="s">
        <v>429</v>
      </c>
      <c r="C167" t="s">
        <v>94</v>
      </c>
      <c r="D167" t="s">
        <v>95</v>
      </c>
      <c r="E167">
        <v>52</v>
      </c>
      <c r="F167" t="s">
        <v>201</v>
      </c>
      <c r="G167" t="s">
        <v>67</v>
      </c>
      <c r="H167" t="s">
        <v>112</v>
      </c>
      <c r="I167" t="e">
        <f ca="1">_xludf.XLOOKUP(H167,Base_Planos!$A:$A,Base_Planos!$B:$B,"Não encontrado")</f>
        <v>#NAME?</v>
      </c>
      <c r="J167" s="2">
        <f>VLOOKUP(H167,Base_Planos!$A:$G,4,FALSE)</f>
        <v>79.900000000000006</v>
      </c>
      <c r="K167" s="4">
        <v>45079</v>
      </c>
      <c r="L167" t="s">
        <v>328</v>
      </c>
      <c r="M167" t="s">
        <v>44</v>
      </c>
      <c r="N167" s="4"/>
      <c r="O167" s="10">
        <f t="shared" ca="1" si="16"/>
        <v>1090</v>
      </c>
      <c r="P167" s="10" t="str">
        <f t="shared" ca="1" si="13"/>
        <v>Mais de 1 ano</v>
      </c>
      <c r="Q167">
        <f t="shared" si="12"/>
        <v>0</v>
      </c>
      <c r="R167">
        <v>10</v>
      </c>
      <c r="S167" s="11">
        <f t="shared" si="17"/>
        <v>0</v>
      </c>
      <c r="T167" s="11" t="str">
        <f t="shared" si="14"/>
        <v>Promotor</v>
      </c>
      <c r="U167" s="11" t="str">
        <f t="shared" si="15"/>
        <v>Baixo risco</v>
      </c>
      <c r="V167">
        <v>0</v>
      </c>
      <c r="W167">
        <v>57</v>
      </c>
      <c r="X167" s="2">
        <v>69</v>
      </c>
      <c r="Y167">
        <v>36</v>
      </c>
      <c r="Z167" t="s">
        <v>50</v>
      </c>
    </row>
    <row r="168" spans="1:26">
      <c r="A168" t="s">
        <v>430</v>
      </c>
      <c r="B168" t="s">
        <v>431</v>
      </c>
      <c r="C168" t="s">
        <v>59</v>
      </c>
      <c r="D168" t="s">
        <v>60</v>
      </c>
      <c r="E168">
        <v>50</v>
      </c>
      <c r="F168" t="s">
        <v>54</v>
      </c>
      <c r="G168" t="s">
        <v>67</v>
      </c>
      <c r="H168" t="s">
        <v>61</v>
      </c>
      <c r="I168" t="e">
        <f ca="1">_xludf.XLOOKUP(H168,Base_Planos!$A:$A,Base_Planos!$B:$B,"Não encontrado")</f>
        <v>#NAME?</v>
      </c>
      <c r="J168" s="2">
        <f>VLOOKUP(H168,Base_Planos!$A:$G,4,FALSE)</f>
        <v>59.9</v>
      </c>
      <c r="K168" s="4">
        <v>45916</v>
      </c>
      <c r="L168" t="s">
        <v>189</v>
      </c>
      <c r="M168" t="s">
        <v>34</v>
      </c>
      <c r="N168" s="4">
        <v>46081</v>
      </c>
      <c r="O168" s="10">
        <f t="shared" ca="1" si="16"/>
        <v>165</v>
      </c>
      <c r="P168" s="10" t="str">
        <f t="shared" ca="1" si="13"/>
        <v>91 a 180 dias</v>
      </c>
      <c r="Q168">
        <f t="shared" si="12"/>
        <v>1</v>
      </c>
      <c r="R168">
        <v>10</v>
      </c>
      <c r="S168" s="11">
        <f t="shared" si="17"/>
        <v>59.9</v>
      </c>
      <c r="T168" s="11" t="str">
        <f t="shared" si="14"/>
        <v>Promotor</v>
      </c>
      <c r="U168" s="11" t="str">
        <f t="shared" si="15"/>
        <v>Alto risco</v>
      </c>
      <c r="V168">
        <v>0</v>
      </c>
      <c r="W168">
        <v>57</v>
      </c>
      <c r="X168" s="2">
        <v>57.33</v>
      </c>
      <c r="Y168">
        <v>5</v>
      </c>
      <c r="Z168" t="s">
        <v>50</v>
      </c>
    </row>
    <row r="169" spans="1:26">
      <c r="A169" t="s">
        <v>432</v>
      </c>
      <c r="B169" t="s">
        <v>433</v>
      </c>
      <c r="C169" t="s">
        <v>38</v>
      </c>
      <c r="D169" t="s">
        <v>39</v>
      </c>
      <c r="E169">
        <v>62</v>
      </c>
      <c r="F169" t="s">
        <v>40</v>
      </c>
      <c r="G169" t="s">
        <v>96</v>
      </c>
      <c r="H169" t="s">
        <v>32</v>
      </c>
      <c r="I169" t="e">
        <f ca="1">_xludf.XLOOKUP(H169,Base_Planos!$A:$A,Base_Planos!$B:$B,"Não encontrado")</f>
        <v>#NAME?</v>
      </c>
      <c r="J169" s="2">
        <f>VLOOKUP(H169,Base_Planos!$A:$G,4,FALSE)</f>
        <v>39.9</v>
      </c>
      <c r="K169" s="4">
        <v>45124</v>
      </c>
      <c r="L169" t="s">
        <v>33</v>
      </c>
      <c r="M169" t="s">
        <v>44</v>
      </c>
      <c r="N169" s="4"/>
      <c r="O169" s="10">
        <f t="shared" ca="1" si="16"/>
        <v>1045</v>
      </c>
      <c r="P169" s="10" t="str">
        <f t="shared" ca="1" si="13"/>
        <v>Mais de 1 ano</v>
      </c>
      <c r="Q169">
        <f t="shared" si="12"/>
        <v>0</v>
      </c>
      <c r="R169">
        <v>8</v>
      </c>
      <c r="S169" s="11">
        <f t="shared" si="17"/>
        <v>0</v>
      </c>
      <c r="T169" s="11" t="str">
        <f t="shared" si="14"/>
        <v>Neutro</v>
      </c>
      <c r="U169" s="11" t="str">
        <f t="shared" si="15"/>
        <v>Médio risco</v>
      </c>
      <c r="V169">
        <v>0</v>
      </c>
      <c r="W169">
        <v>71</v>
      </c>
      <c r="X169" s="2">
        <v>36.049999999999997</v>
      </c>
      <c r="Y169">
        <v>34</v>
      </c>
      <c r="Z169" t="s">
        <v>50</v>
      </c>
    </row>
    <row r="170" spans="1:26">
      <c r="A170" t="s">
        <v>434</v>
      </c>
      <c r="B170" t="s">
        <v>240</v>
      </c>
      <c r="C170" t="s">
        <v>108</v>
      </c>
      <c r="D170" t="s">
        <v>109</v>
      </c>
      <c r="E170">
        <v>43</v>
      </c>
      <c r="F170" t="s">
        <v>54</v>
      </c>
      <c r="G170" t="s">
        <v>31</v>
      </c>
      <c r="H170" t="s">
        <v>166</v>
      </c>
      <c r="I170" t="e">
        <f ca="1">_xludf.XLOOKUP(H170,Base_Planos!$A:$A,Base_Planos!$B:$B,"Não encontrado")</f>
        <v>#NAME?</v>
      </c>
      <c r="J170" s="2">
        <f>VLOOKUP(H170,Base_Planos!$A:$G,4,FALSE)</f>
        <v>399.9</v>
      </c>
      <c r="K170" s="4">
        <v>45389</v>
      </c>
      <c r="L170" t="s">
        <v>56</v>
      </c>
      <c r="M170" t="s">
        <v>44</v>
      </c>
      <c r="N170" s="4"/>
      <c r="O170" s="10">
        <f t="shared" ca="1" si="16"/>
        <v>780</v>
      </c>
      <c r="P170" s="10" t="str">
        <f t="shared" ca="1" si="13"/>
        <v>Mais de 1 ano</v>
      </c>
      <c r="Q170">
        <f t="shared" si="12"/>
        <v>0</v>
      </c>
      <c r="R170">
        <v>4</v>
      </c>
      <c r="S170" s="11">
        <f t="shared" si="17"/>
        <v>0</v>
      </c>
      <c r="T170" s="11" t="str">
        <f t="shared" si="14"/>
        <v>Detrator</v>
      </c>
      <c r="U170" s="11" t="str">
        <f t="shared" si="15"/>
        <v>Alto risco</v>
      </c>
      <c r="V170">
        <v>1</v>
      </c>
      <c r="W170">
        <v>7</v>
      </c>
      <c r="X170" s="2">
        <v>400.67</v>
      </c>
      <c r="Y170">
        <v>26</v>
      </c>
      <c r="Z170" t="s">
        <v>45</v>
      </c>
    </row>
    <row r="171" spans="1:26">
      <c r="A171" t="s">
        <v>435</v>
      </c>
      <c r="B171" t="s">
        <v>436</v>
      </c>
      <c r="C171" t="s">
        <v>71</v>
      </c>
      <c r="D171" t="s">
        <v>72</v>
      </c>
      <c r="E171">
        <v>42</v>
      </c>
      <c r="F171" t="s">
        <v>54</v>
      </c>
      <c r="G171" t="s">
        <v>67</v>
      </c>
      <c r="H171" t="s">
        <v>61</v>
      </c>
      <c r="I171" t="e">
        <f ca="1">_xludf.XLOOKUP(H171,Base_Planos!$A:$A,Base_Planos!$B:$B,"Não encontrado")</f>
        <v>#NAME?</v>
      </c>
      <c r="J171" s="2">
        <f>VLOOKUP(H171,Base_Planos!$A:$G,4,FALSE)</f>
        <v>59.9</v>
      </c>
      <c r="K171" s="4">
        <v>45277</v>
      </c>
      <c r="L171" t="s">
        <v>62</v>
      </c>
      <c r="M171" t="s">
        <v>44</v>
      </c>
      <c r="N171" s="4"/>
      <c r="O171" s="10">
        <f t="shared" ca="1" si="16"/>
        <v>892</v>
      </c>
      <c r="P171" s="10" t="str">
        <f t="shared" ca="1" si="13"/>
        <v>Mais de 1 ano</v>
      </c>
      <c r="Q171">
        <f t="shared" si="12"/>
        <v>0</v>
      </c>
      <c r="R171">
        <v>1</v>
      </c>
      <c r="S171" s="11">
        <f t="shared" si="17"/>
        <v>0</v>
      </c>
      <c r="T171" s="11" t="str">
        <f t="shared" si="14"/>
        <v>Detrator</v>
      </c>
      <c r="U171" s="11" t="str">
        <f t="shared" si="15"/>
        <v>Alto risco</v>
      </c>
      <c r="V171">
        <v>1</v>
      </c>
      <c r="W171">
        <v>57</v>
      </c>
      <c r="X171" s="2">
        <v>61.19</v>
      </c>
      <c r="Y171">
        <v>29</v>
      </c>
      <c r="Z171" t="s">
        <v>35</v>
      </c>
    </row>
    <row r="172" spans="1:26">
      <c r="A172" t="s">
        <v>437</v>
      </c>
      <c r="B172" t="s">
        <v>438</v>
      </c>
      <c r="C172" t="s">
        <v>28</v>
      </c>
      <c r="D172" t="s">
        <v>29</v>
      </c>
      <c r="E172">
        <v>32</v>
      </c>
      <c r="F172" t="s">
        <v>30</v>
      </c>
      <c r="G172" t="s">
        <v>104</v>
      </c>
      <c r="H172" t="s">
        <v>42</v>
      </c>
      <c r="I172" t="e">
        <f ca="1">_xludf.XLOOKUP(H172,Base_Planos!$A:$A,Base_Planos!$B:$B,"Não encontrado")</f>
        <v>#NAME?</v>
      </c>
      <c r="J172" s="2">
        <f>VLOOKUP(H172,Base_Planos!$A:$G,4,FALSE)</f>
        <v>29.9</v>
      </c>
      <c r="K172" s="4">
        <v>45079</v>
      </c>
      <c r="L172" t="s">
        <v>328</v>
      </c>
      <c r="M172" t="s">
        <v>34</v>
      </c>
      <c r="N172" s="4">
        <v>45753</v>
      </c>
      <c r="O172" s="10">
        <f t="shared" ca="1" si="16"/>
        <v>674</v>
      </c>
      <c r="P172" s="10" t="str">
        <f t="shared" ca="1" si="13"/>
        <v>Mais de 1 ano</v>
      </c>
      <c r="Q172">
        <f t="shared" si="12"/>
        <v>1</v>
      </c>
      <c r="R172">
        <v>10</v>
      </c>
      <c r="S172" s="11">
        <f t="shared" si="17"/>
        <v>29.9</v>
      </c>
      <c r="T172" s="11" t="str">
        <f t="shared" si="14"/>
        <v>Promotor</v>
      </c>
      <c r="U172" s="11" t="str">
        <f t="shared" si="15"/>
        <v>Alto risco</v>
      </c>
      <c r="V172">
        <v>0</v>
      </c>
      <c r="W172">
        <v>29</v>
      </c>
      <c r="X172" s="2">
        <v>31.16</v>
      </c>
      <c r="Y172">
        <v>22</v>
      </c>
      <c r="Z172" t="s">
        <v>35</v>
      </c>
    </row>
    <row r="173" spans="1:26">
      <c r="A173" t="s">
        <v>439</v>
      </c>
      <c r="B173" t="s">
        <v>440</v>
      </c>
      <c r="C173" t="s">
        <v>48</v>
      </c>
      <c r="D173" t="s">
        <v>29</v>
      </c>
      <c r="E173">
        <v>63</v>
      </c>
      <c r="F173" t="s">
        <v>66</v>
      </c>
      <c r="G173" t="s">
        <v>55</v>
      </c>
      <c r="H173" t="s">
        <v>42</v>
      </c>
      <c r="I173" t="e">
        <f ca="1">_xludf.XLOOKUP(H173,Base_Planos!$A:$A,Base_Planos!$B:$B,"Não encontrado")</f>
        <v>#NAME?</v>
      </c>
      <c r="J173" s="2">
        <f>VLOOKUP(H173,Base_Planos!$A:$G,4,FALSE)</f>
        <v>29.9</v>
      </c>
      <c r="K173" s="4">
        <v>46081</v>
      </c>
      <c r="L173" t="s">
        <v>74</v>
      </c>
      <c r="M173" t="s">
        <v>44</v>
      </c>
      <c r="N173" s="4"/>
      <c r="O173" s="10">
        <f t="shared" ca="1" si="16"/>
        <v>88</v>
      </c>
      <c r="P173" s="10" t="str">
        <f t="shared" ca="1" si="13"/>
        <v>31 a 90 dias</v>
      </c>
      <c r="Q173">
        <f t="shared" ref="Q173:Q236" si="18">IF(M173="Cancelado",1,0)</f>
        <v>0</v>
      </c>
      <c r="R173">
        <v>3</v>
      </c>
      <c r="S173" s="11">
        <f t="shared" si="17"/>
        <v>0</v>
      </c>
      <c r="T173" s="11" t="str">
        <f t="shared" si="14"/>
        <v>Detrator</v>
      </c>
      <c r="U173" s="11" t="str">
        <f t="shared" si="15"/>
        <v>Alto risco</v>
      </c>
      <c r="V173">
        <v>1</v>
      </c>
      <c r="W173">
        <v>34</v>
      </c>
      <c r="X173" s="2">
        <v>27.71</v>
      </c>
      <c r="Y173">
        <v>2</v>
      </c>
      <c r="Z173" t="s">
        <v>35</v>
      </c>
    </row>
    <row r="174" spans="1:26">
      <c r="A174" t="s">
        <v>441</v>
      </c>
      <c r="B174" t="s">
        <v>442</v>
      </c>
      <c r="C174" t="s">
        <v>48</v>
      </c>
      <c r="D174" t="s">
        <v>29</v>
      </c>
      <c r="E174">
        <v>62</v>
      </c>
      <c r="F174" t="s">
        <v>40</v>
      </c>
      <c r="G174" t="s">
        <v>165</v>
      </c>
      <c r="H174" t="s">
        <v>32</v>
      </c>
      <c r="I174" t="e">
        <f ca="1">_xludf.XLOOKUP(H174,Base_Planos!$A:$A,Base_Planos!$B:$B,"Não encontrado")</f>
        <v>#NAME?</v>
      </c>
      <c r="J174" s="2">
        <f>VLOOKUP(H174,Base_Planos!$A:$G,4,FALSE)</f>
        <v>39.9</v>
      </c>
      <c r="K174" s="4">
        <v>45822</v>
      </c>
      <c r="L174" t="s">
        <v>167</v>
      </c>
      <c r="M174" t="s">
        <v>44</v>
      </c>
      <c r="N174" s="4"/>
      <c r="O174" s="10">
        <f t="shared" ca="1" si="16"/>
        <v>347</v>
      </c>
      <c r="P174" s="10" t="str">
        <f t="shared" ca="1" si="13"/>
        <v>181 a 365 dias</v>
      </c>
      <c r="Q174">
        <f t="shared" si="18"/>
        <v>0</v>
      </c>
      <c r="R174">
        <v>3</v>
      </c>
      <c r="S174" s="11">
        <f t="shared" si="17"/>
        <v>0</v>
      </c>
      <c r="T174" s="11" t="str">
        <f t="shared" si="14"/>
        <v>Detrator</v>
      </c>
      <c r="U174" s="11" t="str">
        <f t="shared" si="15"/>
        <v>Alto risco</v>
      </c>
      <c r="V174">
        <v>1</v>
      </c>
      <c r="W174">
        <v>35</v>
      </c>
      <c r="X174" s="2">
        <v>37.08</v>
      </c>
      <c r="Y174">
        <v>11</v>
      </c>
      <c r="Z174" t="s">
        <v>45</v>
      </c>
    </row>
    <row r="175" spans="1:26">
      <c r="A175" t="s">
        <v>443</v>
      </c>
      <c r="B175" t="s">
        <v>444</v>
      </c>
      <c r="C175" t="s">
        <v>28</v>
      </c>
      <c r="D175" t="s">
        <v>29</v>
      </c>
      <c r="E175">
        <v>58</v>
      </c>
      <c r="F175" t="s">
        <v>30</v>
      </c>
      <c r="G175" t="s">
        <v>104</v>
      </c>
      <c r="H175" t="s">
        <v>112</v>
      </c>
      <c r="I175" t="e">
        <f ca="1">_xludf.XLOOKUP(H175,Base_Planos!$A:$A,Base_Planos!$B:$B,"Não encontrado")</f>
        <v>#NAME?</v>
      </c>
      <c r="J175" s="2">
        <f>VLOOKUP(H175,Base_Planos!$A:$G,4,FALSE)</f>
        <v>79.900000000000006</v>
      </c>
      <c r="K175" s="4">
        <v>45655</v>
      </c>
      <c r="L175" t="s">
        <v>49</v>
      </c>
      <c r="M175" t="s">
        <v>44</v>
      </c>
      <c r="N175" s="4"/>
      <c r="O175" s="10">
        <f t="shared" ca="1" si="16"/>
        <v>514</v>
      </c>
      <c r="P175" s="10" t="str">
        <f t="shared" ca="1" si="13"/>
        <v>Mais de 1 ano</v>
      </c>
      <c r="Q175">
        <f t="shared" si="18"/>
        <v>0</v>
      </c>
      <c r="R175">
        <v>8</v>
      </c>
      <c r="S175" s="11">
        <f t="shared" si="17"/>
        <v>0</v>
      </c>
      <c r="T175" s="11" t="str">
        <f t="shared" si="14"/>
        <v>Neutro</v>
      </c>
      <c r="U175" s="11" t="str">
        <f t="shared" si="15"/>
        <v>Médio risco</v>
      </c>
      <c r="V175">
        <v>1</v>
      </c>
      <c r="W175">
        <v>46</v>
      </c>
      <c r="X175" s="2">
        <v>69.28</v>
      </c>
      <c r="Y175">
        <v>17</v>
      </c>
      <c r="Z175" t="s">
        <v>50</v>
      </c>
    </row>
    <row r="176" spans="1:26">
      <c r="A176" t="s">
        <v>445</v>
      </c>
      <c r="B176" t="s">
        <v>369</v>
      </c>
      <c r="C176" t="s">
        <v>48</v>
      </c>
      <c r="D176" t="s">
        <v>29</v>
      </c>
      <c r="E176">
        <v>33</v>
      </c>
      <c r="F176" t="s">
        <v>40</v>
      </c>
      <c r="G176" t="s">
        <v>55</v>
      </c>
      <c r="H176" t="s">
        <v>42</v>
      </c>
      <c r="I176" t="e">
        <f ca="1">_xludf.XLOOKUP(H176,Base_Planos!$A:$A,Base_Planos!$B:$B,"Não encontrado")</f>
        <v>#NAME?</v>
      </c>
      <c r="J176" s="2">
        <f>VLOOKUP(H176,Base_Planos!$A:$G,4,FALSE)</f>
        <v>29.9</v>
      </c>
      <c r="K176" s="4">
        <v>45705</v>
      </c>
      <c r="L176" t="s">
        <v>289</v>
      </c>
      <c r="M176" t="s">
        <v>34</v>
      </c>
      <c r="N176" s="4">
        <v>45892</v>
      </c>
      <c r="O176" s="10">
        <f t="shared" ca="1" si="16"/>
        <v>187</v>
      </c>
      <c r="P176" s="10" t="str">
        <f t="shared" ca="1" si="13"/>
        <v>181 a 365 dias</v>
      </c>
      <c r="Q176">
        <f t="shared" si="18"/>
        <v>1</v>
      </c>
      <c r="R176">
        <v>10</v>
      </c>
      <c r="S176" s="11">
        <f t="shared" si="17"/>
        <v>29.9</v>
      </c>
      <c r="T176" s="11" t="str">
        <f t="shared" si="14"/>
        <v>Promotor</v>
      </c>
      <c r="U176" s="11" t="str">
        <f t="shared" si="15"/>
        <v>Alto risco</v>
      </c>
      <c r="V176">
        <v>0</v>
      </c>
      <c r="W176">
        <v>79</v>
      </c>
      <c r="X176" s="2">
        <v>27.57</v>
      </c>
      <c r="Y176">
        <v>6</v>
      </c>
      <c r="Z176" t="s">
        <v>50</v>
      </c>
    </row>
    <row r="177" spans="1:26">
      <c r="A177" t="s">
        <v>446</v>
      </c>
      <c r="B177" t="s">
        <v>447</v>
      </c>
      <c r="C177" t="s">
        <v>94</v>
      </c>
      <c r="D177" t="s">
        <v>95</v>
      </c>
      <c r="E177">
        <v>23</v>
      </c>
      <c r="F177" t="s">
        <v>30</v>
      </c>
      <c r="G177" t="s">
        <v>104</v>
      </c>
      <c r="H177" t="s">
        <v>61</v>
      </c>
      <c r="I177" t="e">
        <f ca="1">_xludf.XLOOKUP(H177,Base_Planos!$A:$A,Base_Planos!$B:$B,"Não encontrado")</f>
        <v>#NAME?</v>
      </c>
      <c r="J177" s="2">
        <f>VLOOKUP(H177,Base_Planos!$A:$G,4,FALSE)</f>
        <v>59.9</v>
      </c>
      <c r="K177" s="4">
        <v>45976</v>
      </c>
      <c r="L177" t="s">
        <v>87</v>
      </c>
      <c r="M177" t="s">
        <v>44</v>
      </c>
      <c r="N177" s="4"/>
      <c r="O177" s="10">
        <f t="shared" ca="1" si="16"/>
        <v>193</v>
      </c>
      <c r="P177" s="10" t="str">
        <f t="shared" ca="1" si="13"/>
        <v>181 a 365 dias</v>
      </c>
      <c r="Q177">
        <f t="shared" si="18"/>
        <v>0</v>
      </c>
      <c r="R177">
        <v>6</v>
      </c>
      <c r="S177" s="11">
        <f t="shared" si="17"/>
        <v>0</v>
      </c>
      <c r="T177" s="11" t="str">
        <f t="shared" si="14"/>
        <v>Detrator</v>
      </c>
      <c r="U177" s="11" t="str">
        <f t="shared" si="15"/>
        <v>Alto risco</v>
      </c>
      <c r="V177">
        <v>0</v>
      </c>
      <c r="W177">
        <v>64</v>
      </c>
      <c r="X177" s="2">
        <v>60.31</v>
      </c>
      <c r="Y177">
        <v>6</v>
      </c>
      <c r="Z177" t="s">
        <v>50</v>
      </c>
    </row>
    <row r="178" spans="1:26">
      <c r="A178" t="s">
        <v>448</v>
      </c>
      <c r="B178" t="s">
        <v>449</v>
      </c>
      <c r="C178" t="s">
        <v>28</v>
      </c>
      <c r="D178" t="s">
        <v>29</v>
      </c>
      <c r="E178">
        <v>36</v>
      </c>
      <c r="F178" t="s">
        <v>54</v>
      </c>
      <c r="G178" t="s">
        <v>55</v>
      </c>
      <c r="H178" t="s">
        <v>82</v>
      </c>
      <c r="I178" t="e">
        <f ca="1">_xludf.XLOOKUP(H178,Base_Planos!$A:$A,Base_Planos!$B:$B,"Não encontrado")</f>
        <v>#NAME?</v>
      </c>
      <c r="J178" s="2">
        <f>VLOOKUP(H178,Base_Planos!$A:$G,4,FALSE)</f>
        <v>149.9</v>
      </c>
      <c r="K178" s="4">
        <v>46072</v>
      </c>
      <c r="L178" t="s">
        <v>74</v>
      </c>
      <c r="M178" t="s">
        <v>34</v>
      </c>
      <c r="N178" s="4">
        <v>46140</v>
      </c>
      <c r="O178" s="10">
        <f t="shared" ca="1" si="16"/>
        <v>68</v>
      </c>
      <c r="P178" s="10" t="str">
        <f t="shared" ca="1" si="13"/>
        <v>31 a 90 dias</v>
      </c>
      <c r="Q178">
        <f t="shared" si="18"/>
        <v>1</v>
      </c>
      <c r="R178">
        <v>3</v>
      </c>
      <c r="S178" s="11">
        <f t="shared" si="17"/>
        <v>149.9</v>
      </c>
      <c r="T178" s="11" t="str">
        <f t="shared" si="14"/>
        <v>Detrator</v>
      </c>
      <c r="U178" s="11" t="str">
        <f t="shared" si="15"/>
        <v>Alto risco</v>
      </c>
      <c r="V178">
        <v>0</v>
      </c>
      <c r="W178">
        <v>49</v>
      </c>
      <c r="X178" s="2">
        <v>131.79</v>
      </c>
      <c r="Y178">
        <v>2</v>
      </c>
      <c r="Z178" t="s">
        <v>35</v>
      </c>
    </row>
    <row r="179" spans="1:26">
      <c r="A179" t="s">
        <v>450</v>
      </c>
      <c r="B179" t="s">
        <v>451</v>
      </c>
      <c r="C179" t="s">
        <v>140</v>
      </c>
      <c r="D179" t="s">
        <v>141</v>
      </c>
      <c r="E179">
        <v>44</v>
      </c>
      <c r="F179" t="s">
        <v>30</v>
      </c>
      <c r="G179" t="s">
        <v>55</v>
      </c>
      <c r="H179" t="s">
        <v>112</v>
      </c>
      <c r="I179" t="e">
        <f ca="1">_xludf.XLOOKUP(H179,Base_Planos!$A:$A,Base_Planos!$B:$B,"Não encontrado")</f>
        <v>#NAME?</v>
      </c>
      <c r="J179" s="2">
        <f>VLOOKUP(H179,Base_Planos!$A:$G,4,FALSE)</f>
        <v>79.900000000000006</v>
      </c>
      <c r="K179" s="4">
        <v>45432</v>
      </c>
      <c r="L179" t="s">
        <v>130</v>
      </c>
      <c r="M179" t="s">
        <v>34</v>
      </c>
      <c r="N179" s="4">
        <v>45468</v>
      </c>
      <c r="O179" s="10">
        <f t="shared" ca="1" si="16"/>
        <v>36</v>
      </c>
      <c r="P179" s="10" t="str">
        <f t="shared" ca="1" si="13"/>
        <v>31 a 90 dias</v>
      </c>
      <c r="Q179">
        <f t="shared" si="18"/>
        <v>1</v>
      </c>
      <c r="R179">
        <v>10</v>
      </c>
      <c r="S179" s="11">
        <f t="shared" si="17"/>
        <v>79.900000000000006</v>
      </c>
      <c r="T179" s="11" t="str">
        <f t="shared" si="14"/>
        <v>Promotor</v>
      </c>
      <c r="U179" s="11" t="str">
        <f t="shared" si="15"/>
        <v>Alto risco</v>
      </c>
      <c r="V179">
        <v>0</v>
      </c>
      <c r="W179">
        <v>58</v>
      </c>
      <c r="X179" s="2">
        <v>73.22</v>
      </c>
      <c r="Y179">
        <v>1</v>
      </c>
      <c r="Z179" t="s">
        <v>50</v>
      </c>
    </row>
    <row r="180" spans="1:26">
      <c r="A180" t="s">
        <v>452</v>
      </c>
      <c r="B180" t="s">
        <v>314</v>
      </c>
      <c r="C180" t="s">
        <v>48</v>
      </c>
      <c r="D180" t="s">
        <v>29</v>
      </c>
      <c r="E180">
        <v>39</v>
      </c>
      <c r="F180" t="s">
        <v>54</v>
      </c>
      <c r="G180" t="s">
        <v>41</v>
      </c>
      <c r="H180" t="s">
        <v>82</v>
      </c>
      <c r="I180" t="e">
        <f ca="1">_xludf.XLOOKUP(H180,Base_Planos!$A:$A,Base_Planos!$B:$B,"Não encontrado")</f>
        <v>#NAME?</v>
      </c>
      <c r="J180" s="2">
        <f>VLOOKUP(H180,Base_Planos!$A:$G,4,FALSE)</f>
        <v>149.9</v>
      </c>
      <c r="K180" s="4">
        <v>45205</v>
      </c>
      <c r="L180" t="s">
        <v>215</v>
      </c>
      <c r="M180" t="s">
        <v>34</v>
      </c>
      <c r="N180" s="4">
        <v>45642</v>
      </c>
      <c r="O180" s="10">
        <f t="shared" ca="1" si="16"/>
        <v>437</v>
      </c>
      <c r="P180" s="10" t="str">
        <f t="shared" ca="1" si="13"/>
        <v>Mais de 1 ano</v>
      </c>
      <c r="Q180">
        <f t="shared" si="18"/>
        <v>1</v>
      </c>
      <c r="R180">
        <v>4</v>
      </c>
      <c r="S180" s="11">
        <f t="shared" si="17"/>
        <v>149.9</v>
      </c>
      <c r="T180" s="11" t="str">
        <f t="shared" si="14"/>
        <v>Detrator</v>
      </c>
      <c r="U180" s="11" t="str">
        <f t="shared" si="15"/>
        <v>Alto risco</v>
      </c>
      <c r="V180">
        <v>0</v>
      </c>
      <c r="W180">
        <v>100</v>
      </c>
      <c r="X180" s="2">
        <v>136.15</v>
      </c>
      <c r="Y180">
        <v>14</v>
      </c>
      <c r="Z180" t="s">
        <v>35</v>
      </c>
    </row>
    <row r="181" spans="1:26">
      <c r="A181" t="s">
        <v>453</v>
      </c>
      <c r="B181" t="s">
        <v>324</v>
      </c>
      <c r="C181" t="s">
        <v>90</v>
      </c>
      <c r="D181" t="s">
        <v>29</v>
      </c>
      <c r="E181">
        <v>33</v>
      </c>
      <c r="F181" t="s">
        <v>30</v>
      </c>
      <c r="G181" t="s">
        <v>73</v>
      </c>
      <c r="H181" t="s">
        <v>82</v>
      </c>
      <c r="I181" t="e">
        <f ca="1">_xludf.XLOOKUP(H181,Base_Planos!$A:$A,Base_Planos!$B:$B,"Não encontrado")</f>
        <v>#NAME?</v>
      </c>
      <c r="J181" s="2">
        <f>VLOOKUP(H181,Base_Planos!$A:$G,4,FALSE)</f>
        <v>149.9</v>
      </c>
      <c r="K181" s="4">
        <v>45731</v>
      </c>
      <c r="L181" t="s">
        <v>454</v>
      </c>
      <c r="M181" t="s">
        <v>44</v>
      </c>
      <c r="N181" s="4"/>
      <c r="O181" s="10">
        <f t="shared" ca="1" si="16"/>
        <v>438</v>
      </c>
      <c r="P181" s="10" t="str">
        <f t="shared" ca="1" si="13"/>
        <v>Mais de 1 ano</v>
      </c>
      <c r="Q181">
        <f t="shared" si="18"/>
        <v>0</v>
      </c>
      <c r="R181">
        <v>5</v>
      </c>
      <c r="S181" s="11">
        <f t="shared" si="17"/>
        <v>0</v>
      </c>
      <c r="T181" s="11" t="str">
        <f t="shared" si="14"/>
        <v>Detrator</v>
      </c>
      <c r="U181" s="11" t="str">
        <f t="shared" si="15"/>
        <v>Alto risco</v>
      </c>
      <c r="V181">
        <v>1</v>
      </c>
      <c r="W181">
        <v>80</v>
      </c>
      <c r="X181" s="2">
        <v>147.85</v>
      </c>
      <c r="Y181">
        <v>14</v>
      </c>
      <c r="Z181" t="s">
        <v>35</v>
      </c>
    </row>
    <row r="182" spans="1:26">
      <c r="A182" t="s">
        <v>455</v>
      </c>
      <c r="B182" t="s">
        <v>81</v>
      </c>
      <c r="C182" t="s">
        <v>137</v>
      </c>
      <c r="D182" t="s">
        <v>29</v>
      </c>
      <c r="E182">
        <v>47</v>
      </c>
      <c r="F182" t="s">
        <v>66</v>
      </c>
      <c r="G182" t="s">
        <v>31</v>
      </c>
      <c r="H182" t="s">
        <v>112</v>
      </c>
      <c r="I182" t="e">
        <f ca="1">_xludf.XLOOKUP(H182,Base_Planos!$A:$A,Base_Planos!$B:$B,"Não encontrado")</f>
        <v>#NAME?</v>
      </c>
      <c r="J182" s="2">
        <f>VLOOKUP(H182,Base_Planos!$A:$G,4,FALSE)</f>
        <v>79.900000000000006</v>
      </c>
      <c r="K182" s="4">
        <v>45523</v>
      </c>
      <c r="L182" t="s">
        <v>156</v>
      </c>
      <c r="M182" t="s">
        <v>34</v>
      </c>
      <c r="N182" s="4">
        <v>45863</v>
      </c>
      <c r="O182" s="10">
        <f t="shared" ca="1" si="16"/>
        <v>340</v>
      </c>
      <c r="P182" s="10" t="str">
        <f t="shared" ca="1" si="13"/>
        <v>181 a 365 dias</v>
      </c>
      <c r="Q182">
        <f t="shared" si="18"/>
        <v>1</v>
      </c>
      <c r="R182">
        <v>1</v>
      </c>
      <c r="S182" s="11">
        <f t="shared" si="17"/>
        <v>79.900000000000006</v>
      </c>
      <c r="T182" s="11" t="str">
        <f t="shared" si="14"/>
        <v>Detrator</v>
      </c>
      <c r="U182" s="11" t="str">
        <f t="shared" si="15"/>
        <v>Alto risco</v>
      </c>
      <c r="V182">
        <v>0</v>
      </c>
      <c r="W182">
        <v>11</v>
      </c>
      <c r="X182" s="2">
        <v>78.44</v>
      </c>
      <c r="Y182">
        <v>11</v>
      </c>
      <c r="Z182" t="s">
        <v>45</v>
      </c>
    </row>
    <row r="183" spans="1:26">
      <c r="A183" t="s">
        <v>456</v>
      </c>
      <c r="B183" t="s">
        <v>457</v>
      </c>
      <c r="C183" t="s">
        <v>48</v>
      </c>
      <c r="D183" t="s">
        <v>29</v>
      </c>
      <c r="E183">
        <v>42</v>
      </c>
      <c r="F183" t="s">
        <v>30</v>
      </c>
      <c r="G183" t="s">
        <v>104</v>
      </c>
      <c r="H183" t="s">
        <v>61</v>
      </c>
      <c r="I183" t="e">
        <f ca="1">_xludf.XLOOKUP(H183,Base_Planos!$A:$A,Base_Planos!$B:$B,"Não encontrado")</f>
        <v>#NAME?</v>
      </c>
      <c r="J183" s="2">
        <f>VLOOKUP(H183,Base_Planos!$A:$G,4,FALSE)</f>
        <v>59.9</v>
      </c>
      <c r="K183" s="4">
        <v>46021</v>
      </c>
      <c r="L183" t="s">
        <v>170</v>
      </c>
      <c r="M183" t="s">
        <v>34</v>
      </c>
      <c r="N183" s="4">
        <v>46097</v>
      </c>
      <c r="O183" s="10">
        <f t="shared" ca="1" si="16"/>
        <v>76</v>
      </c>
      <c r="P183" s="10" t="str">
        <f t="shared" ca="1" si="13"/>
        <v>31 a 90 dias</v>
      </c>
      <c r="Q183">
        <f t="shared" si="18"/>
        <v>1</v>
      </c>
      <c r="R183">
        <v>8</v>
      </c>
      <c r="S183" s="11">
        <f t="shared" si="17"/>
        <v>59.9</v>
      </c>
      <c r="T183" s="11" t="str">
        <f t="shared" si="14"/>
        <v>Neutro</v>
      </c>
      <c r="U183" s="11" t="str">
        <f t="shared" si="15"/>
        <v>Alto risco</v>
      </c>
      <c r="V183">
        <v>0</v>
      </c>
      <c r="W183">
        <v>30</v>
      </c>
      <c r="X183" s="2">
        <v>52.23</v>
      </c>
      <c r="Y183">
        <v>2</v>
      </c>
      <c r="Z183" t="s">
        <v>35</v>
      </c>
    </row>
    <row r="184" spans="1:26">
      <c r="A184" t="s">
        <v>458</v>
      </c>
      <c r="B184" t="s">
        <v>459</v>
      </c>
      <c r="C184" t="s">
        <v>94</v>
      </c>
      <c r="D184" t="s">
        <v>95</v>
      </c>
      <c r="E184">
        <v>59</v>
      </c>
      <c r="F184" t="s">
        <v>40</v>
      </c>
      <c r="G184" t="s">
        <v>41</v>
      </c>
      <c r="H184" t="s">
        <v>166</v>
      </c>
      <c r="I184" t="e">
        <f ca="1">_xludf.XLOOKUP(H184,Base_Planos!$A:$A,Base_Planos!$B:$B,"Não encontrado")</f>
        <v>#NAME?</v>
      </c>
      <c r="J184" s="2">
        <f>VLOOKUP(H184,Base_Planos!$A:$G,4,FALSE)</f>
        <v>399.9</v>
      </c>
      <c r="K184" s="4">
        <v>45606</v>
      </c>
      <c r="L184" t="s">
        <v>83</v>
      </c>
      <c r="M184" t="s">
        <v>44</v>
      </c>
      <c r="N184" s="4"/>
      <c r="O184" s="10">
        <f t="shared" ca="1" si="16"/>
        <v>563</v>
      </c>
      <c r="P184" s="10" t="str">
        <f t="shared" ca="1" si="13"/>
        <v>Mais de 1 ano</v>
      </c>
      <c r="Q184">
        <f t="shared" si="18"/>
        <v>0</v>
      </c>
      <c r="R184">
        <v>6</v>
      </c>
      <c r="S184" s="11">
        <f t="shared" si="17"/>
        <v>0</v>
      </c>
      <c r="T184" s="11" t="str">
        <f t="shared" si="14"/>
        <v>Detrator</v>
      </c>
      <c r="U184" s="11" t="str">
        <f t="shared" si="15"/>
        <v>Alto risco</v>
      </c>
      <c r="V184">
        <v>0</v>
      </c>
      <c r="W184">
        <v>64</v>
      </c>
      <c r="X184" s="2">
        <v>384.54</v>
      </c>
      <c r="Y184">
        <v>18</v>
      </c>
      <c r="Z184" t="s">
        <v>50</v>
      </c>
    </row>
    <row r="185" spans="1:26">
      <c r="A185" t="s">
        <v>460</v>
      </c>
      <c r="B185" t="s">
        <v>461</v>
      </c>
      <c r="C185" t="s">
        <v>59</v>
      </c>
      <c r="D185" t="s">
        <v>60</v>
      </c>
      <c r="E185">
        <v>46</v>
      </c>
      <c r="F185" t="s">
        <v>54</v>
      </c>
      <c r="G185" t="s">
        <v>104</v>
      </c>
      <c r="H185" t="s">
        <v>82</v>
      </c>
      <c r="I185" t="e">
        <f ca="1">_xludf.XLOOKUP(H185,Base_Planos!$A:$A,Base_Planos!$B:$B,"Não encontrado")</f>
        <v>#NAME?</v>
      </c>
      <c r="J185" s="2">
        <f>VLOOKUP(H185,Base_Planos!$A:$G,4,FALSE)</f>
        <v>149.9</v>
      </c>
      <c r="K185" s="4">
        <v>46132</v>
      </c>
      <c r="L185" t="s">
        <v>43</v>
      </c>
      <c r="M185" t="s">
        <v>44</v>
      </c>
      <c r="N185" s="4"/>
      <c r="O185" s="10">
        <f t="shared" ca="1" si="16"/>
        <v>37</v>
      </c>
      <c r="P185" s="10" t="str">
        <f t="shared" ca="1" si="13"/>
        <v>31 a 90 dias</v>
      </c>
      <c r="Q185">
        <f t="shared" si="18"/>
        <v>0</v>
      </c>
      <c r="R185">
        <v>8</v>
      </c>
      <c r="S185" s="11">
        <f t="shared" si="17"/>
        <v>0</v>
      </c>
      <c r="T185" s="11" t="str">
        <f t="shared" si="14"/>
        <v>Neutro</v>
      </c>
      <c r="U185" s="11" t="str">
        <f t="shared" si="15"/>
        <v>Médio risco</v>
      </c>
      <c r="V185">
        <v>0</v>
      </c>
      <c r="W185">
        <v>100</v>
      </c>
      <c r="X185" s="2">
        <v>155.01</v>
      </c>
      <c r="Y185">
        <v>1</v>
      </c>
      <c r="Z185" t="s">
        <v>50</v>
      </c>
    </row>
    <row r="186" spans="1:26">
      <c r="A186" t="s">
        <v>462</v>
      </c>
      <c r="B186" t="s">
        <v>463</v>
      </c>
      <c r="C186" t="s">
        <v>53</v>
      </c>
      <c r="D186" t="s">
        <v>29</v>
      </c>
      <c r="E186">
        <v>64</v>
      </c>
      <c r="F186" t="s">
        <v>30</v>
      </c>
      <c r="G186" t="s">
        <v>73</v>
      </c>
      <c r="H186" t="s">
        <v>112</v>
      </c>
      <c r="I186" t="e">
        <f ca="1">_xludf.XLOOKUP(H186,Base_Planos!$A:$A,Base_Planos!$B:$B,"Não encontrado")</f>
        <v>#NAME?</v>
      </c>
      <c r="J186" s="2">
        <f>VLOOKUP(H186,Base_Planos!$A:$G,4,FALSE)</f>
        <v>79.900000000000006</v>
      </c>
      <c r="K186" s="4">
        <v>45350</v>
      </c>
      <c r="L186" t="s">
        <v>297</v>
      </c>
      <c r="M186" t="s">
        <v>44</v>
      </c>
      <c r="N186" s="4"/>
      <c r="O186" s="10">
        <f t="shared" ca="1" si="16"/>
        <v>819</v>
      </c>
      <c r="P186" s="10" t="str">
        <f t="shared" ca="1" si="13"/>
        <v>Mais de 1 ano</v>
      </c>
      <c r="Q186">
        <f t="shared" si="18"/>
        <v>0</v>
      </c>
      <c r="R186">
        <v>8</v>
      </c>
      <c r="S186" s="11">
        <f t="shared" si="17"/>
        <v>0</v>
      </c>
      <c r="T186" s="11" t="str">
        <f t="shared" si="14"/>
        <v>Neutro</v>
      </c>
      <c r="U186" s="11" t="str">
        <f t="shared" si="15"/>
        <v>Médio risco</v>
      </c>
      <c r="V186">
        <v>0</v>
      </c>
      <c r="W186">
        <v>60</v>
      </c>
      <c r="X186" s="2">
        <v>73.010000000000005</v>
      </c>
      <c r="Y186">
        <v>27</v>
      </c>
      <c r="Z186" t="s">
        <v>50</v>
      </c>
    </row>
    <row r="187" spans="1:26">
      <c r="A187" t="s">
        <v>464</v>
      </c>
      <c r="B187" t="s">
        <v>465</v>
      </c>
      <c r="C187" t="s">
        <v>48</v>
      </c>
      <c r="D187" t="s">
        <v>29</v>
      </c>
      <c r="E187">
        <v>63</v>
      </c>
      <c r="F187" t="s">
        <v>30</v>
      </c>
      <c r="G187" t="s">
        <v>165</v>
      </c>
      <c r="H187" t="s">
        <v>61</v>
      </c>
      <c r="I187" t="e">
        <f ca="1">_xludf.XLOOKUP(H187,Base_Planos!$A:$A,Base_Planos!$B:$B,"Não encontrado")</f>
        <v>#NAME?</v>
      </c>
      <c r="J187" s="2">
        <f>VLOOKUP(H187,Base_Planos!$A:$G,4,FALSE)</f>
        <v>59.9</v>
      </c>
      <c r="K187" s="4">
        <v>45263</v>
      </c>
      <c r="L187" t="s">
        <v>62</v>
      </c>
      <c r="M187" t="s">
        <v>44</v>
      </c>
      <c r="N187" s="4"/>
      <c r="O187" s="10">
        <f t="shared" ca="1" si="16"/>
        <v>906</v>
      </c>
      <c r="P187" s="10" t="str">
        <f t="shared" ca="1" si="13"/>
        <v>Mais de 1 ano</v>
      </c>
      <c r="Q187">
        <f t="shared" si="18"/>
        <v>0</v>
      </c>
      <c r="R187">
        <v>3</v>
      </c>
      <c r="S187" s="11">
        <f t="shared" si="17"/>
        <v>0</v>
      </c>
      <c r="T187" s="11" t="str">
        <f t="shared" si="14"/>
        <v>Detrator</v>
      </c>
      <c r="U187" s="11" t="str">
        <f t="shared" si="15"/>
        <v>Alto risco</v>
      </c>
      <c r="V187">
        <v>0</v>
      </c>
      <c r="W187">
        <v>53</v>
      </c>
      <c r="X187" s="2">
        <v>56.45</v>
      </c>
      <c r="Y187">
        <v>30</v>
      </c>
      <c r="Z187" t="s">
        <v>35</v>
      </c>
    </row>
    <row r="188" spans="1:26">
      <c r="A188" t="s">
        <v>466</v>
      </c>
      <c r="B188" t="s">
        <v>467</v>
      </c>
      <c r="C188" t="s">
        <v>65</v>
      </c>
      <c r="D188" t="s">
        <v>29</v>
      </c>
      <c r="E188">
        <v>29</v>
      </c>
      <c r="F188" t="s">
        <v>30</v>
      </c>
      <c r="G188" t="s">
        <v>41</v>
      </c>
      <c r="H188" t="s">
        <v>112</v>
      </c>
      <c r="I188" t="e">
        <f ca="1">_xludf.XLOOKUP(H188,Base_Planos!$A:$A,Base_Planos!$B:$B,"Não encontrado")</f>
        <v>#NAME?</v>
      </c>
      <c r="J188" s="2">
        <f>VLOOKUP(H188,Base_Planos!$A:$G,4,FALSE)</f>
        <v>79.900000000000006</v>
      </c>
      <c r="K188" s="4">
        <v>45331</v>
      </c>
      <c r="L188" t="s">
        <v>297</v>
      </c>
      <c r="M188" t="s">
        <v>44</v>
      </c>
      <c r="N188" s="4"/>
      <c r="O188" s="10">
        <f t="shared" ca="1" si="16"/>
        <v>838</v>
      </c>
      <c r="P188" s="10" t="str">
        <f t="shared" ca="1" si="13"/>
        <v>Mais de 1 ano</v>
      </c>
      <c r="Q188">
        <f t="shared" si="18"/>
        <v>0</v>
      </c>
      <c r="R188">
        <v>7</v>
      </c>
      <c r="S188" s="11">
        <f t="shared" si="17"/>
        <v>0</v>
      </c>
      <c r="T188" s="11" t="str">
        <f t="shared" si="14"/>
        <v>Neutro</v>
      </c>
      <c r="U188" s="11" t="str">
        <f t="shared" si="15"/>
        <v>Médio risco</v>
      </c>
      <c r="V188">
        <v>1</v>
      </c>
      <c r="W188">
        <v>41</v>
      </c>
      <c r="X188" s="2">
        <v>79.94</v>
      </c>
      <c r="Y188">
        <v>27</v>
      </c>
      <c r="Z188" t="s">
        <v>50</v>
      </c>
    </row>
    <row r="189" spans="1:26">
      <c r="A189" t="s">
        <v>468</v>
      </c>
      <c r="B189" t="s">
        <v>469</v>
      </c>
      <c r="C189" t="s">
        <v>90</v>
      </c>
      <c r="D189" t="s">
        <v>29</v>
      </c>
      <c r="E189">
        <v>24</v>
      </c>
      <c r="F189" t="s">
        <v>40</v>
      </c>
      <c r="G189" t="s">
        <v>96</v>
      </c>
      <c r="H189" t="s">
        <v>112</v>
      </c>
      <c r="I189" t="e">
        <f ca="1">_xludf.XLOOKUP(H189,Base_Planos!$A:$A,Base_Planos!$B:$B,"Não encontrado")</f>
        <v>#NAME?</v>
      </c>
      <c r="J189" s="2">
        <f>VLOOKUP(H189,Base_Planos!$A:$G,4,FALSE)</f>
        <v>79.900000000000006</v>
      </c>
      <c r="K189" s="4">
        <v>45330</v>
      </c>
      <c r="L189" t="s">
        <v>297</v>
      </c>
      <c r="M189" t="s">
        <v>44</v>
      </c>
      <c r="N189" s="4"/>
      <c r="O189" s="10">
        <f t="shared" ca="1" si="16"/>
        <v>839</v>
      </c>
      <c r="P189" s="10" t="str">
        <f t="shared" ca="1" si="13"/>
        <v>Mais de 1 ano</v>
      </c>
      <c r="Q189">
        <f t="shared" si="18"/>
        <v>0</v>
      </c>
      <c r="R189">
        <v>7</v>
      </c>
      <c r="S189" s="11">
        <f t="shared" si="17"/>
        <v>0</v>
      </c>
      <c r="T189" s="11" t="str">
        <f t="shared" si="14"/>
        <v>Neutro</v>
      </c>
      <c r="U189" s="11" t="str">
        <f t="shared" si="15"/>
        <v>Médio risco</v>
      </c>
      <c r="V189">
        <v>0</v>
      </c>
      <c r="W189">
        <v>84</v>
      </c>
      <c r="X189" s="2">
        <v>72.92</v>
      </c>
      <c r="Y189">
        <v>27</v>
      </c>
      <c r="Z189" t="s">
        <v>50</v>
      </c>
    </row>
    <row r="190" spans="1:26">
      <c r="A190" t="s">
        <v>470</v>
      </c>
      <c r="B190" t="s">
        <v>471</v>
      </c>
      <c r="C190" t="s">
        <v>71</v>
      </c>
      <c r="D190" t="s">
        <v>72</v>
      </c>
      <c r="E190">
        <v>55</v>
      </c>
      <c r="F190" t="s">
        <v>30</v>
      </c>
      <c r="G190" t="s">
        <v>165</v>
      </c>
      <c r="H190" t="s">
        <v>86</v>
      </c>
      <c r="I190" t="e">
        <f ca="1">_xludf.XLOOKUP(H190,Base_Planos!$A:$A,Base_Planos!$B:$B,"Não encontrado")</f>
        <v>#NAME?</v>
      </c>
      <c r="J190" s="2">
        <f>VLOOKUP(H190,Base_Planos!$A:$G,4,FALSE)</f>
        <v>119.9</v>
      </c>
      <c r="K190" s="4">
        <v>45280</v>
      </c>
      <c r="L190" t="s">
        <v>62</v>
      </c>
      <c r="M190" t="s">
        <v>34</v>
      </c>
      <c r="N190" s="4">
        <v>45447</v>
      </c>
      <c r="O190" s="10">
        <f t="shared" ca="1" si="16"/>
        <v>167</v>
      </c>
      <c r="P190" s="10" t="str">
        <f t="shared" ca="1" si="13"/>
        <v>91 a 180 dias</v>
      </c>
      <c r="Q190">
        <f t="shared" si="18"/>
        <v>1</v>
      </c>
      <c r="R190">
        <v>10</v>
      </c>
      <c r="S190" s="11">
        <f t="shared" si="17"/>
        <v>119.9</v>
      </c>
      <c r="T190" s="11" t="str">
        <f t="shared" si="14"/>
        <v>Promotor</v>
      </c>
      <c r="U190" s="11" t="str">
        <f t="shared" si="15"/>
        <v>Alto risco</v>
      </c>
      <c r="V190">
        <v>1</v>
      </c>
      <c r="W190">
        <v>34</v>
      </c>
      <c r="X190" s="2">
        <v>104.74</v>
      </c>
      <c r="Y190">
        <v>5</v>
      </c>
      <c r="Z190" t="s">
        <v>50</v>
      </c>
    </row>
    <row r="191" spans="1:26">
      <c r="A191" t="s">
        <v>472</v>
      </c>
      <c r="B191" t="s">
        <v>473</v>
      </c>
      <c r="C191" t="s">
        <v>94</v>
      </c>
      <c r="D191" t="s">
        <v>95</v>
      </c>
      <c r="E191">
        <v>41</v>
      </c>
      <c r="F191" t="s">
        <v>40</v>
      </c>
      <c r="G191" t="s">
        <v>41</v>
      </c>
      <c r="H191" t="s">
        <v>112</v>
      </c>
      <c r="I191" t="e">
        <f ca="1">_xludf.XLOOKUP(H191,Base_Planos!$A:$A,Base_Planos!$B:$B,"Não encontrado")</f>
        <v>#NAME?</v>
      </c>
      <c r="J191" s="2">
        <f>VLOOKUP(H191,Base_Planos!$A:$G,4,FALSE)</f>
        <v>79.900000000000006</v>
      </c>
      <c r="K191" s="4">
        <v>45209</v>
      </c>
      <c r="L191" t="s">
        <v>215</v>
      </c>
      <c r="M191" t="s">
        <v>44</v>
      </c>
      <c r="N191" s="4"/>
      <c r="O191" s="10">
        <f t="shared" ca="1" si="16"/>
        <v>960</v>
      </c>
      <c r="P191" s="10" t="str">
        <f t="shared" ca="1" si="13"/>
        <v>Mais de 1 ano</v>
      </c>
      <c r="Q191">
        <f t="shared" si="18"/>
        <v>0</v>
      </c>
      <c r="R191">
        <v>9</v>
      </c>
      <c r="S191" s="11">
        <f t="shared" si="17"/>
        <v>0</v>
      </c>
      <c r="T191" s="11" t="str">
        <f t="shared" si="14"/>
        <v>Promotor</v>
      </c>
      <c r="U191" s="11" t="str">
        <f t="shared" si="15"/>
        <v>Baixo risco</v>
      </c>
      <c r="V191">
        <v>1</v>
      </c>
      <c r="W191">
        <v>68</v>
      </c>
      <c r="X191" s="2">
        <v>78.23</v>
      </c>
      <c r="Y191">
        <v>32</v>
      </c>
      <c r="Z191" t="s">
        <v>50</v>
      </c>
    </row>
    <row r="192" spans="1:26">
      <c r="A192" t="s">
        <v>474</v>
      </c>
      <c r="B192" t="s">
        <v>475</v>
      </c>
      <c r="C192" t="s">
        <v>94</v>
      </c>
      <c r="D192" t="s">
        <v>95</v>
      </c>
      <c r="E192">
        <v>49</v>
      </c>
      <c r="F192" t="s">
        <v>30</v>
      </c>
      <c r="G192" t="s">
        <v>96</v>
      </c>
      <c r="H192" t="s">
        <v>42</v>
      </c>
      <c r="I192" t="e">
        <f ca="1">_xludf.XLOOKUP(H192,Base_Planos!$A:$A,Base_Planos!$B:$B,"Não encontrado")</f>
        <v>#NAME?</v>
      </c>
      <c r="J192" s="2">
        <f>VLOOKUP(H192,Base_Planos!$A:$G,4,FALSE)</f>
        <v>29.9</v>
      </c>
      <c r="K192" s="4">
        <v>45850</v>
      </c>
      <c r="L192" t="s">
        <v>212</v>
      </c>
      <c r="M192" t="s">
        <v>44</v>
      </c>
      <c r="N192" s="4"/>
      <c r="O192" s="10">
        <f t="shared" ca="1" si="16"/>
        <v>319</v>
      </c>
      <c r="P192" s="10" t="str">
        <f t="shared" ca="1" si="13"/>
        <v>181 a 365 dias</v>
      </c>
      <c r="Q192">
        <f t="shared" si="18"/>
        <v>0</v>
      </c>
      <c r="R192">
        <v>9</v>
      </c>
      <c r="S192" s="11">
        <f t="shared" si="17"/>
        <v>0</v>
      </c>
      <c r="T192" s="11" t="str">
        <f t="shared" si="14"/>
        <v>Promotor</v>
      </c>
      <c r="U192" s="11" t="str">
        <f t="shared" si="15"/>
        <v>Baixo risco</v>
      </c>
      <c r="V192">
        <v>0</v>
      </c>
      <c r="W192">
        <v>65</v>
      </c>
      <c r="X192" s="2">
        <v>30.29</v>
      </c>
      <c r="Y192">
        <v>10</v>
      </c>
      <c r="Z192" t="s">
        <v>50</v>
      </c>
    </row>
    <row r="193" spans="1:26">
      <c r="A193" t="s">
        <v>476</v>
      </c>
      <c r="B193" t="s">
        <v>477</v>
      </c>
      <c r="C193" t="s">
        <v>65</v>
      </c>
      <c r="D193" t="s">
        <v>29</v>
      </c>
      <c r="E193">
        <v>49</v>
      </c>
      <c r="F193" t="s">
        <v>54</v>
      </c>
      <c r="G193" t="s">
        <v>104</v>
      </c>
      <c r="H193" t="s">
        <v>112</v>
      </c>
      <c r="I193" t="e">
        <f ca="1">_xludf.XLOOKUP(H193,Base_Planos!$A:$A,Base_Planos!$B:$B,"Não encontrado")</f>
        <v>#NAME?</v>
      </c>
      <c r="J193" s="2">
        <f>VLOOKUP(H193,Base_Planos!$A:$G,4,FALSE)</f>
        <v>79.900000000000006</v>
      </c>
      <c r="K193" s="4">
        <v>45836</v>
      </c>
      <c r="L193" t="s">
        <v>167</v>
      </c>
      <c r="M193" t="s">
        <v>44</v>
      </c>
      <c r="N193" s="4"/>
      <c r="O193" s="10">
        <f t="shared" ca="1" si="16"/>
        <v>333</v>
      </c>
      <c r="P193" s="10" t="str">
        <f t="shared" ca="1" si="13"/>
        <v>181 a 365 dias</v>
      </c>
      <c r="Q193">
        <f t="shared" si="18"/>
        <v>0</v>
      </c>
      <c r="R193">
        <v>7</v>
      </c>
      <c r="S193" s="11">
        <f t="shared" si="17"/>
        <v>0</v>
      </c>
      <c r="T193" s="11" t="str">
        <f t="shared" si="14"/>
        <v>Neutro</v>
      </c>
      <c r="U193" s="11" t="str">
        <f t="shared" si="15"/>
        <v>Médio risco</v>
      </c>
      <c r="V193">
        <v>1</v>
      </c>
      <c r="W193">
        <v>88</v>
      </c>
      <c r="X193" s="2">
        <v>68.44</v>
      </c>
      <c r="Y193">
        <v>11</v>
      </c>
      <c r="Z193" t="s">
        <v>50</v>
      </c>
    </row>
    <row r="194" spans="1:26">
      <c r="A194" t="s">
        <v>478</v>
      </c>
      <c r="B194" t="s">
        <v>479</v>
      </c>
      <c r="C194" t="s">
        <v>140</v>
      </c>
      <c r="D194" t="s">
        <v>141</v>
      </c>
      <c r="E194">
        <v>28</v>
      </c>
      <c r="F194" t="s">
        <v>40</v>
      </c>
      <c r="G194" t="s">
        <v>104</v>
      </c>
      <c r="H194" t="s">
        <v>61</v>
      </c>
      <c r="I194" t="e">
        <f ca="1">_xludf.XLOOKUP(H194,Base_Planos!$A:$A,Base_Planos!$B:$B,"Não encontrado")</f>
        <v>#NAME?</v>
      </c>
      <c r="J194" s="2">
        <f>VLOOKUP(H194,Base_Planos!$A:$G,4,FALSE)</f>
        <v>59.9</v>
      </c>
      <c r="K194" s="4">
        <v>45158</v>
      </c>
      <c r="L194" t="s">
        <v>162</v>
      </c>
      <c r="M194" t="s">
        <v>44</v>
      </c>
      <c r="N194" s="4"/>
      <c r="O194" s="10">
        <f t="shared" ca="1" si="16"/>
        <v>1011</v>
      </c>
      <c r="P194" s="10" t="str">
        <f t="shared" ref="P194:P257" ca="1" si="19">IF(O194&lt;=30,"Até 30 dias",IF(O194&lt;=90,"31 a 90 dias",IF(O194&lt;=180,"91 a 180 dias",IF(O194&lt;=365,"181 a 365 dias","Mais de 1 ano"))))</f>
        <v>Mais de 1 ano</v>
      </c>
      <c r="Q194">
        <f t="shared" si="18"/>
        <v>0</v>
      </c>
      <c r="R194">
        <v>9</v>
      </c>
      <c r="S194" s="11">
        <f t="shared" si="17"/>
        <v>0</v>
      </c>
      <c r="T194" s="11" t="str">
        <f t="shared" ref="T194:T257" si="20">IF(R194&lt;=6,"Detrator",IF(R194&lt;=8,"Neutro","Promotor"))</f>
        <v>Promotor</v>
      </c>
      <c r="U194" s="11" t="str">
        <f t="shared" ref="U194:U257" si="21">IF(Q194=1,"Alto risco",IF(R194&lt;=6,"Alto risco",IF(R194&lt;=8,"Médio risco","Baixo risco")))</f>
        <v>Baixo risco</v>
      </c>
      <c r="V194">
        <v>2</v>
      </c>
      <c r="W194">
        <v>88</v>
      </c>
      <c r="X194" s="2">
        <v>60.77</v>
      </c>
      <c r="Y194">
        <v>33</v>
      </c>
      <c r="Z194" t="s">
        <v>35</v>
      </c>
    </row>
    <row r="195" spans="1:26">
      <c r="A195" t="s">
        <v>480</v>
      </c>
      <c r="B195" t="s">
        <v>481</v>
      </c>
      <c r="C195" t="s">
        <v>38</v>
      </c>
      <c r="D195" t="s">
        <v>39</v>
      </c>
      <c r="E195">
        <v>31</v>
      </c>
      <c r="F195" t="s">
        <v>201</v>
      </c>
      <c r="G195" t="s">
        <v>55</v>
      </c>
      <c r="H195" t="s">
        <v>82</v>
      </c>
      <c r="I195" t="e">
        <f ca="1">_xludf.XLOOKUP(H195,Base_Planos!$A:$A,Base_Planos!$B:$B,"Não encontrado")</f>
        <v>#NAME?</v>
      </c>
      <c r="J195" s="2">
        <f>VLOOKUP(H195,Base_Planos!$A:$G,4,FALSE)</f>
        <v>149.9</v>
      </c>
      <c r="K195" s="4">
        <v>45433</v>
      </c>
      <c r="L195" t="s">
        <v>130</v>
      </c>
      <c r="M195" t="s">
        <v>44</v>
      </c>
      <c r="N195" s="4"/>
      <c r="O195" s="10">
        <f t="shared" ref="O195:O258" ca="1" si="22">IF(M195="Cancelado",N195-K195,TODAY()-K195)</f>
        <v>736</v>
      </c>
      <c r="P195" s="10" t="str">
        <f t="shared" ca="1" si="19"/>
        <v>Mais de 1 ano</v>
      </c>
      <c r="Q195">
        <f t="shared" si="18"/>
        <v>0</v>
      </c>
      <c r="R195">
        <v>4</v>
      </c>
      <c r="S195" s="11">
        <f t="shared" ref="S195:S258" si="23">IF(Q195=1,J195,0)</f>
        <v>0</v>
      </c>
      <c r="T195" s="11" t="str">
        <f t="shared" si="20"/>
        <v>Detrator</v>
      </c>
      <c r="U195" s="11" t="str">
        <f t="shared" si="21"/>
        <v>Alto risco</v>
      </c>
      <c r="V195">
        <v>0</v>
      </c>
      <c r="W195">
        <v>51</v>
      </c>
      <c r="X195" s="2">
        <v>130.02000000000001</v>
      </c>
      <c r="Y195">
        <v>24</v>
      </c>
      <c r="Z195" t="s">
        <v>35</v>
      </c>
    </row>
    <row r="196" spans="1:26">
      <c r="A196" t="s">
        <v>482</v>
      </c>
      <c r="B196" t="s">
        <v>483</v>
      </c>
      <c r="C196" t="s">
        <v>48</v>
      </c>
      <c r="D196" t="s">
        <v>29</v>
      </c>
      <c r="E196">
        <v>33</v>
      </c>
      <c r="F196" t="s">
        <v>30</v>
      </c>
      <c r="G196" t="s">
        <v>165</v>
      </c>
      <c r="H196" t="s">
        <v>86</v>
      </c>
      <c r="I196" t="e">
        <f ca="1">_xludf.XLOOKUP(H196,Base_Planos!$A:$A,Base_Planos!$B:$B,"Não encontrado")</f>
        <v>#NAME?</v>
      </c>
      <c r="J196" s="2">
        <f>VLOOKUP(H196,Base_Planos!$A:$G,4,FALSE)</f>
        <v>119.9</v>
      </c>
      <c r="K196" s="4">
        <v>45803</v>
      </c>
      <c r="L196" t="s">
        <v>97</v>
      </c>
      <c r="M196" t="s">
        <v>44</v>
      </c>
      <c r="N196" s="4"/>
      <c r="O196" s="10">
        <f t="shared" ca="1" si="22"/>
        <v>366</v>
      </c>
      <c r="P196" s="10" t="str">
        <f t="shared" ca="1" si="19"/>
        <v>Mais de 1 ano</v>
      </c>
      <c r="Q196">
        <f t="shared" si="18"/>
        <v>0</v>
      </c>
      <c r="R196">
        <v>2</v>
      </c>
      <c r="S196" s="11">
        <f t="shared" si="23"/>
        <v>0</v>
      </c>
      <c r="T196" s="11" t="str">
        <f t="shared" si="20"/>
        <v>Detrator</v>
      </c>
      <c r="U196" s="11" t="str">
        <f t="shared" si="21"/>
        <v>Alto risco</v>
      </c>
      <c r="V196">
        <v>2</v>
      </c>
      <c r="W196">
        <v>24</v>
      </c>
      <c r="X196" s="2">
        <v>115.59</v>
      </c>
      <c r="Y196">
        <v>12</v>
      </c>
      <c r="Z196" t="s">
        <v>45</v>
      </c>
    </row>
    <row r="197" spans="1:26">
      <c r="A197" t="s">
        <v>484</v>
      </c>
      <c r="B197" t="s">
        <v>485</v>
      </c>
      <c r="C197" t="s">
        <v>90</v>
      </c>
      <c r="D197" t="s">
        <v>29</v>
      </c>
      <c r="E197">
        <v>52</v>
      </c>
      <c r="F197" t="s">
        <v>30</v>
      </c>
      <c r="G197" t="s">
        <v>73</v>
      </c>
      <c r="H197" t="s">
        <v>42</v>
      </c>
      <c r="I197" t="e">
        <f ca="1">_xludf.XLOOKUP(H197,Base_Planos!$A:$A,Base_Planos!$B:$B,"Não encontrado")</f>
        <v>#NAME?</v>
      </c>
      <c r="J197" s="2">
        <f>VLOOKUP(H197,Base_Planos!$A:$G,4,FALSE)</f>
        <v>29.9</v>
      </c>
      <c r="K197" s="4">
        <v>45474</v>
      </c>
      <c r="L197" t="s">
        <v>142</v>
      </c>
      <c r="M197" t="s">
        <v>44</v>
      </c>
      <c r="N197" s="4"/>
      <c r="O197" s="10">
        <f t="shared" ca="1" si="22"/>
        <v>695</v>
      </c>
      <c r="P197" s="10" t="str">
        <f t="shared" ca="1" si="19"/>
        <v>Mais de 1 ano</v>
      </c>
      <c r="Q197">
        <f t="shared" si="18"/>
        <v>0</v>
      </c>
      <c r="R197">
        <v>8</v>
      </c>
      <c r="S197" s="11">
        <f t="shared" si="23"/>
        <v>0</v>
      </c>
      <c r="T197" s="11" t="str">
        <f t="shared" si="20"/>
        <v>Neutro</v>
      </c>
      <c r="U197" s="11" t="str">
        <f t="shared" si="21"/>
        <v>Médio risco</v>
      </c>
      <c r="V197">
        <v>0</v>
      </c>
      <c r="W197">
        <v>53</v>
      </c>
      <c r="X197" s="2">
        <v>30.11</v>
      </c>
      <c r="Y197">
        <v>23</v>
      </c>
      <c r="Z197" t="s">
        <v>50</v>
      </c>
    </row>
    <row r="198" spans="1:26">
      <c r="A198" t="s">
        <v>486</v>
      </c>
      <c r="B198" t="s">
        <v>352</v>
      </c>
      <c r="C198" t="s">
        <v>140</v>
      </c>
      <c r="D198" t="s">
        <v>141</v>
      </c>
      <c r="E198">
        <v>59</v>
      </c>
      <c r="F198" t="s">
        <v>30</v>
      </c>
      <c r="G198" t="s">
        <v>96</v>
      </c>
      <c r="H198" t="s">
        <v>42</v>
      </c>
      <c r="I198" t="e">
        <f ca="1">_xludf.XLOOKUP(H198,Base_Planos!$A:$A,Base_Planos!$B:$B,"Não encontrado")</f>
        <v>#NAME?</v>
      </c>
      <c r="J198" s="2">
        <f>VLOOKUP(H198,Base_Planos!$A:$G,4,FALSE)</f>
        <v>29.9</v>
      </c>
      <c r="K198" s="4">
        <v>45586</v>
      </c>
      <c r="L198" t="s">
        <v>123</v>
      </c>
      <c r="M198" t="s">
        <v>44</v>
      </c>
      <c r="N198" s="4"/>
      <c r="O198" s="10">
        <f t="shared" ca="1" si="22"/>
        <v>583</v>
      </c>
      <c r="P198" s="10" t="str">
        <f t="shared" ca="1" si="19"/>
        <v>Mais de 1 ano</v>
      </c>
      <c r="Q198">
        <f t="shared" si="18"/>
        <v>0</v>
      </c>
      <c r="R198">
        <v>3</v>
      </c>
      <c r="S198" s="11">
        <f t="shared" si="23"/>
        <v>0</v>
      </c>
      <c r="T198" s="11" t="str">
        <f t="shared" si="20"/>
        <v>Detrator</v>
      </c>
      <c r="U198" s="11" t="str">
        <f t="shared" si="21"/>
        <v>Alto risco</v>
      </c>
      <c r="V198">
        <v>0</v>
      </c>
      <c r="W198">
        <v>15</v>
      </c>
      <c r="X198" s="2">
        <v>27.02</v>
      </c>
      <c r="Y198">
        <v>19</v>
      </c>
      <c r="Z198" t="s">
        <v>45</v>
      </c>
    </row>
    <row r="199" spans="1:26">
      <c r="A199" t="s">
        <v>487</v>
      </c>
      <c r="B199" t="s">
        <v>152</v>
      </c>
      <c r="C199" t="s">
        <v>77</v>
      </c>
      <c r="D199" t="s">
        <v>78</v>
      </c>
      <c r="E199">
        <v>22</v>
      </c>
      <c r="F199" t="s">
        <v>40</v>
      </c>
      <c r="G199" t="s">
        <v>55</v>
      </c>
      <c r="H199" t="s">
        <v>112</v>
      </c>
      <c r="I199" t="e">
        <f ca="1">_xludf.XLOOKUP(H199,Base_Planos!$A:$A,Base_Planos!$B:$B,"Não encontrado")</f>
        <v>#NAME?</v>
      </c>
      <c r="J199" s="2">
        <f>VLOOKUP(H199,Base_Planos!$A:$G,4,FALSE)</f>
        <v>79.900000000000006</v>
      </c>
      <c r="K199" s="4">
        <v>45496</v>
      </c>
      <c r="L199" t="s">
        <v>142</v>
      </c>
      <c r="M199" t="s">
        <v>44</v>
      </c>
      <c r="N199" s="4"/>
      <c r="O199" s="10">
        <f t="shared" ca="1" si="22"/>
        <v>673</v>
      </c>
      <c r="P199" s="10" t="str">
        <f t="shared" ca="1" si="19"/>
        <v>Mais de 1 ano</v>
      </c>
      <c r="Q199">
        <f t="shared" si="18"/>
        <v>0</v>
      </c>
      <c r="R199">
        <v>5</v>
      </c>
      <c r="S199" s="11">
        <f t="shared" si="23"/>
        <v>0</v>
      </c>
      <c r="T199" s="11" t="str">
        <f t="shared" si="20"/>
        <v>Detrator</v>
      </c>
      <c r="U199" s="11" t="str">
        <f t="shared" si="21"/>
        <v>Alto risco</v>
      </c>
      <c r="V199">
        <v>1</v>
      </c>
      <c r="W199">
        <v>66</v>
      </c>
      <c r="X199" s="2">
        <v>81.45</v>
      </c>
      <c r="Y199">
        <v>22</v>
      </c>
      <c r="Z199" t="s">
        <v>50</v>
      </c>
    </row>
    <row r="200" spans="1:26">
      <c r="A200" t="s">
        <v>488</v>
      </c>
      <c r="B200" t="s">
        <v>489</v>
      </c>
      <c r="C200" t="s">
        <v>65</v>
      </c>
      <c r="D200" t="s">
        <v>29</v>
      </c>
      <c r="E200">
        <v>60</v>
      </c>
      <c r="F200" t="s">
        <v>40</v>
      </c>
      <c r="G200" t="s">
        <v>55</v>
      </c>
      <c r="H200" t="s">
        <v>82</v>
      </c>
      <c r="I200" t="e">
        <f ca="1">_xludf.XLOOKUP(H200,Base_Planos!$A:$A,Base_Planos!$B:$B,"Não encontrado")</f>
        <v>#NAME?</v>
      </c>
      <c r="J200" s="2">
        <f>VLOOKUP(H200,Base_Planos!$A:$G,4,FALSE)</f>
        <v>149.9</v>
      </c>
      <c r="K200" s="4">
        <v>45741</v>
      </c>
      <c r="L200" t="s">
        <v>454</v>
      </c>
      <c r="M200" t="s">
        <v>34</v>
      </c>
      <c r="N200" s="4">
        <v>45916</v>
      </c>
      <c r="O200" s="10">
        <f t="shared" ca="1" si="22"/>
        <v>175</v>
      </c>
      <c r="P200" s="10" t="str">
        <f t="shared" ca="1" si="19"/>
        <v>91 a 180 dias</v>
      </c>
      <c r="Q200">
        <f t="shared" si="18"/>
        <v>1</v>
      </c>
      <c r="R200">
        <v>3</v>
      </c>
      <c r="S200" s="11">
        <f t="shared" si="23"/>
        <v>149.9</v>
      </c>
      <c r="T200" s="11" t="str">
        <f t="shared" si="20"/>
        <v>Detrator</v>
      </c>
      <c r="U200" s="11" t="str">
        <f t="shared" si="21"/>
        <v>Alto risco</v>
      </c>
      <c r="V200">
        <v>0</v>
      </c>
      <c r="W200">
        <v>46</v>
      </c>
      <c r="X200" s="2">
        <v>144.74</v>
      </c>
      <c r="Y200">
        <v>5</v>
      </c>
      <c r="Z200" t="s">
        <v>45</v>
      </c>
    </row>
    <row r="201" spans="1:26">
      <c r="A201" t="s">
        <v>490</v>
      </c>
      <c r="B201" t="s">
        <v>491</v>
      </c>
      <c r="C201" t="s">
        <v>48</v>
      </c>
      <c r="D201" t="s">
        <v>29</v>
      </c>
      <c r="E201">
        <v>39</v>
      </c>
      <c r="F201" t="s">
        <v>66</v>
      </c>
      <c r="G201" t="s">
        <v>67</v>
      </c>
      <c r="H201" t="s">
        <v>32</v>
      </c>
      <c r="I201" t="e">
        <f ca="1">_xludf.XLOOKUP(H201,Base_Planos!$A:$A,Base_Planos!$B:$B,"Não encontrado")</f>
        <v>#NAME?</v>
      </c>
      <c r="J201" s="2">
        <f>VLOOKUP(H201,Base_Planos!$A:$G,4,FALSE)</f>
        <v>39.9</v>
      </c>
      <c r="K201" s="4">
        <v>45868</v>
      </c>
      <c r="L201" t="s">
        <v>212</v>
      </c>
      <c r="M201" t="s">
        <v>34</v>
      </c>
      <c r="N201" s="4">
        <v>46117</v>
      </c>
      <c r="O201" s="10">
        <f t="shared" ca="1" si="22"/>
        <v>249</v>
      </c>
      <c r="P201" s="10" t="str">
        <f t="shared" ca="1" si="19"/>
        <v>181 a 365 dias</v>
      </c>
      <c r="Q201">
        <f t="shared" si="18"/>
        <v>1</v>
      </c>
      <c r="R201">
        <v>0</v>
      </c>
      <c r="S201" s="11">
        <f t="shared" si="23"/>
        <v>39.9</v>
      </c>
      <c r="T201" s="11" t="str">
        <f t="shared" si="20"/>
        <v>Detrator</v>
      </c>
      <c r="U201" s="11" t="str">
        <f t="shared" si="21"/>
        <v>Alto risco</v>
      </c>
      <c r="V201">
        <v>0</v>
      </c>
      <c r="W201">
        <v>95</v>
      </c>
      <c r="X201" s="2">
        <v>39.409999999999997</v>
      </c>
      <c r="Y201">
        <v>8</v>
      </c>
      <c r="Z201" t="s">
        <v>45</v>
      </c>
    </row>
    <row r="202" spans="1:26">
      <c r="A202" t="s">
        <v>492</v>
      </c>
      <c r="B202" t="s">
        <v>381</v>
      </c>
      <c r="C202" t="s">
        <v>94</v>
      </c>
      <c r="D202" t="s">
        <v>95</v>
      </c>
      <c r="E202">
        <v>35</v>
      </c>
      <c r="F202" t="s">
        <v>30</v>
      </c>
      <c r="G202" t="s">
        <v>165</v>
      </c>
      <c r="H202" t="s">
        <v>42</v>
      </c>
      <c r="I202" t="e">
        <f ca="1">_xludf.XLOOKUP(H202,Base_Planos!$A:$A,Base_Planos!$B:$B,"Não encontrado")</f>
        <v>#NAME?</v>
      </c>
      <c r="J202" s="2">
        <f>VLOOKUP(H202,Base_Planos!$A:$G,4,FALSE)</f>
        <v>29.9</v>
      </c>
      <c r="K202" s="4">
        <v>45688</v>
      </c>
      <c r="L202" t="s">
        <v>261</v>
      </c>
      <c r="M202" t="s">
        <v>44</v>
      </c>
      <c r="N202" s="4"/>
      <c r="O202" s="10">
        <f t="shared" ca="1" si="22"/>
        <v>481</v>
      </c>
      <c r="P202" s="10" t="str">
        <f t="shared" ca="1" si="19"/>
        <v>Mais de 1 ano</v>
      </c>
      <c r="Q202">
        <f t="shared" si="18"/>
        <v>0</v>
      </c>
      <c r="R202">
        <v>10</v>
      </c>
      <c r="S202" s="11">
        <f t="shared" si="23"/>
        <v>0</v>
      </c>
      <c r="T202" s="11" t="str">
        <f t="shared" si="20"/>
        <v>Promotor</v>
      </c>
      <c r="U202" s="11" t="str">
        <f t="shared" si="21"/>
        <v>Baixo risco</v>
      </c>
      <c r="V202">
        <v>0</v>
      </c>
      <c r="W202">
        <v>47</v>
      </c>
      <c r="X202" s="2">
        <v>29.6</v>
      </c>
      <c r="Y202">
        <v>16</v>
      </c>
      <c r="Z202" t="s">
        <v>50</v>
      </c>
    </row>
    <row r="203" spans="1:26">
      <c r="A203" t="s">
        <v>493</v>
      </c>
      <c r="B203" t="s">
        <v>236</v>
      </c>
      <c r="C203" t="s">
        <v>65</v>
      </c>
      <c r="D203" t="s">
        <v>29</v>
      </c>
      <c r="E203">
        <v>23</v>
      </c>
      <c r="F203" t="s">
        <v>40</v>
      </c>
      <c r="G203" t="s">
        <v>67</v>
      </c>
      <c r="H203" t="s">
        <v>42</v>
      </c>
      <c r="I203" t="e">
        <f ca="1">_xludf.XLOOKUP(H203,Base_Planos!$A:$A,Base_Planos!$B:$B,"Não encontrado")</f>
        <v>#NAME?</v>
      </c>
      <c r="J203" s="2">
        <f>VLOOKUP(H203,Base_Planos!$A:$G,4,FALSE)</f>
        <v>29.9</v>
      </c>
      <c r="K203" s="4">
        <v>45086</v>
      </c>
      <c r="L203" t="s">
        <v>328</v>
      </c>
      <c r="M203" t="s">
        <v>34</v>
      </c>
      <c r="N203" s="4">
        <v>45819</v>
      </c>
      <c r="O203" s="10">
        <f t="shared" ca="1" si="22"/>
        <v>733</v>
      </c>
      <c r="P203" s="10" t="str">
        <f t="shared" ca="1" si="19"/>
        <v>Mais de 1 ano</v>
      </c>
      <c r="Q203">
        <f t="shared" si="18"/>
        <v>1</v>
      </c>
      <c r="R203">
        <v>2</v>
      </c>
      <c r="S203" s="11">
        <f t="shared" si="23"/>
        <v>29.9</v>
      </c>
      <c r="T203" s="11" t="str">
        <f t="shared" si="20"/>
        <v>Detrator</v>
      </c>
      <c r="U203" s="11" t="str">
        <f t="shared" si="21"/>
        <v>Alto risco</v>
      </c>
      <c r="V203">
        <v>0</v>
      </c>
      <c r="W203">
        <v>38</v>
      </c>
      <c r="X203" s="2">
        <v>31.32</v>
      </c>
      <c r="Y203">
        <v>24</v>
      </c>
      <c r="Z203" t="s">
        <v>35</v>
      </c>
    </row>
    <row r="204" spans="1:26">
      <c r="A204" t="s">
        <v>494</v>
      </c>
      <c r="B204" t="s">
        <v>495</v>
      </c>
      <c r="C204" t="s">
        <v>77</v>
      </c>
      <c r="D204" t="s">
        <v>78</v>
      </c>
      <c r="E204">
        <v>22</v>
      </c>
      <c r="F204" t="s">
        <v>30</v>
      </c>
      <c r="G204" t="s">
        <v>55</v>
      </c>
      <c r="H204" t="s">
        <v>82</v>
      </c>
      <c r="I204" t="e">
        <f ca="1">_xludf.XLOOKUP(H204,Base_Planos!$A:$A,Base_Planos!$B:$B,"Não encontrado")</f>
        <v>#NAME?</v>
      </c>
      <c r="J204" s="2">
        <f>VLOOKUP(H204,Base_Planos!$A:$G,4,FALSE)</f>
        <v>149.9</v>
      </c>
      <c r="K204" s="4">
        <v>45136</v>
      </c>
      <c r="L204" t="s">
        <v>33</v>
      </c>
      <c r="M204" t="s">
        <v>44</v>
      </c>
      <c r="N204" s="4"/>
      <c r="O204" s="10">
        <f t="shared" ca="1" si="22"/>
        <v>1033</v>
      </c>
      <c r="P204" s="10" t="str">
        <f t="shared" ca="1" si="19"/>
        <v>Mais de 1 ano</v>
      </c>
      <c r="Q204">
        <f t="shared" si="18"/>
        <v>0</v>
      </c>
      <c r="R204">
        <v>1</v>
      </c>
      <c r="S204" s="11">
        <f t="shared" si="23"/>
        <v>0</v>
      </c>
      <c r="T204" s="11" t="str">
        <f t="shared" si="20"/>
        <v>Detrator</v>
      </c>
      <c r="U204" s="11" t="str">
        <f t="shared" si="21"/>
        <v>Alto risco</v>
      </c>
      <c r="V204">
        <v>0</v>
      </c>
      <c r="W204">
        <v>100</v>
      </c>
      <c r="X204" s="2">
        <v>149.99</v>
      </c>
      <c r="Y204">
        <v>34</v>
      </c>
      <c r="Z204" t="s">
        <v>35</v>
      </c>
    </row>
    <row r="205" spans="1:26">
      <c r="A205" t="s">
        <v>496</v>
      </c>
      <c r="B205" t="s">
        <v>207</v>
      </c>
      <c r="C205" t="s">
        <v>102</v>
      </c>
      <c r="D205" t="s">
        <v>103</v>
      </c>
      <c r="E205">
        <v>51</v>
      </c>
      <c r="F205" t="s">
        <v>54</v>
      </c>
      <c r="G205" t="s">
        <v>96</v>
      </c>
      <c r="H205" t="s">
        <v>112</v>
      </c>
      <c r="I205" t="e">
        <f ca="1">_xludf.XLOOKUP(H205,Base_Planos!$A:$A,Base_Planos!$B:$B,"Não encontrado")</f>
        <v>#NAME?</v>
      </c>
      <c r="J205" s="2">
        <f>VLOOKUP(H205,Base_Planos!$A:$G,4,FALSE)</f>
        <v>79.900000000000006</v>
      </c>
      <c r="K205" s="4">
        <v>45363</v>
      </c>
      <c r="L205" t="s">
        <v>126</v>
      </c>
      <c r="M205" t="s">
        <v>44</v>
      </c>
      <c r="N205" s="4"/>
      <c r="O205" s="10">
        <f t="shared" ca="1" si="22"/>
        <v>806</v>
      </c>
      <c r="P205" s="10" t="str">
        <f t="shared" ca="1" si="19"/>
        <v>Mais de 1 ano</v>
      </c>
      <c r="Q205">
        <f t="shared" si="18"/>
        <v>0</v>
      </c>
      <c r="R205">
        <v>10</v>
      </c>
      <c r="S205" s="11">
        <f t="shared" si="23"/>
        <v>0</v>
      </c>
      <c r="T205" s="11" t="str">
        <f t="shared" si="20"/>
        <v>Promotor</v>
      </c>
      <c r="U205" s="11" t="str">
        <f t="shared" si="21"/>
        <v>Baixo risco</v>
      </c>
      <c r="V205">
        <v>1</v>
      </c>
      <c r="W205">
        <v>0</v>
      </c>
      <c r="X205" s="2">
        <v>71.39</v>
      </c>
      <c r="Y205">
        <v>26</v>
      </c>
      <c r="Z205" t="s">
        <v>35</v>
      </c>
    </row>
    <row r="206" spans="1:26">
      <c r="A206" t="s">
        <v>497</v>
      </c>
      <c r="B206" t="s">
        <v>498</v>
      </c>
      <c r="C206" t="s">
        <v>94</v>
      </c>
      <c r="D206" t="s">
        <v>95</v>
      </c>
      <c r="E206">
        <v>25</v>
      </c>
      <c r="F206" t="s">
        <v>54</v>
      </c>
      <c r="G206" t="s">
        <v>41</v>
      </c>
      <c r="H206" t="s">
        <v>112</v>
      </c>
      <c r="I206" t="e">
        <f ca="1">_xludf.XLOOKUP(H206,Base_Planos!$A:$A,Base_Planos!$B:$B,"Não encontrado")</f>
        <v>#NAME?</v>
      </c>
      <c r="J206" s="2">
        <f>VLOOKUP(H206,Base_Planos!$A:$G,4,FALSE)</f>
        <v>79.900000000000006</v>
      </c>
      <c r="K206" s="4">
        <v>45806</v>
      </c>
      <c r="L206" t="s">
        <v>97</v>
      </c>
      <c r="M206" t="s">
        <v>44</v>
      </c>
      <c r="N206" s="4"/>
      <c r="O206" s="10">
        <f t="shared" ca="1" si="22"/>
        <v>363</v>
      </c>
      <c r="P206" s="10" t="str">
        <f t="shared" ca="1" si="19"/>
        <v>181 a 365 dias</v>
      </c>
      <c r="Q206">
        <f t="shared" si="18"/>
        <v>0</v>
      </c>
      <c r="R206">
        <v>5</v>
      </c>
      <c r="S206" s="11">
        <f t="shared" si="23"/>
        <v>0</v>
      </c>
      <c r="T206" s="11" t="str">
        <f t="shared" si="20"/>
        <v>Detrator</v>
      </c>
      <c r="U206" s="11" t="str">
        <f t="shared" si="21"/>
        <v>Alto risco</v>
      </c>
      <c r="V206">
        <v>1</v>
      </c>
      <c r="W206">
        <v>36</v>
      </c>
      <c r="X206" s="2">
        <v>77.52</v>
      </c>
      <c r="Y206">
        <v>12</v>
      </c>
      <c r="Z206" t="s">
        <v>35</v>
      </c>
    </row>
    <row r="207" spans="1:26">
      <c r="A207" t="s">
        <v>499</v>
      </c>
      <c r="B207" t="s">
        <v>500</v>
      </c>
      <c r="C207" t="s">
        <v>140</v>
      </c>
      <c r="D207" t="s">
        <v>141</v>
      </c>
      <c r="E207">
        <v>62</v>
      </c>
      <c r="F207" t="s">
        <v>30</v>
      </c>
      <c r="G207" t="s">
        <v>73</v>
      </c>
      <c r="H207" t="s">
        <v>42</v>
      </c>
      <c r="I207" t="e">
        <f ca="1">_xludf.XLOOKUP(H207,Base_Planos!$A:$A,Base_Planos!$B:$B,"Não encontrado")</f>
        <v>#NAME?</v>
      </c>
      <c r="J207" s="2">
        <f>VLOOKUP(H207,Base_Planos!$A:$G,4,FALSE)</f>
        <v>29.9</v>
      </c>
      <c r="K207" s="4">
        <v>45970</v>
      </c>
      <c r="L207" t="s">
        <v>87</v>
      </c>
      <c r="M207" t="s">
        <v>44</v>
      </c>
      <c r="N207" s="4"/>
      <c r="O207" s="10">
        <f t="shared" ca="1" si="22"/>
        <v>199</v>
      </c>
      <c r="P207" s="10" t="str">
        <f t="shared" ca="1" si="19"/>
        <v>181 a 365 dias</v>
      </c>
      <c r="Q207">
        <f t="shared" si="18"/>
        <v>0</v>
      </c>
      <c r="R207">
        <v>3</v>
      </c>
      <c r="S207" s="11">
        <f t="shared" si="23"/>
        <v>0</v>
      </c>
      <c r="T207" s="11" t="str">
        <f t="shared" si="20"/>
        <v>Detrator</v>
      </c>
      <c r="U207" s="11" t="str">
        <f t="shared" si="21"/>
        <v>Alto risco</v>
      </c>
      <c r="V207">
        <v>0</v>
      </c>
      <c r="W207">
        <v>33</v>
      </c>
      <c r="X207" s="2">
        <v>31.12</v>
      </c>
      <c r="Y207">
        <v>6</v>
      </c>
      <c r="Z207" t="s">
        <v>45</v>
      </c>
    </row>
    <row r="208" spans="1:26">
      <c r="A208" t="s">
        <v>501</v>
      </c>
      <c r="B208" t="s">
        <v>502</v>
      </c>
      <c r="C208" t="s">
        <v>102</v>
      </c>
      <c r="D208" t="s">
        <v>103</v>
      </c>
      <c r="E208">
        <v>33</v>
      </c>
      <c r="F208" t="s">
        <v>54</v>
      </c>
      <c r="G208" t="s">
        <v>55</v>
      </c>
      <c r="H208" t="s">
        <v>112</v>
      </c>
      <c r="I208" t="e">
        <f ca="1">_xludf.XLOOKUP(H208,Base_Planos!$A:$A,Base_Planos!$B:$B,"Não encontrado")</f>
        <v>#NAME?</v>
      </c>
      <c r="J208" s="2">
        <f>VLOOKUP(H208,Base_Planos!$A:$G,4,FALSE)</f>
        <v>79.900000000000006</v>
      </c>
      <c r="K208" s="4">
        <v>44951</v>
      </c>
      <c r="L208" t="s">
        <v>153</v>
      </c>
      <c r="M208" t="s">
        <v>44</v>
      </c>
      <c r="N208" s="4"/>
      <c r="O208" s="10">
        <f t="shared" ca="1" si="22"/>
        <v>1218</v>
      </c>
      <c r="P208" s="10" t="str">
        <f t="shared" ca="1" si="19"/>
        <v>Mais de 1 ano</v>
      </c>
      <c r="Q208">
        <f t="shared" si="18"/>
        <v>0</v>
      </c>
      <c r="R208">
        <v>5</v>
      </c>
      <c r="S208" s="11">
        <f t="shared" si="23"/>
        <v>0</v>
      </c>
      <c r="T208" s="11" t="str">
        <f t="shared" si="20"/>
        <v>Detrator</v>
      </c>
      <c r="U208" s="11" t="str">
        <f t="shared" si="21"/>
        <v>Alto risco</v>
      </c>
      <c r="V208">
        <v>2</v>
      </c>
      <c r="W208">
        <v>50</v>
      </c>
      <c r="X208" s="2">
        <v>73.75</v>
      </c>
      <c r="Y208">
        <v>40</v>
      </c>
      <c r="Z208" t="s">
        <v>35</v>
      </c>
    </row>
    <row r="209" spans="1:26">
      <c r="A209" t="s">
        <v>503</v>
      </c>
      <c r="B209" t="s">
        <v>244</v>
      </c>
      <c r="C209" t="s">
        <v>48</v>
      </c>
      <c r="D209" t="s">
        <v>29</v>
      </c>
      <c r="E209">
        <v>48</v>
      </c>
      <c r="F209" t="s">
        <v>201</v>
      </c>
      <c r="G209" t="s">
        <v>55</v>
      </c>
      <c r="H209" t="s">
        <v>32</v>
      </c>
      <c r="I209" t="e">
        <f ca="1">_xludf.XLOOKUP(H209,Base_Planos!$A:$A,Base_Planos!$B:$B,"Não encontrado")</f>
        <v>#NAME?</v>
      </c>
      <c r="J209" s="2">
        <f>VLOOKUP(H209,Base_Planos!$A:$G,4,FALSE)</f>
        <v>39.9</v>
      </c>
      <c r="K209" s="4">
        <v>45065</v>
      </c>
      <c r="L209" t="s">
        <v>115</v>
      </c>
      <c r="M209" t="s">
        <v>44</v>
      </c>
      <c r="N209" s="4"/>
      <c r="O209" s="10">
        <f t="shared" ca="1" si="22"/>
        <v>1104</v>
      </c>
      <c r="P209" s="10" t="str">
        <f t="shared" ca="1" si="19"/>
        <v>Mais de 1 ano</v>
      </c>
      <c r="Q209">
        <f t="shared" si="18"/>
        <v>0</v>
      </c>
      <c r="R209">
        <v>0</v>
      </c>
      <c r="S209" s="11">
        <f t="shared" si="23"/>
        <v>0</v>
      </c>
      <c r="T209" s="11" t="str">
        <f t="shared" si="20"/>
        <v>Detrator</v>
      </c>
      <c r="U209" s="11" t="str">
        <f t="shared" si="21"/>
        <v>Alto risco</v>
      </c>
      <c r="V209">
        <v>0</v>
      </c>
      <c r="W209">
        <v>64</v>
      </c>
      <c r="X209" s="2">
        <v>37.96</v>
      </c>
      <c r="Y209">
        <v>36</v>
      </c>
      <c r="Z209" t="s">
        <v>35</v>
      </c>
    </row>
    <row r="210" spans="1:26">
      <c r="A210" t="s">
        <v>504</v>
      </c>
      <c r="B210" t="s">
        <v>505</v>
      </c>
      <c r="C210" t="s">
        <v>48</v>
      </c>
      <c r="D210" t="s">
        <v>29</v>
      </c>
      <c r="E210">
        <v>44</v>
      </c>
      <c r="F210" t="s">
        <v>54</v>
      </c>
      <c r="G210" t="s">
        <v>41</v>
      </c>
      <c r="H210" t="s">
        <v>32</v>
      </c>
      <c r="I210" t="e">
        <f ca="1">_xludf.XLOOKUP(H210,Base_Planos!$A:$A,Base_Planos!$B:$B,"Não encontrado")</f>
        <v>#NAME?</v>
      </c>
      <c r="J210" s="2">
        <f>VLOOKUP(H210,Base_Planos!$A:$G,4,FALSE)</f>
        <v>39.9</v>
      </c>
      <c r="K210" s="4">
        <v>46025</v>
      </c>
      <c r="L210" t="s">
        <v>148</v>
      </c>
      <c r="M210" t="s">
        <v>44</v>
      </c>
      <c r="N210" s="4"/>
      <c r="O210" s="10">
        <f t="shared" ca="1" si="22"/>
        <v>144</v>
      </c>
      <c r="P210" s="10" t="str">
        <f t="shared" ca="1" si="19"/>
        <v>91 a 180 dias</v>
      </c>
      <c r="Q210">
        <f t="shared" si="18"/>
        <v>0</v>
      </c>
      <c r="R210">
        <v>8</v>
      </c>
      <c r="S210" s="11">
        <f t="shared" si="23"/>
        <v>0</v>
      </c>
      <c r="T210" s="11" t="str">
        <f t="shared" si="20"/>
        <v>Neutro</v>
      </c>
      <c r="U210" s="11" t="str">
        <f t="shared" si="21"/>
        <v>Médio risco</v>
      </c>
      <c r="V210">
        <v>0</v>
      </c>
      <c r="W210">
        <v>41</v>
      </c>
      <c r="X210" s="2">
        <v>35.54</v>
      </c>
      <c r="Y210">
        <v>4</v>
      </c>
      <c r="Z210" t="s">
        <v>50</v>
      </c>
    </row>
    <row r="211" spans="1:26">
      <c r="A211" t="s">
        <v>506</v>
      </c>
      <c r="B211" t="s">
        <v>507</v>
      </c>
      <c r="C211" t="s">
        <v>38</v>
      </c>
      <c r="D211" t="s">
        <v>39</v>
      </c>
      <c r="E211">
        <v>38</v>
      </c>
      <c r="F211" t="s">
        <v>54</v>
      </c>
      <c r="G211" t="s">
        <v>55</v>
      </c>
      <c r="H211" t="s">
        <v>42</v>
      </c>
      <c r="I211" t="e">
        <f ca="1">_xludf.XLOOKUP(H211,Base_Planos!$A:$A,Base_Planos!$B:$B,"Não encontrado")</f>
        <v>#NAME?</v>
      </c>
      <c r="J211" s="2">
        <f>VLOOKUP(H211,Base_Planos!$A:$G,4,FALSE)</f>
        <v>29.9</v>
      </c>
      <c r="K211" s="4">
        <v>45822</v>
      </c>
      <c r="L211" t="s">
        <v>167</v>
      </c>
      <c r="M211" t="s">
        <v>44</v>
      </c>
      <c r="N211" s="4"/>
      <c r="O211" s="10">
        <f t="shared" ca="1" si="22"/>
        <v>347</v>
      </c>
      <c r="P211" s="10" t="str">
        <f t="shared" ca="1" si="19"/>
        <v>181 a 365 dias</v>
      </c>
      <c r="Q211">
        <f t="shared" si="18"/>
        <v>0</v>
      </c>
      <c r="R211">
        <v>3</v>
      </c>
      <c r="S211" s="11">
        <f t="shared" si="23"/>
        <v>0</v>
      </c>
      <c r="T211" s="11" t="str">
        <f t="shared" si="20"/>
        <v>Detrator</v>
      </c>
      <c r="U211" s="11" t="str">
        <f t="shared" si="21"/>
        <v>Alto risco</v>
      </c>
      <c r="V211">
        <v>0</v>
      </c>
      <c r="W211">
        <v>61</v>
      </c>
      <c r="X211" s="2">
        <v>29.06</v>
      </c>
      <c r="Y211">
        <v>11</v>
      </c>
      <c r="Z211" t="s">
        <v>35</v>
      </c>
    </row>
    <row r="212" spans="1:26">
      <c r="A212" t="s">
        <v>508</v>
      </c>
      <c r="B212" t="s">
        <v>509</v>
      </c>
      <c r="C212" t="s">
        <v>102</v>
      </c>
      <c r="D212" t="s">
        <v>103</v>
      </c>
      <c r="E212">
        <v>18</v>
      </c>
      <c r="F212" t="s">
        <v>40</v>
      </c>
      <c r="G212" t="s">
        <v>67</v>
      </c>
      <c r="H212" t="s">
        <v>32</v>
      </c>
      <c r="I212" t="e">
        <f ca="1">_xludf.XLOOKUP(H212,Base_Planos!$A:$A,Base_Planos!$B:$B,"Não encontrado")</f>
        <v>#NAME?</v>
      </c>
      <c r="J212" s="2">
        <f>VLOOKUP(H212,Base_Planos!$A:$G,4,FALSE)</f>
        <v>39.9</v>
      </c>
      <c r="K212" s="4">
        <v>45637</v>
      </c>
      <c r="L212" t="s">
        <v>49</v>
      </c>
      <c r="M212" t="s">
        <v>44</v>
      </c>
      <c r="N212" s="4"/>
      <c r="O212" s="10">
        <f t="shared" ca="1" si="22"/>
        <v>532</v>
      </c>
      <c r="P212" s="10" t="str">
        <f t="shared" ca="1" si="19"/>
        <v>Mais de 1 ano</v>
      </c>
      <c r="Q212">
        <f t="shared" si="18"/>
        <v>0</v>
      </c>
      <c r="R212">
        <v>8</v>
      </c>
      <c r="S212" s="11">
        <f t="shared" si="23"/>
        <v>0</v>
      </c>
      <c r="T212" s="11" t="str">
        <f t="shared" si="20"/>
        <v>Neutro</v>
      </c>
      <c r="U212" s="11" t="str">
        <f t="shared" si="21"/>
        <v>Médio risco</v>
      </c>
      <c r="V212">
        <v>0</v>
      </c>
      <c r="W212">
        <v>51</v>
      </c>
      <c r="X212" s="2">
        <v>39.9</v>
      </c>
      <c r="Y212">
        <v>17</v>
      </c>
      <c r="Z212" t="s">
        <v>50</v>
      </c>
    </row>
    <row r="213" spans="1:26">
      <c r="A213" t="s">
        <v>510</v>
      </c>
      <c r="B213" t="s">
        <v>511</v>
      </c>
      <c r="C213" t="s">
        <v>137</v>
      </c>
      <c r="D213" t="s">
        <v>29</v>
      </c>
      <c r="E213">
        <v>25</v>
      </c>
      <c r="F213" t="s">
        <v>40</v>
      </c>
      <c r="G213" t="s">
        <v>67</v>
      </c>
      <c r="H213" t="s">
        <v>42</v>
      </c>
      <c r="I213" t="e">
        <f ca="1">_xludf.XLOOKUP(H213,Base_Planos!$A:$A,Base_Planos!$B:$B,"Não encontrado")</f>
        <v>#NAME?</v>
      </c>
      <c r="J213" s="2">
        <f>VLOOKUP(H213,Base_Planos!$A:$G,4,FALSE)</f>
        <v>29.9</v>
      </c>
      <c r="K213" s="4">
        <v>45806</v>
      </c>
      <c r="L213" t="s">
        <v>97</v>
      </c>
      <c r="M213" t="s">
        <v>44</v>
      </c>
      <c r="N213" s="4"/>
      <c r="O213" s="10">
        <f t="shared" ca="1" si="22"/>
        <v>363</v>
      </c>
      <c r="P213" s="10" t="str">
        <f t="shared" ca="1" si="19"/>
        <v>181 a 365 dias</v>
      </c>
      <c r="Q213">
        <f t="shared" si="18"/>
        <v>0</v>
      </c>
      <c r="R213">
        <v>4</v>
      </c>
      <c r="S213" s="11">
        <f t="shared" si="23"/>
        <v>0</v>
      </c>
      <c r="T213" s="11" t="str">
        <f t="shared" si="20"/>
        <v>Detrator</v>
      </c>
      <c r="U213" s="11" t="str">
        <f t="shared" si="21"/>
        <v>Alto risco</v>
      </c>
      <c r="V213">
        <v>4</v>
      </c>
      <c r="W213">
        <v>53</v>
      </c>
      <c r="X213" s="2">
        <v>28.38</v>
      </c>
      <c r="Y213">
        <v>12</v>
      </c>
      <c r="Z213" t="s">
        <v>35</v>
      </c>
    </row>
    <row r="214" spans="1:26">
      <c r="A214" t="s">
        <v>512</v>
      </c>
      <c r="B214" t="s">
        <v>513</v>
      </c>
      <c r="C214" t="s">
        <v>28</v>
      </c>
      <c r="D214" t="s">
        <v>29</v>
      </c>
      <c r="E214">
        <v>49</v>
      </c>
      <c r="F214" t="s">
        <v>66</v>
      </c>
      <c r="G214" t="s">
        <v>96</v>
      </c>
      <c r="H214" t="s">
        <v>112</v>
      </c>
      <c r="I214" t="e">
        <f ca="1">_xludf.XLOOKUP(H214,Base_Planos!$A:$A,Base_Planos!$B:$B,"Não encontrado")</f>
        <v>#NAME?</v>
      </c>
      <c r="J214" s="2">
        <f>VLOOKUP(H214,Base_Planos!$A:$G,4,FALSE)</f>
        <v>79.900000000000006</v>
      </c>
      <c r="K214" s="4">
        <v>45449</v>
      </c>
      <c r="L214" t="s">
        <v>145</v>
      </c>
      <c r="M214" t="s">
        <v>44</v>
      </c>
      <c r="N214" s="4"/>
      <c r="O214" s="10">
        <f t="shared" ca="1" si="22"/>
        <v>720</v>
      </c>
      <c r="P214" s="10" t="str">
        <f t="shared" ca="1" si="19"/>
        <v>Mais de 1 ano</v>
      </c>
      <c r="Q214">
        <f t="shared" si="18"/>
        <v>0</v>
      </c>
      <c r="R214">
        <v>1</v>
      </c>
      <c r="S214" s="11">
        <f t="shared" si="23"/>
        <v>0</v>
      </c>
      <c r="T214" s="11" t="str">
        <f t="shared" si="20"/>
        <v>Detrator</v>
      </c>
      <c r="U214" s="11" t="str">
        <f t="shared" si="21"/>
        <v>Alto risco</v>
      </c>
      <c r="V214">
        <v>0</v>
      </c>
      <c r="W214">
        <v>31</v>
      </c>
      <c r="X214" s="2">
        <v>67.959999999999994</v>
      </c>
      <c r="Y214">
        <v>24</v>
      </c>
      <c r="Z214" t="s">
        <v>45</v>
      </c>
    </row>
    <row r="215" spans="1:26">
      <c r="A215" t="s">
        <v>514</v>
      </c>
      <c r="B215" t="s">
        <v>515</v>
      </c>
      <c r="C215" t="s">
        <v>59</v>
      </c>
      <c r="D215" t="s">
        <v>60</v>
      </c>
      <c r="E215">
        <v>20</v>
      </c>
      <c r="F215" t="s">
        <v>54</v>
      </c>
      <c r="G215" t="s">
        <v>41</v>
      </c>
      <c r="H215" t="s">
        <v>86</v>
      </c>
      <c r="I215" t="e">
        <f ca="1">_xludf.XLOOKUP(H215,Base_Planos!$A:$A,Base_Planos!$B:$B,"Não encontrado")</f>
        <v>#NAME?</v>
      </c>
      <c r="J215" s="2">
        <f>VLOOKUP(H215,Base_Planos!$A:$G,4,FALSE)</f>
        <v>119.9</v>
      </c>
      <c r="K215" s="4">
        <v>45293</v>
      </c>
      <c r="L215" t="s">
        <v>516</v>
      </c>
      <c r="M215" t="s">
        <v>44</v>
      </c>
      <c r="N215" s="4"/>
      <c r="O215" s="10">
        <f t="shared" ca="1" si="22"/>
        <v>876</v>
      </c>
      <c r="P215" s="10" t="str">
        <f t="shared" ca="1" si="19"/>
        <v>Mais de 1 ano</v>
      </c>
      <c r="Q215">
        <f t="shared" si="18"/>
        <v>0</v>
      </c>
      <c r="R215">
        <v>0</v>
      </c>
      <c r="S215" s="11">
        <f t="shared" si="23"/>
        <v>0</v>
      </c>
      <c r="T215" s="11" t="str">
        <f t="shared" si="20"/>
        <v>Detrator</v>
      </c>
      <c r="U215" s="11" t="str">
        <f t="shared" si="21"/>
        <v>Alto risco</v>
      </c>
      <c r="V215">
        <v>1</v>
      </c>
      <c r="W215">
        <v>36</v>
      </c>
      <c r="X215" s="2">
        <v>109.63</v>
      </c>
      <c r="Y215">
        <v>29</v>
      </c>
      <c r="Z215" t="s">
        <v>35</v>
      </c>
    </row>
    <row r="216" spans="1:26">
      <c r="A216" t="s">
        <v>517</v>
      </c>
      <c r="B216" t="s">
        <v>518</v>
      </c>
      <c r="C216" t="s">
        <v>140</v>
      </c>
      <c r="D216" t="s">
        <v>141</v>
      </c>
      <c r="E216">
        <v>22</v>
      </c>
      <c r="F216" t="s">
        <v>54</v>
      </c>
      <c r="G216" t="s">
        <v>55</v>
      </c>
      <c r="H216" t="s">
        <v>112</v>
      </c>
      <c r="I216" t="e">
        <f ca="1">_xludf.XLOOKUP(H216,Base_Planos!$A:$A,Base_Planos!$B:$B,"Não encontrado")</f>
        <v>#NAME?</v>
      </c>
      <c r="J216" s="2">
        <f>VLOOKUP(H216,Base_Planos!$A:$G,4,FALSE)</f>
        <v>79.900000000000006</v>
      </c>
      <c r="K216" s="4">
        <v>45034</v>
      </c>
      <c r="L216" t="s">
        <v>118</v>
      </c>
      <c r="M216" t="s">
        <v>44</v>
      </c>
      <c r="N216" s="4"/>
      <c r="O216" s="10">
        <f t="shared" ca="1" si="22"/>
        <v>1135</v>
      </c>
      <c r="P216" s="10" t="str">
        <f t="shared" ca="1" si="19"/>
        <v>Mais de 1 ano</v>
      </c>
      <c r="Q216">
        <f t="shared" si="18"/>
        <v>0</v>
      </c>
      <c r="R216">
        <v>2</v>
      </c>
      <c r="S216" s="11">
        <f t="shared" si="23"/>
        <v>0</v>
      </c>
      <c r="T216" s="11" t="str">
        <f t="shared" si="20"/>
        <v>Detrator</v>
      </c>
      <c r="U216" s="11" t="str">
        <f t="shared" si="21"/>
        <v>Alto risco</v>
      </c>
      <c r="V216">
        <v>0</v>
      </c>
      <c r="W216">
        <v>90</v>
      </c>
      <c r="X216" s="2">
        <v>81.93</v>
      </c>
      <c r="Y216">
        <v>37</v>
      </c>
      <c r="Z216" t="s">
        <v>35</v>
      </c>
    </row>
    <row r="217" spans="1:26">
      <c r="A217" t="s">
        <v>519</v>
      </c>
      <c r="B217" t="s">
        <v>520</v>
      </c>
      <c r="C217" t="s">
        <v>48</v>
      </c>
      <c r="D217" t="s">
        <v>29</v>
      </c>
      <c r="E217">
        <v>37</v>
      </c>
      <c r="F217" t="s">
        <v>30</v>
      </c>
      <c r="G217" t="s">
        <v>104</v>
      </c>
      <c r="H217" t="s">
        <v>32</v>
      </c>
      <c r="I217" t="e">
        <f ca="1">_xludf.XLOOKUP(H217,Base_Planos!$A:$A,Base_Planos!$B:$B,"Não encontrado")</f>
        <v>#NAME?</v>
      </c>
      <c r="J217" s="2">
        <f>VLOOKUP(H217,Base_Planos!$A:$G,4,FALSE)</f>
        <v>39.9</v>
      </c>
      <c r="K217" s="4">
        <v>45337</v>
      </c>
      <c r="L217" t="s">
        <v>297</v>
      </c>
      <c r="M217" t="s">
        <v>44</v>
      </c>
      <c r="N217" s="4"/>
      <c r="O217" s="10">
        <f t="shared" ca="1" si="22"/>
        <v>832</v>
      </c>
      <c r="P217" s="10" t="str">
        <f t="shared" ca="1" si="19"/>
        <v>Mais de 1 ano</v>
      </c>
      <c r="Q217">
        <f t="shared" si="18"/>
        <v>0</v>
      </c>
      <c r="R217">
        <v>4</v>
      </c>
      <c r="S217" s="11">
        <f t="shared" si="23"/>
        <v>0</v>
      </c>
      <c r="T217" s="11" t="str">
        <f t="shared" si="20"/>
        <v>Detrator</v>
      </c>
      <c r="U217" s="11" t="str">
        <f t="shared" si="21"/>
        <v>Alto risco</v>
      </c>
      <c r="V217">
        <v>1</v>
      </c>
      <c r="W217">
        <v>47</v>
      </c>
      <c r="X217" s="2">
        <v>38.64</v>
      </c>
      <c r="Y217">
        <v>27</v>
      </c>
      <c r="Z217" t="s">
        <v>35</v>
      </c>
    </row>
    <row r="218" spans="1:26">
      <c r="A218" t="s">
        <v>521</v>
      </c>
      <c r="B218" t="s">
        <v>522</v>
      </c>
      <c r="C218" t="s">
        <v>137</v>
      </c>
      <c r="D218" t="s">
        <v>29</v>
      </c>
      <c r="E218">
        <v>52</v>
      </c>
      <c r="F218" t="s">
        <v>40</v>
      </c>
      <c r="G218" t="s">
        <v>31</v>
      </c>
      <c r="H218" t="s">
        <v>32</v>
      </c>
      <c r="I218" t="e">
        <f ca="1">_xludf.XLOOKUP(H218,Base_Planos!$A:$A,Base_Planos!$B:$B,"Não encontrado")</f>
        <v>#NAME?</v>
      </c>
      <c r="J218" s="2">
        <f>VLOOKUP(H218,Base_Planos!$A:$G,4,FALSE)</f>
        <v>39.9</v>
      </c>
      <c r="K218" s="4">
        <v>45766</v>
      </c>
      <c r="L218" t="s">
        <v>222</v>
      </c>
      <c r="M218" t="s">
        <v>44</v>
      </c>
      <c r="N218" s="4"/>
      <c r="O218" s="10">
        <f t="shared" ca="1" si="22"/>
        <v>403</v>
      </c>
      <c r="P218" s="10" t="str">
        <f t="shared" ca="1" si="19"/>
        <v>Mais de 1 ano</v>
      </c>
      <c r="Q218">
        <f t="shared" si="18"/>
        <v>0</v>
      </c>
      <c r="R218">
        <v>0</v>
      </c>
      <c r="S218" s="11">
        <f t="shared" si="23"/>
        <v>0</v>
      </c>
      <c r="T218" s="11" t="str">
        <f t="shared" si="20"/>
        <v>Detrator</v>
      </c>
      <c r="U218" s="11" t="str">
        <f t="shared" si="21"/>
        <v>Alto risco</v>
      </c>
      <c r="V218">
        <v>2</v>
      </c>
      <c r="W218">
        <v>82</v>
      </c>
      <c r="X218" s="2">
        <v>41.5</v>
      </c>
      <c r="Y218">
        <v>13</v>
      </c>
      <c r="Z218" t="s">
        <v>45</v>
      </c>
    </row>
    <row r="219" spans="1:26">
      <c r="A219" t="s">
        <v>523</v>
      </c>
      <c r="B219" t="s">
        <v>524</v>
      </c>
      <c r="C219" t="s">
        <v>53</v>
      </c>
      <c r="D219" t="s">
        <v>29</v>
      </c>
      <c r="E219">
        <v>65</v>
      </c>
      <c r="F219" t="s">
        <v>40</v>
      </c>
      <c r="G219" t="s">
        <v>55</v>
      </c>
      <c r="H219" t="s">
        <v>42</v>
      </c>
      <c r="I219" t="e">
        <f ca="1">_xludf.XLOOKUP(H219,Base_Planos!$A:$A,Base_Planos!$B:$B,"Não encontrado")</f>
        <v>#NAME?</v>
      </c>
      <c r="J219" s="2">
        <f>VLOOKUP(H219,Base_Planos!$A:$G,4,FALSE)</f>
        <v>29.9</v>
      </c>
      <c r="K219" s="4">
        <v>45414</v>
      </c>
      <c r="L219" t="s">
        <v>130</v>
      </c>
      <c r="M219" t="s">
        <v>44</v>
      </c>
      <c r="N219" s="4"/>
      <c r="O219" s="10">
        <f t="shared" ca="1" si="22"/>
        <v>755</v>
      </c>
      <c r="P219" s="10" t="str">
        <f t="shared" ca="1" si="19"/>
        <v>Mais de 1 ano</v>
      </c>
      <c r="Q219">
        <f t="shared" si="18"/>
        <v>0</v>
      </c>
      <c r="R219">
        <v>6</v>
      </c>
      <c r="S219" s="11">
        <f t="shared" si="23"/>
        <v>0</v>
      </c>
      <c r="T219" s="11" t="str">
        <f t="shared" si="20"/>
        <v>Detrator</v>
      </c>
      <c r="U219" s="11" t="str">
        <f t="shared" si="21"/>
        <v>Alto risco</v>
      </c>
      <c r="V219">
        <v>4</v>
      </c>
      <c r="W219">
        <v>57</v>
      </c>
      <c r="X219" s="2">
        <v>25.97</v>
      </c>
      <c r="Y219">
        <v>25</v>
      </c>
      <c r="Z219" t="s">
        <v>35</v>
      </c>
    </row>
    <row r="220" spans="1:26">
      <c r="A220" t="s">
        <v>525</v>
      </c>
      <c r="B220" t="s">
        <v>526</v>
      </c>
      <c r="C220" t="s">
        <v>53</v>
      </c>
      <c r="D220" t="s">
        <v>29</v>
      </c>
      <c r="E220">
        <v>51</v>
      </c>
      <c r="F220" t="s">
        <v>54</v>
      </c>
      <c r="G220" t="s">
        <v>165</v>
      </c>
      <c r="H220" t="s">
        <v>112</v>
      </c>
      <c r="I220" t="e">
        <f ca="1">_xludf.XLOOKUP(H220,Base_Planos!$A:$A,Base_Planos!$B:$B,"Não encontrado")</f>
        <v>#NAME?</v>
      </c>
      <c r="J220" s="2">
        <f>VLOOKUP(H220,Base_Planos!$A:$G,4,FALSE)</f>
        <v>79.900000000000006</v>
      </c>
      <c r="K220" s="4">
        <v>45100</v>
      </c>
      <c r="L220" t="s">
        <v>328</v>
      </c>
      <c r="M220" t="s">
        <v>34</v>
      </c>
      <c r="N220" s="4">
        <v>45257</v>
      </c>
      <c r="O220" s="10">
        <f t="shared" ca="1" si="22"/>
        <v>157</v>
      </c>
      <c r="P220" s="10" t="str">
        <f t="shared" ca="1" si="19"/>
        <v>91 a 180 dias</v>
      </c>
      <c r="Q220">
        <f t="shared" si="18"/>
        <v>1</v>
      </c>
      <c r="R220">
        <v>9</v>
      </c>
      <c r="S220" s="11">
        <f t="shared" si="23"/>
        <v>79.900000000000006</v>
      </c>
      <c r="T220" s="11" t="str">
        <f t="shared" si="20"/>
        <v>Promotor</v>
      </c>
      <c r="U220" s="11" t="str">
        <f t="shared" si="21"/>
        <v>Alto risco</v>
      </c>
      <c r="V220">
        <v>2</v>
      </c>
      <c r="W220">
        <v>65</v>
      </c>
      <c r="X220" s="2">
        <v>78.5</v>
      </c>
      <c r="Y220">
        <v>5</v>
      </c>
      <c r="Z220" t="s">
        <v>50</v>
      </c>
    </row>
    <row r="221" spans="1:26">
      <c r="A221" t="s">
        <v>527</v>
      </c>
      <c r="B221" t="s">
        <v>528</v>
      </c>
      <c r="C221" t="s">
        <v>140</v>
      </c>
      <c r="D221" t="s">
        <v>141</v>
      </c>
      <c r="E221">
        <v>34</v>
      </c>
      <c r="F221" t="s">
        <v>66</v>
      </c>
      <c r="G221" t="s">
        <v>41</v>
      </c>
      <c r="H221" t="s">
        <v>82</v>
      </c>
      <c r="I221" t="e">
        <f ca="1">_xludf.XLOOKUP(H221,Base_Planos!$A:$A,Base_Planos!$B:$B,"Não encontrado")</f>
        <v>#NAME?</v>
      </c>
      <c r="J221" s="2">
        <f>VLOOKUP(H221,Base_Planos!$A:$G,4,FALSE)</f>
        <v>149.9</v>
      </c>
      <c r="K221" s="4">
        <v>45595</v>
      </c>
      <c r="L221" t="s">
        <v>123</v>
      </c>
      <c r="M221" t="s">
        <v>34</v>
      </c>
      <c r="N221" s="4">
        <v>45736</v>
      </c>
      <c r="O221" s="10">
        <f t="shared" ca="1" si="22"/>
        <v>141</v>
      </c>
      <c r="P221" s="10" t="str">
        <f t="shared" ca="1" si="19"/>
        <v>91 a 180 dias</v>
      </c>
      <c r="Q221">
        <f t="shared" si="18"/>
        <v>1</v>
      </c>
      <c r="R221">
        <v>5</v>
      </c>
      <c r="S221" s="11">
        <f t="shared" si="23"/>
        <v>149.9</v>
      </c>
      <c r="T221" s="11" t="str">
        <f t="shared" si="20"/>
        <v>Detrator</v>
      </c>
      <c r="U221" s="11" t="str">
        <f t="shared" si="21"/>
        <v>Alto risco</v>
      </c>
      <c r="V221">
        <v>3</v>
      </c>
      <c r="W221">
        <v>62</v>
      </c>
      <c r="X221" s="2">
        <v>130.58000000000001</v>
      </c>
      <c r="Y221">
        <v>4</v>
      </c>
      <c r="Z221" t="s">
        <v>35</v>
      </c>
    </row>
    <row r="222" spans="1:26">
      <c r="A222" t="s">
        <v>529</v>
      </c>
      <c r="B222" t="s">
        <v>530</v>
      </c>
      <c r="C222" t="s">
        <v>108</v>
      </c>
      <c r="D222" t="s">
        <v>109</v>
      </c>
      <c r="E222">
        <v>44</v>
      </c>
      <c r="F222" t="s">
        <v>30</v>
      </c>
      <c r="G222" t="s">
        <v>165</v>
      </c>
      <c r="H222" t="s">
        <v>166</v>
      </c>
      <c r="I222" t="e">
        <f ca="1">_xludf.XLOOKUP(H222,Base_Planos!$A:$A,Base_Planos!$B:$B,"Não encontrado")</f>
        <v>#NAME?</v>
      </c>
      <c r="J222" s="2">
        <f>VLOOKUP(H222,Base_Planos!$A:$G,4,FALSE)</f>
        <v>399.9</v>
      </c>
      <c r="K222" s="4">
        <v>45352</v>
      </c>
      <c r="L222" t="s">
        <v>126</v>
      </c>
      <c r="M222" t="s">
        <v>44</v>
      </c>
      <c r="N222" s="4"/>
      <c r="O222" s="10">
        <f t="shared" ca="1" si="22"/>
        <v>817</v>
      </c>
      <c r="P222" s="10" t="str">
        <f t="shared" ca="1" si="19"/>
        <v>Mais de 1 ano</v>
      </c>
      <c r="Q222">
        <f t="shared" si="18"/>
        <v>0</v>
      </c>
      <c r="R222">
        <v>7</v>
      </c>
      <c r="S222" s="11">
        <f t="shared" si="23"/>
        <v>0</v>
      </c>
      <c r="T222" s="11" t="str">
        <f t="shared" si="20"/>
        <v>Neutro</v>
      </c>
      <c r="U222" s="11" t="str">
        <f t="shared" si="21"/>
        <v>Médio risco</v>
      </c>
      <c r="V222">
        <v>0</v>
      </c>
      <c r="W222">
        <v>77</v>
      </c>
      <c r="X222" s="2">
        <v>394.79</v>
      </c>
      <c r="Y222">
        <v>27</v>
      </c>
      <c r="Z222" t="s">
        <v>50</v>
      </c>
    </row>
    <row r="223" spans="1:26">
      <c r="A223" t="s">
        <v>531</v>
      </c>
      <c r="B223" t="s">
        <v>532</v>
      </c>
      <c r="C223" t="s">
        <v>28</v>
      </c>
      <c r="D223" t="s">
        <v>29</v>
      </c>
      <c r="E223">
        <v>31</v>
      </c>
      <c r="F223" t="s">
        <v>66</v>
      </c>
      <c r="G223" t="s">
        <v>165</v>
      </c>
      <c r="H223" t="s">
        <v>32</v>
      </c>
      <c r="I223" t="e">
        <f ca="1">_xludf.XLOOKUP(H223,Base_Planos!$A:$A,Base_Planos!$B:$B,"Não encontrado")</f>
        <v>#NAME?</v>
      </c>
      <c r="J223" s="2">
        <f>VLOOKUP(H223,Base_Planos!$A:$G,4,FALSE)</f>
        <v>39.9</v>
      </c>
      <c r="K223" s="4">
        <v>45435</v>
      </c>
      <c r="L223" t="s">
        <v>130</v>
      </c>
      <c r="M223" t="s">
        <v>44</v>
      </c>
      <c r="N223" s="4"/>
      <c r="O223" s="10">
        <f t="shared" ca="1" si="22"/>
        <v>734</v>
      </c>
      <c r="P223" s="10" t="str">
        <f t="shared" ca="1" si="19"/>
        <v>Mais de 1 ano</v>
      </c>
      <c r="Q223">
        <f t="shared" si="18"/>
        <v>0</v>
      </c>
      <c r="R223">
        <v>5</v>
      </c>
      <c r="S223" s="11">
        <f t="shared" si="23"/>
        <v>0</v>
      </c>
      <c r="T223" s="11" t="str">
        <f t="shared" si="20"/>
        <v>Detrator</v>
      </c>
      <c r="U223" s="11" t="str">
        <f t="shared" si="21"/>
        <v>Alto risco</v>
      </c>
      <c r="V223">
        <v>0</v>
      </c>
      <c r="W223">
        <v>62</v>
      </c>
      <c r="X223" s="2">
        <v>35.299999999999997</v>
      </c>
      <c r="Y223">
        <v>24</v>
      </c>
      <c r="Z223" t="s">
        <v>50</v>
      </c>
    </row>
    <row r="224" spans="1:26">
      <c r="A224" t="s">
        <v>533</v>
      </c>
      <c r="B224" t="s">
        <v>534</v>
      </c>
      <c r="C224" t="s">
        <v>38</v>
      </c>
      <c r="D224" t="s">
        <v>39</v>
      </c>
      <c r="E224">
        <v>65</v>
      </c>
      <c r="F224" t="s">
        <v>54</v>
      </c>
      <c r="G224" t="s">
        <v>55</v>
      </c>
      <c r="H224" t="s">
        <v>112</v>
      </c>
      <c r="I224" t="e">
        <f ca="1">_xludf.XLOOKUP(H224,Base_Planos!$A:$A,Base_Planos!$B:$B,"Não encontrado")</f>
        <v>#NAME?</v>
      </c>
      <c r="J224" s="2">
        <f>VLOOKUP(H224,Base_Planos!$A:$G,4,FALSE)</f>
        <v>79.900000000000006</v>
      </c>
      <c r="K224" s="4">
        <v>45213</v>
      </c>
      <c r="L224" t="s">
        <v>215</v>
      </c>
      <c r="M224" t="s">
        <v>34</v>
      </c>
      <c r="N224" s="4">
        <v>46086</v>
      </c>
      <c r="O224" s="10">
        <f t="shared" ca="1" si="22"/>
        <v>873</v>
      </c>
      <c r="P224" s="10" t="str">
        <f t="shared" ca="1" si="19"/>
        <v>Mais de 1 ano</v>
      </c>
      <c r="Q224">
        <f t="shared" si="18"/>
        <v>1</v>
      </c>
      <c r="R224">
        <v>1</v>
      </c>
      <c r="S224" s="11">
        <f t="shared" si="23"/>
        <v>79.900000000000006</v>
      </c>
      <c r="T224" s="11" t="str">
        <f t="shared" si="20"/>
        <v>Detrator</v>
      </c>
      <c r="U224" s="11" t="str">
        <f t="shared" si="21"/>
        <v>Alto risco</v>
      </c>
      <c r="V224">
        <v>4</v>
      </c>
      <c r="W224">
        <v>60</v>
      </c>
      <c r="X224" s="2">
        <v>78.88</v>
      </c>
      <c r="Y224">
        <v>29</v>
      </c>
      <c r="Z224" t="s">
        <v>45</v>
      </c>
    </row>
    <row r="225" spans="1:26">
      <c r="A225" t="s">
        <v>535</v>
      </c>
      <c r="B225" t="s">
        <v>536</v>
      </c>
      <c r="C225" t="s">
        <v>90</v>
      </c>
      <c r="D225" t="s">
        <v>29</v>
      </c>
      <c r="E225">
        <v>55</v>
      </c>
      <c r="F225" t="s">
        <v>30</v>
      </c>
      <c r="G225" t="s">
        <v>55</v>
      </c>
      <c r="H225" t="s">
        <v>32</v>
      </c>
      <c r="I225" t="e">
        <f ca="1">_xludf.XLOOKUP(H225,Base_Planos!$A:$A,Base_Planos!$B:$B,"Não encontrado")</f>
        <v>#NAME?</v>
      </c>
      <c r="J225" s="2">
        <f>VLOOKUP(H225,Base_Planos!$A:$G,4,FALSE)</f>
        <v>39.9</v>
      </c>
      <c r="K225" s="4">
        <v>45059</v>
      </c>
      <c r="L225" t="s">
        <v>115</v>
      </c>
      <c r="M225" t="s">
        <v>44</v>
      </c>
      <c r="N225" s="4"/>
      <c r="O225" s="10">
        <f t="shared" ca="1" si="22"/>
        <v>1110</v>
      </c>
      <c r="P225" s="10" t="str">
        <f t="shared" ca="1" si="19"/>
        <v>Mais de 1 ano</v>
      </c>
      <c r="Q225">
        <f t="shared" si="18"/>
        <v>0</v>
      </c>
      <c r="R225">
        <v>3</v>
      </c>
      <c r="S225" s="11">
        <f t="shared" si="23"/>
        <v>0</v>
      </c>
      <c r="T225" s="11" t="str">
        <f t="shared" si="20"/>
        <v>Detrator</v>
      </c>
      <c r="U225" s="11" t="str">
        <f t="shared" si="21"/>
        <v>Alto risco</v>
      </c>
      <c r="V225">
        <v>0</v>
      </c>
      <c r="W225">
        <v>39</v>
      </c>
      <c r="X225" s="2">
        <v>40.53</v>
      </c>
      <c r="Y225">
        <v>37</v>
      </c>
      <c r="Z225" t="s">
        <v>45</v>
      </c>
    </row>
    <row r="226" spans="1:26">
      <c r="A226" t="s">
        <v>537</v>
      </c>
      <c r="B226" t="s">
        <v>200</v>
      </c>
      <c r="C226" t="s">
        <v>28</v>
      </c>
      <c r="D226" t="s">
        <v>29</v>
      </c>
      <c r="E226">
        <v>47</v>
      </c>
      <c r="F226" t="s">
        <v>30</v>
      </c>
      <c r="G226" t="s">
        <v>41</v>
      </c>
      <c r="H226" t="s">
        <v>82</v>
      </c>
      <c r="I226" t="e">
        <f ca="1">_xludf.XLOOKUP(H226,Base_Planos!$A:$A,Base_Planos!$B:$B,"Não encontrado")</f>
        <v>#NAME?</v>
      </c>
      <c r="J226" s="2">
        <f>VLOOKUP(H226,Base_Planos!$A:$G,4,FALSE)</f>
        <v>149.9</v>
      </c>
      <c r="K226" s="4">
        <v>45735</v>
      </c>
      <c r="L226" t="s">
        <v>454</v>
      </c>
      <c r="M226" t="s">
        <v>34</v>
      </c>
      <c r="N226" s="4">
        <v>45860</v>
      </c>
      <c r="O226" s="10">
        <f t="shared" ca="1" si="22"/>
        <v>125</v>
      </c>
      <c r="P226" s="10" t="str">
        <f t="shared" ca="1" si="19"/>
        <v>91 a 180 dias</v>
      </c>
      <c r="Q226">
        <f t="shared" si="18"/>
        <v>1</v>
      </c>
      <c r="R226">
        <v>7</v>
      </c>
      <c r="S226" s="11">
        <f t="shared" si="23"/>
        <v>149.9</v>
      </c>
      <c r="T226" s="11" t="str">
        <f t="shared" si="20"/>
        <v>Neutro</v>
      </c>
      <c r="U226" s="11" t="str">
        <f t="shared" si="21"/>
        <v>Alto risco</v>
      </c>
      <c r="V226">
        <v>0</v>
      </c>
      <c r="W226">
        <v>64</v>
      </c>
      <c r="X226" s="2">
        <v>135.81</v>
      </c>
      <c r="Y226">
        <v>4</v>
      </c>
      <c r="Z226" t="s">
        <v>50</v>
      </c>
    </row>
    <row r="227" spans="1:26">
      <c r="A227" t="s">
        <v>538</v>
      </c>
      <c r="B227" t="s">
        <v>232</v>
      </c>
      <c r="C227" t="s">
        <v>28</v>
      </c>
      <c r="D227" t="s">
        <v>29</v>
      </c>
      <c r="E227">
        <v>57</v>
      </c>
      <c r="F227" t="s">
        <v>40</v>
      </c>
      <c r="G227" t="s">
        <v>31</v>
      </c>
      <c r="H227" t="s">
        <v>61</v>
      </c>
      <c r="I227" t="e">
        <f ca="1">_xludf.XLOOKUP(H227,Base_Planos!$A:$A,Base_Planos!$B:$B,"Não encontrado")</f>
        <v>#NAME?</v>
      </c>
      <c r="J227" s="2">
        <f>VLOOKUP(H227,Base_Planos!$A:$G,4,FALSE)</f>
        <v>59.9</v>
      </c>
      <c r="K227" s="4">
        <v>45948</v>
      </c>
      <c r="L227" t="s">
        <v>196</v>
      </c>
      <c r="M227" t="s">
        <v>44</v>
      </c>
      <c r="N227" s="4"/>
      <c r="O227" s="10">
        <f t="shared" ca="1" si="22"/>
        <v>221</v>
      </c>
      <c r="P227" s="10" t="str">
        <f t="shared" ca="1" si="19"/>
        <v>181 a 365 dias</v>
      </c>
      <c r="Q227">
        <f t="shared" si="18"/>
        <v>0</v>
      </c>
      <c r="R227">
        <v>6</v>
      </c>
      <c r="S227" s="11">
        <f t="shared" si="23"/>
        <v>0</v>
      </c>
      <c r="T227" s="11" t="str">
        <f t="shared" si="20"/>
        <v>Detrator</v>
      </c>
      <c r="U227" s="11" t="str">
        <f t="shared" si="21"/>
        <v>Alto risco</v>
      </c>
      <c r="V227">
        <v>0</v>
      </c>
      <c r="W227">
        <v>35</v>
      </c>
      <c r="X227" s="2">
        <v>55.94</v>
      </c>
      <c r="Y227">
        <v>7</v>
      </c>
      <c r="Z227" t="s">
        <v>35</v>
      </c>
    </row>
    <row r="228" spans="1:26">
      <c r="A228" t="s">
        <v>539</v>
      </c>
      <c r="B228" t="s">
        <v>505</v>
      </c>
      <c r="C228" t="s">
        <v>59</v>
      </c>
      <c r="D228" t="s">
        <v>60</v>
      </c>
      <c r="E228">
        <v>58</v>
      </c>
      <c r="F228" t="s">
        <v>201</v>
      </c>
      <c r="G228" t="s">
        <v>67</v>
      </c>
      <c r="H228" t="s">
        <v>166</v>
      </c>
      <c r="I228" t="e">
        <f ca="1">_xludf.XLOOKUP(H228,Base_Planos!$A:$A,Base_Planos!$B:$B,"Não encontrado")</f>
        <v>#NAME?</v>
      </c>
      <c r="J228" s="2">
        <f>VLOOKUP(H228,Base_Planos!$A:$G,4,FALSE)</f>
        <v>399.9</v>
      </c>
      <c r="K228" s="4">
        <v>45662</v>
      </c>
      <c r="L228" t="s">
        <v>261</v>
      </c>
      <c r="M228" t="s">
        <v>44</v>
      </c>
      <c r="N228" s="4"/>
      <c r="O228" s="10">
        <f t="shared" ca="1" si="22"/>
        <v>507</v>
      </c>
      <c r="P228" s="10" t="str">
        <f t="shared" ca="1" si="19"/>
        <v>Mais de 1 ano</v>
      </c>
      <c r="Q228">
        <f t="shared" si="18"/>
        <v>0</v>
      </c>
      <c r="R228">
        <v>7</v>
      </c>
      <c r="S228" s="11">
        <f t="shared" si="23"/>
        <v>0</v>
      </c>
      <c r="T228" s="11" t="str">
        <f t="shared" si="20"/>
        <v>Neutro</v>
      </c>
      <c r="U228" s="11" t="str">
        <f t="shared" si="21"/>
        <v>Médio risco</v>
      </c>
      <c r="V228">
        <v>3</v>
      </c>
      <c r="W228">
        <v>48</v>
      </c>
      <c r="X228" s="2">
        <v>370.98</v>
      </c>
      <c r="Y228">
        <v>16</v>
      </c>
      <c r="Z228" t="s">
        <v>50</v>
      </c>
    </row>
    <row r="229" spans="1:26">
      <c r="A229" t="s">
        <v>540</v>
      </c>
      <c r="B229" t="s">
        <v>541</v>
      </c>
      <c r="C229" t="s">
        <v>108</v>
      </c>
      <c r="D229" t="s">
        <v>109</v>
      </c>
      <c r="E229">
        <v>56</v>
      </c>
      <c r="F229" t="s">
        <v>30</v>
      </c>
      <c r="G229" t="s">
        <v>73</v>
      </c>
      <c r="H229" t="s">
        <v>32</v>
      </c>
      <c r="I229" t="e">
        <f ca="1">_xludf.XLOOKUP(H229,Base_Planos!$A:$A,Base_Planos!$B:$B,"Não encontrado")</f>
        <v>#NAME?</v>
      </c>
      <c r="J229" s="2">
        <f>VLOOKUP(H229,Base_Planos!$A:$G,4,FALSE)</f>
        <v>39.9</v>
      </c>
      <c r="K229" s="4">
        <v>45893</v>
      </c>
      <c r="L229" t="s">
        <v>159</v>
      </c>
      <c r="M229" t="s">
        <v>34</v>
      </c>
      <c r="N229" s="4">
        <v>45986</v>
      </c>
      <c r="O229" s="10">
        <f t="shared" ca="1" si="22"/>
        <v>93</v>
      </c>
      <c r="P229" s="10" t="str">
        <f t="shared" ca="1" si="19"/>
        <v>91 a 180 dias</v>
      </c>
      <c r="Q229">
        <f t="shared" si="18"/>
        <v>1</v>
      </c>
      <c r="R229">
        <v>8</v>
      </c>
      <c r="S229" s="11">
        <f t="shared" si="23"/>
        <v>39.9</v>
      </c>
      <c r="T229" s="11" t="str">
        <f t="shared" si="20"/>
        <v>Neutro</v>
      </c>
      <c r="U229" s="11" t="str">
        <f t="shared" si="21"/>
        <v>Alto risco</v>
      </c>
      <c r="V229">
        <v>0</v>
      </c>
      <c r="W229">
        <v>85</v>
      </c>
      <c r="X229" s="2">
        <v>36.04</v>
      </c>
      <c r="Y229">
        <v>3</v>
      </c>
      <c r="Z229" t="s">
        <v>50</v>
      </c>
    </row>
    <row r="230" spans="1:26">
      <c r="A230" t="s">
        <v>542</v>
      </c>
      <c r="B230" t="s">
        <v>543</v>
      </c>
      <c r="C230" t="s">
        <v>48</v>
      </c>
      <c r="D230" t="s">
        <v>29</v>
      </c>
      <c r="E230">
        <v>32</v>
      </c>
      <c r="F230" t="s">
        <v>54</v>
      </c>
      <c r="G230" t="s">
        <v>41</v>
      </c>
      <c r="H230" t="s">
        <v>112</v>
      </c>
      <c r="I230" t="e">
        <f ca="1">_xludf.XLOOKUP(H230,Base_Planos!$A:$A,Base_Planos!$B:$B,"Não encontrado")</f>
        <v>#NAME?</v>
      </c>
      <c r="J230" s="2">
        <f>VLOOKUP(H230,Base_Planos!$A:$G,4,FALSE)</f>
        <v>79.900000000000006</v>
      </c>
      <c r="K230" s="4">
        <v>45282</v>
      </c>
      <c r="L230" t="s">
        <v>62</v>
      </c>
      <c r="M230" t="s">
        <v>34</v>
      </c>
      <c r="N230" s="4">
        <v>45917</v>
      </c>
      <c r="O230" s="10">
        <f t="shared" ca="1" si="22"/>
        <v>635</v>
      </c>
      <c r="P230" s="10" t="str">
        <f t="shared" ca="1" si="19"/>
        <v>Mais de 1 ano</v>
      </c>
      <c r="Q230">
        <f t="shared" si="18"/>
        <v>1</v>
      </c>
      <c r="R230">
        <v>2</v>
      </c>
      <c r="S230" s="11">
        <f t="shared" si="23"/>
        <v>79.900000000000006</v>
      </c>
      <c r="T230" s="11" t="str">
        <f t="shared" si="20"/>
        <v>Detrator</v>
      </c>
      <c r="U230" s="11" t="str">
        <f t="shared" si="21"/>
        <v>Alto risco</v>
      </c>
      <c r="V230">
        <v>1</v>
      </c>
      <c r="W230">
        <v>81</v>
      </c>
      <c r="X230" s="2">
        <v>79.11</v>
      </c>
      <c r="Y230">
        <v>21</v>
      </c>
      <c r="Z230" t="s">
        <v>35</v>
      </c>
    </row>
    <row r="231" spans="1:26">
      <c r="A231" t="s">
        <v>544</v>
      </c>
      <c r="B231" t="s">
        <v>545</v>
      </c>
      <c r="C231" t="s">
        <v>94</v>
      </c>
      <c r="D231" t="s">
        <v>95</v>
      </c>
      <c r="E231">
        <v>54</v>
      </c>
      <c r="F231" t="s">
        <v>66</v>
      </c>
      <c r="G231" t="s">
        <v>104</v>
      </c>
      <c r="H231" t="s">
        <v>61</v>
      </c>
      <c r="I231" t="e">
        <f ca="1">_xludf.XLOOKUP(H231,Base_Planos!$A:$A,Base_Planos!$B:$B,"Não encontrado")</f>
        <v>#NAME?</v>
      </c>
      <c r="J231" s="2">
        <f>VLOOKUP(H231,Base_Planos!$A:$G,4,FALSE)</f>
        <v>59.9</v>
      </c>
      <c r="K231" s="4">
        <v>45286</v>
      </c>
      <c r="L231" t="s">
        <v>62</v>
      </c>
      <c r="M231" t="s">
        <v>34</v>
      </c>
      <c r="N231" s="4">
        <v>45805</v>
      </c>
      <c r="O231" s="10">
        <f t="shared" ca="1" si="22"/>
        <v>519</v>
      </c>
      <c r="P231" s="10" t="str">
        <f t="shared" ca="1" si="19"/>
        <v>Mais de 1 ano</v>
      </c>
      <c r="Q231">
        <f t="shared" si="18"/>
        <v>1</v>
      </c>
      <c r="R231">
        <v>7</v>
      </c>
      <c r="S231" s="11">
        <f t="shared" si="23"/>
        <v>59.9</v>
      </c>
      <c r="T231" s="11" t="str">
        <f t="shared" si="20"/>
        <v>Neutro</v>
      </c>
      <c r="U231" s="11" t="str">
        <f t="shared" si="21"/>
        <v>Alto risco</v>
      </c>
      <c r="V231">
        <v>1</v>
      </c>
      <c r="W231">
        <v>59</v>
      </c>
      <c r="X231" s="2">
        <v>54.89</v>
      </c>
      <c r="Y231">
        <v>17</v>
      </c>
      <c r="Z231" t="s">
        <v>50</v>
      </c>
    </row>
    <row r="232" spans="1:26">
      <c r="A232" t="s">
        <v>546</v>
      </c>
      <c r="B232" t="s">
        <v>547</v>
      </c>
      <c r="C232" t="s">
        <v>48</v>
      </c>
      <c r="D232" t="s">
        <v>29</v>
      </c>
      <c r="E232">
        <v>26</v>
      </c>
      <c r="F232" t="s">
        <v>30</v>
      </c>
      <c r="G232" t="s">
        <v>96</v>
      </c>
      <c r="H232" t="s">
        <v>86</v>
      </c>
      <c r="I232" t="e">
        <f ca="1">_xludf.XLOOKUP(H232,Base_Planos!$A:$A,Base_Planos!$B:$B,"Não encontrado")</f>
        <v>#NAME?</v>
      </c>
      <c r="J232" s="2">
        <f>VLOOKUP(H232,Base_Planos!$A:$G,4,FALSE)</f>
        <v>119.9</v>
      </c>
      <c r="K232" s="4">
        <v>45589</v>
      </c>
      <c r="L232" t="s">
        <v>123</v>
      </c>
      <c r="M232" t="s">
        <v>44</v>
      </c>
      <c r="N232" s="4"/>
      <c r="O232" s="10">
        <f t="shared" ca="1" si="22"/>
        <v>580</v>
      </c>
      <c r="P232" s="10" t="str">
        <f t="shared" ca="1" si="19"/>
        <v>Mais de 1 ano</v>
      </c>
      <c r="Q232">
        <f t="shared" si="18"/>
        <v>0</v>
      </c>
      <c r="R232">
        <v>0</v>
      </c>
      <c r="S232" s="11">
        <f t="shared" si="23"/>
        <v>0</v>
      </c>
      <c r="T232" s="11" t="str">
        <f t="shared" si="20"/>
        <v>Detrator</v>
      </c>
      <c r="U232" s="11" t="str">
        <f t="shared" si="21"/>
        <v>Alto risco</v>
      </c>
      <c r="V232">
        <v>3</v>
      </c>
      <c r="W232">
        <v>62</v>
      </c>
      <c r="X232" s="2">
        <v>122.21</v>
      </c>
      <c r="Y232">
        <v>19</v>
      </c>
      <c r="Z232" t="s">
        <v>45</v>
      </c>
    </row>
    <row r="233" spans="1:26">
      <c r="A233" t="s">
        <v>548</v>
      </c>
      <c r="B233" t="s">
        <v>549</v>
      </c>
      <c r="C233" t="s">
        <v>102</v>
      </c>
      <c r="D233" t="s">
        <v>103</v>
      </c>
      <c r="E233">
        <v>41</v>
      </c>
      <c r="F233" t="s">
        <v>40</v>
      </c>
      <c r="G233" t="s">
        <v>41</v>
      </c>
      <c r="H233" t="s">
        <v>61</v>
      </c>
      <c r="I233" t="e">
        <f ca="1">_xludf.XLOOKUP(H233,Base_Planos!$A:$A,Base_Planos!$B:$B,"Não encontrado")</f>
        <v>#NAME?</v>
      </c>
      <c r="J233" s="2">
        <f>VLOOKUP(H233,Base_Planos!$A:$G,4,FALSE)</f>
        <v>59.9</v>
      </c>
      <c r="K233" s="4">
        <v>45616</v>
      </c>
      <c r="L233" t="s">
        <v>83</v>
      </c>
      <c r="M233" t="s">
        <v>44</v>
      </c>
      <c r="N233" s="4"/>
      <c r="O233" s="10">
        <f t="shared" ca="1" si="22"/>
        <v>553</v>
      </c>
      <c r="P233" s="10" t="str">
        <f t="shared" ca="1" si="19"/>
        <v>Mais de 1 ano</v>
      </c>
      <c r="Q233">
        <f t="shared" si="18"/>
        <v>0</v>
      </c>
      <c r="R233">
        <v>4</v>
      </c>
      <c r="S233" s="11">
        <f t="shared" si="23"/>
        <v>0</v>
      </c>
      <c r="T233" s="11" t="str">
        <f t="shared" si="20"/>
        <v>Detrator</v>
      </c>
      <c r="U233" s="11" t="str">
        <f t="shared" si="21"/>
        <v>Alto risco</v>
      </c>
      <c r="V233">
        <v>1</v>
      </c>
      <c r="W233">
        <v>100</v>
      </c>
      <c r="X233" s="2">
        <v>58.57</v>
      </c>
      <c r="Y233">
        <v>18</v>
      </c>
      <c r="Z233" t="s">
        <v>35</v>
      </c>
    </row>
    <row r="234" spans="1:26">
      <c r="A234" t="s">
        <v>550</v>
      </c>
      <c r="B234" t="s">
        <v>379</v>
      </c>
      <c r="C234" t="s">
        <v>94</v>
      </c>
      <c r="D234" t="s">
        <v>95</v>
      </c>
      <c r="E234">
        <v>63</v>
      </c>
      <c r="F234" t="s">
        <v>201</v>
      </c>
      <c r="G234" t="s">
        <v>165</v>
      </c>
      <c r="H234" t="s">
        <v>42</v>
      </c>
      <c r="I234" t="e">
        <f ca="1">_xludf.XLOOKUP(H234,Base_Planos!$A:$A,Base_Planos!$B:$B,"Não encontrado")</f>
        <v>#NAME?</v>
      </c>
      <c r="J234" s="2">
        <f>VLOOKUP(H234,Base_Planos!$A:$G,4,FALSE)</f>
        <v>29.9</v>
      </c>
      <c r="K234" s="4">
        <v>46133</v>
      </c>
      <c r="L234" t="s">
        <v>43</v>
      </c>
      <c r="M234" t="s">
        <v>34</v>
      </c>
      <c r="N234" s="4">
        <v>46163</v>
      </c>
      <c r="O234" s="10">
        <f t="shared" ca="1" si="22"/>
        <v>30</v>
      </c>
      <c r="P234" s="10" t="str">
        <f t="shared" ca="1" si="19"/>
        <v>Até 30 dias</v>
      </c>
      <c r="Q234">
        <f t="shared" si="18"/>
        <v>1</v>
      </c>
      <c r="R234">
        <v>2</v>
      </c>
      <c r="S234" s="11">
        <f t="shared" si="23"/>
        <v>29.9</v>
      </c>
      <c r="T234" s="11" t="str">
        <f t="shared" si="20"/>
        <v>Detrator</v>
      </c>
      <c r="U234" s="11" t="str">
        <f t="shared" si="21"/>
        <v>Alto risco</v>
      </c>
      <c r="V234">
        <v>0</v>
      </c>
      <c r="W234">
        <v>88</v>
      </c>
      <c r="X234" s="2">
        <v>31.09</v>
      </c>
      <c r="Y234">
        <v>1</v>
      </c>
      <c r="Z234" t="s">
        <v>35</v>
      </c>
    </row>
    <row r="235" spans="1:26">
      <c r="A235" t="s">
        <v>551</v>
      </c>
      <c r="B235" t="s">
        <v>552</v>
      </c>
      <c r="C235" t="s">
        <v>28</v>
      </c>
      <c r="D235" t="s">
        <v>29</v>
      </c>
      <c r="E235">
        <v>29</v>
      </c>
      <c r="F235" t="s">
        <v>40</v>
      </c>
      <c r="G235" t="s">
        <v>31</v>
      </c>
      <c r="H235" t="s">
        <v>61</v>
      </c>
      <c r="I235" t="e">
        <f ca="1">_xludf.XLOOKUP(H235,Base_Planos!$A:$A,Base_Planos!$B:$B,"Não encontrado")</f>
        <v>#NAME?</v>
      </c>
      <c r="J235" s="2">
        <f>VLOOKUP(H235,Base_Planos!$A:$G,4,FALSE)</f>
        <v>59.9</v>
      </c>
      <c r="K235" s="4">
        <v>45140</v>
      </c>
      <c r="L235" t="s">
        <v>162</v>
      </c>
      <c r="M235" t="s">
        <v>44</v>
      </c>
      <c r="N235" s="4"/>
      <c r="O235" s="10">
        <f t="shared" ca="1" si="22"/>
        <v>1029</v>
      </c>
      <c r="P235" s="10" t="str">
        <f t="shared" ca="1" si="19"/>
        <v>Mais de 1 ano</v>
      </c>
      <c r="Q235">
        <f t="shared" si="18"/>
        <v>0</v>
      </c>
      <c r="R235">
        <v>7</v>
      </c>
      <c r="S235" s="11">
        <f t="shared" si="23"/>
        <v>0</v>
      </c>
      <c r="T235" s="11" t="str">
        <f t="shared" si="20"/>
        <v>Neutro</v>
      </c>
      <c r="U235" s="11" t="str">
        <f t="shared" si="21"/>
        <v>Médio risco</v>
      </c>
      <c r="V235">
        <v>0</v>
      </c>
      <c r="W235">
        <v>92</v>
      </c>
      <c r="X235" s="2">
        <v>52.93</v>
      </c>
      <c r="Y235">
        <v>34</v>
      </c>
      <c r="Z235" t="s">
        <v>50</v>
      </c>
    </row>
    <row r="236" spans="1:26">
      <c r="A236" t="s">
        <v>553</v>
      </c>
      <c r="B236" t="s">
        <v>554</v>
      </c>
      <c r="C236" t="s">
        <v>53</v>
      </c>
      <c r="D236" t="s">
        <v>29</v>
      </c>
      <c r="E236">
        <v>63</v>
      </c>
      <c r="F236" t="s">
        <v>40</v>
      </c>
      <c r="G236" t="s">
        <v>165</v>
      </c>
      <c r="H236" t="s">
        <v>112</v>
      </c>
      <c r="I236" t="e">
        <f ca="1">_xludf.XLOOKUP(H236,Base_Planos!$A:$A,Base_Planos!$B:$B,"Não encontrado")</f>
        <v>#NAME?</v>
      </c>
      <c r="J236" s="2">
        <f>VLOOKUP(H236,Base_Planos!$A:$G,4,FALSE)</f>
        <v>79.900000000000006</v>
      </c>
      <c r="K236" s="4">
        <v>45470</v>
      </c>
      <c r="L236" t="s">
        <v>145</v>
      </c>
      <c r="M236" t="s">
        <v>34</v>
      </c>
      <c r="N236" s="4">
        <v>45501</v>
      </c>
      <c r="O236" s="10">
        <f t="shared" ca="1" si="22"/>
        <v>31</v>
      </c>
      <c r="P236" s="10" t="str">
        <f t="shared" ca="1" si="19"/>
        <v>31 a 90 dias</v>
      </c>
      <c r="Q236">
        <f t="shared" si="18"/>
        <v>1</v>
      </c>
      <c r="R236">
        <v>3</v>
      </c>
      <c r="S236" s="11">
        <f t="shared" si="23"/>
        <v>79.900000000000006</v>
      </c>
      <c r="T236" s="11" t="str">
        <f t="shared" si="20"/>
        <v>Detrator</v>
      </c>
      <c r="U236" s="11" t="str">
        <f t="shared" si="21"/>
        <v>Alto risco</v>
      </c>
      <c r="V236">
        <v>0</v>
      </c>
      <c r="W236">
        <v>67</v>
      </c>
      <c r="X236" s="2">
        <v>74.92</v>
      </c>
      <c r="Y236">
        <v>1</v>
      </c>
      <c r="Z236" t="s">
        <v>35</v>
      </c>
    </row>
    <row r="237" spans="1:26">
      <c r="A237" t="s">
        <v>555</v>
      </c>
      <c r="B237" t="s">
        <v>556</v>
      </c>
      <c r="C237" t="s">
        <v>71</v>
      </c>
      <c r="D237" t="s">
        <v>72</v>
      </c>
      <c r="E237">
        <v>49</v>
      </c>
      <c r="F237" t="s">
        <v>66</v>
      </c>
      <c r="G237" t="s">
        <v>165</v>
      </c>
      <c r="H237" t="s">
        <v>61</v>
      </c>
      <c r="I237" t="e">
        <f ca="1">_xludf.XLOOKUP(H237,Base_Planos!$A:$A,Base_Planos!$B:$B,"Não encontrado")</f>
        <v>#NAME?</v>
      </c>
      <c r="J237" s="2">
        <f>VLOOKUP(H237,Base_Planos!$A:$G,4,FALSE)</f>
        <v>59.9</v>
      </c>
      <c r="K237" s="4">
        <v>45134</v>
      </c>
      <c r="L237" t="s">
        <v>33</v>
      </c>
      <c r="M237" t="s">
        <v>44</v>
      </c>
      <c r="N237" s="4"/>
      <c r="O237" s="10">
        <f t="shared" ca="1" si="22"/>
        <v>1035</v>
      </c>
      <c r="P237" s="10" t="str">
        <f t="shared" ca="1" si="19"/>
        <v>Mais de 1 ano</v>
      </c>
      <c r="Q237">
        <f t="shared" ref="Q237:Q300" si="24">IF(M237="Cancelado",1,0)</f>
        <v>0</v>
      </c>
      <c r="R237">
        <v>7</v>
      </c>
      <c r="S237" s="11">
        <f t="shared" si="23"/>
        <v>0</v>
      </c>
      <c r="T237" s="11" t="str">
        <f t="shared" si="20"/>
        <v>Neutro</v>
      </c>
      <c r="U237" s="11" t="str">
        <f t="shared" si="21"/>
        <v>Médio risco</v>
      </c>
      <c r="V237">
        <v>1</v>
      </c>
      <c r="W237">
        <v>21</v>
      </c>
      <c r="X237" s="2">
        <v>56.32</v>
      </c>
      <c r="Y237">
        <v>34</v>
      </c>
      <c r="Z237" t="s">
        <v>35</v>
      </c>
    </row>
    <row r="238" spans="1:26">
      <c r="A238" t="s">
        <v>557</v>
      </c>
      <c r="B238" t="s">
        <v>558</v>
      </c>
      <c r="C238" t="s">
        <v>140</v>
      </c>
      <c r="D238" t="s">
        <v>141</v>
      </c>
      <c r="E238">
        <v>19</v>
      </c>
      <c r="F238" t="s">
        <v>30</v>
      </c>
      <c r="G238" t="s">
        <v>55</v>
      </c>
      <c r="H238" t="s">
        <v>32</v>
      </c>
      <c r="I238" t="e">
        <f ca="1">_xludf.XLOOKUP(H238,Base_Planos!$A:$A,Base_Planos!$B:$B,"Não encontrado")</f>
        <v>#NAME?</v>
      </c>
      <c r="J238" s="2">
        <f>VLOOKUP(H238,Base_Planos!$A:$G,4,FALSE)</f>
        <v>39.9</v>
      </c>
      <c r="K238" s="4">
        <v>45275</v>
      </c>
      <c r="L238" t="s">
        <v>62</v>
      </c>
      <c r="M238" t="s">
        <v>44</v>
      </c>
      <c r="N238" s="4"/>
      <c r="O238" s="10">
        <f t="shared" ca="1" si="22"/>
        <v>894</v>
      </c>
      <c r="P238" s="10" t="str">
        <f t="shared" ca="1" si="19"/>
        <v>Mais de 1 ano</v>
      </c>
      <c r="Q238">
        <f t="shared" si="24"/>
        <v>0</v>
      </c>
      <c r="R238">
        <v>6</v>
      </c>
      <c r="S238" s="11">
        <f t="shared" si="23"/>
        <v>0</v>
      </c>
      <c r="T238" s="11" t="str">
        <f t="shared" si="20"/>
        <v>Detrator</v>
      </c>
      <c r="U238" s="11" t="str">
        <f t="shared" si="21"/>
        <v>Alto risco</v>
      </c>
      <c r="V238">
        <v>3</v>
      </c>
      <c r="W238">
        <v>66</v>
      </c>
      <c r="X238" s="2">
        <v>36.61</v>
      </c>
      <c r="Y238">
        <v>29</v>
      </c>
      <c r="Z238" t="s">
        <v>35</v>
      </c>
    </row>
    <row r="239" spans="1:26">
      <c r="A239" t="s">
        <v>559</v>
      </c>
      <c r="B239" t="s">
        <v>560</v>
      </c>
      <c r="C239" t="s">
        <v>137</v>
      </c>
      <c r="D239" t="s">
        <v>29</v>
      </c>
      <c r="E239">
        <v>19</v>
      </c>
      <c r="F239" t="s">
        <v>54</v>
      </c>
      <c r="G239" t="s">
        <v>96</v>
      </c>
      <c r="H239" t="s">
        <v>61</v>
      </c>
      <c r="I239" t="e">
        <f ca="1">_xludf.XLOOKUP(H239,Base_Planos!$A:$A,Base_Planos!$B:$B,"Não encontrado")</f>
        <v>#NAME?</v>
      </c>
      <c r="J239" s="2">
        <f>VLOOKUP(H239,Base_Planos!$A:$G,4,FALSE)</f>
        <v>59.9</v>
      </c>
      <c r="K239" s="4">
        <v>45816</v>
      </c>
      <c r="L239" t="s">
        <v>167</v>
      </c>
      <c r="M239" t="s">
        <v>34</v>
      </c>
      <c r="N239" s="4">
        <v>46129</v>
      </c>
      <c r="O239" s="10">
        <f t="shared" ca="1" si="22"/>
        <v>313</v>
      </c>
      <c r="P239" s="10" t="str">
        <f t="shared" ca="1" si="19"/>
        <v>181 a 365 dias</v>
      </c>
      <c r="Q239">
        <f t="shared" si="24"/>
        <v>1</v>
      </c>
      <c r="R239">
        <v>2</v>
      </c>
      <c r="S239" s="11">
        <f t="shared" si="23"/>
        <v>59.9</v>
      </c>
      <c r="T239" s="11" t="str">
        <f t="shared" si="20"/>
        <v>Detrator</v>
      </c>
      <c r="U239" s="11" t="str">
        <f t="shared" si="21"/>
        <v>Alto risco</v>
      </c>
      <c r="V239">
        <v>4</v>
      </c>
      <c r="W239">
        <v>65</v>
      </c>
      <c r="X239" s="2">
        <v>59.66</v>
      </c>
      <c r="Y239">
        <v>10</v>
      </c>
      <c r="Z239" t="s">
        <v>45</v>
      </c>
    </row>
    <row r="240" spans="1:26">
      <c r="A240" t="s">
        <v>561</v>
      </c>
      <c r="B240" t="s">
        <v>562</v>
      </c>
      <c r="C240" t="s">
        <v>140</v>
      </c>
      <c r="D240" t="s">
        <v>141</v>
      </c>
      <c r="E240">
        <v>33</v>
      </c>
      <c r="F240" t="s">
        <v>30</v>
      </c>
      <c r="G240" t="s">
        <v>41</v>
      </c>
      <c r="H240" t="s">
        <v>61</v>
      </c>
      <c r="I240" t="e">
        <f ca="1">_xludf.XLOOKUP(H240,Base_Planos!$A:$A,Base_Planos!$B:$B,"Não encontrado")</f>
        <v>#NAME?</v>
      </c>
      <c r="J240" s="2">
        <f>VLOOKUP(H240,Base_Planos!$A:$G,4,FALSE)</f>
        <v>59.9</v>
      </c>
      <c r="K240" s="4">
        <v>45932</v>
      </c>
      <c r="L240" t="s">
        <v>196</v>
      </c>
      <c r="M240" t="s">
        <v>44</v>
      </c>
      <c r="N240" s="4"/>
      <c r="O240" s="10">
        <f t="shared" ca="1" si="22"/>
        <v>237</v>
      </c>
      <c r="P240" s="10" t="str">
        <f t="shared" ca="1" si="19"/>
        <v>181 a 365 dias</v>
      </c>
      <c r="Q240">
        <f t="shared" si="24"/>
        <v>0</v>
      </c>
      <c r="R240">
        <v>2</v>
      </c>
      <c r="S240" s="11">
        <f t="shared" si="23"/>
        <v>0</v>
      </c>
      <c r="T240" s="11" t="str">
        <f t="shared" si="20"/>
        <v>Detrator</v>
      </c>
      <c r="U240" s="11" t="str">
        <f t="shared" si="21"/>
        <v>Alto risco</v>
      </c>
      <c r="V240">
        <v>0</v>
      </c>
      <c r="W240">
        <v>57</v>
      </c>
      <c r="X240" s="2">
        <v>58.4</v>
      </c>
      <c r="Y240">
        <v>7</v>
      </c>
      <c r="Z240" t="s">
        <v>35</v>
      </c>
    </row>
    <row r="241" spans="1:26">
      <c r="A241" t="s">
        <v>563</v>
      </c>
      <c r="B241" t="s">
        <v>522</v>
      </c>
      <c r="C241" t="s">
        <v>102</v>
      </c>
      <c r="D241" t="s">
        <v>103</v>
      </c>
      <c r="E241">
        <v>19</v>
      </c>
      <c r="F241" t="s">
        <v>30</v>
      </c>
      <c r="G241" t="s">
        <v>73</v>
      </c>
      <c r="H241" t="s">
        <v>166</v>
      </c>
      <c r="I241" t="e">
        <f ca="1">_xludf.XLOOKUP(H241,Base_Planos!$A:$A,Base_Planos!$B:$B,"Não encontrado")</f>
        <v>#NAME?</v>
      </c>
      <c r="J241" s="2">
        <f>VLOOKUP(H241,Base_Planos!$A:$G,4,FALSE)</f>
        <v>399.9</v>
      </c>
      <c r="K241" s="4">
        <v>45896</v>
      </c>
      <c r="L241" t="s">
        <v>159</v>
      </c>
      <c r="M241" t="s">
        <v>44</v>
      </c>
      <c r="N241" s="4"/>
      <c r="O241" s="10">
        <f t="shared" ca="1" si="22"/>
        <v>273</v>
      </c>
      <c r="P241" s="10" t="str">
        <f t="shared" ca="1" si="19"/>
        <v>181 a 365 dias</v>
      </c>
      <c r="Q241">
        <f t="shared" si="24"/>
        <v>0</v>
      </c>
      <c r="R241">
        <v>1</v>
      </c>
      <c r="S241" s="11">
        <f t="shared" si="23"/>
        <v>0</v>
      </c>
      <c r="T241" s="11" t="str">
        <f t="shared" si="20"/>
        <v>Detrator</v>
      </c>
      <c r="U241" s="11" t="str">
        <f t="shared" si="21"/>
        <v>Alto risco</v>
      </c>
      <c r="V241">
        <v>0</v>
      </c>
      <c r="W241">
        <v>83</v>
      </c>
      <c r="X241" s="2">
        <v>347.2</v>
      </c>
      <c r="Y241">
        <v>9</v>
      </c>
      <c r="Z241" t="s">
        <v>35</v>
      </c>
    </row>
    <row r="242" spans="1:26">
      <c r="A242" t="s">
        <v>564</v>
      </c>
      <c r="B242" t="s">
        <v>565</v>
      </c>
      <c r="C242" t="s">
        <v>94</v>
      </c>
      <c r="D242" t="s">
        <v>95</v>
      </c>
      <c r="E242">
        <v>41</v>
      </c>
      <c r="F242" t="s">
        <v>66</v>
      </c>
      <c r="G242" t="s">
        <v>165</v>
      </c>
      <c r="H242" t="s">
        <v>42</v>
      </c>
      <c r="I242" t="e">
        <f ca="1">_xludf.XLOOKUP(H242,Base_Planos!$A:$A,Base_Planos!$B:$B,"Não encontrado")</f>
        <v>#NAME?</v>
      </c>
      <c r="J242" s="2">
        <f>VLOOKUP(H242,Base_Planos!$A:$G,4,FALSE)</f>
        <v>29.9</v>
      </c>
      <c r="K242" s="4">
        <v>45018</v>
      </c>
      <c r="L242" t="s">
        <v>118</v>
      </c>
      <c r="M242" t="s">
        <v>44</v>
      </c>
      <c r="N242" s="4"/>
      <c r="O242" s="10">
        <f t="shared" ca="1" si="22"/>
        <v>1151</v>
      </c>
      <c r="P242" s="10" t="str">
        <f t="shared" ca="1" si="19"/>
        <v>Mais de 1 ano</v>
      </c>
      <c r="Q242">
        <f t="shared" si="24"/>
        <v>0</v>
      </c>
      <c r="R242">
        <v>4</v>
      </c>
      <c r="S242" s="11">
        <f t="shared" si="23"/>
        <v>0</v>
      </c>
      <c r="T242" s="11" t="str">
        <f t="shared" si="20"/>
        <v>Detrator</v>
      </c>
      <c r="U242" s="11" t="str">
        <f t="shared" si="21"/>
        <v>Alto risco</v>
      </c>
      <c r="V242">
        <v>2</v>
      </c>
      <c r="W242">
        <v>65</v>
      </c>
      <c r="X242" s="2">
        <v>26.32</v>
      </c>
      <c r="Y242">
        <v>38</v>
      </c>
      <c r="Z242" t="s">
        <v>35</v>
      </c>
    </row>
    <row r="243" spans="1:26">
      <c r="A243" t="s">
        <v>566</v>
      </c>
      <c r="B243" t="s">
        <v>567</v>
      </c>
      <c r="C243" t="s">
        <v>102</v>
      </c>
      <c r="D243" t="s">
        <v>103</v>
      </c>
      <c r="E243">
        <v>60</v>
      </c>
      <c r="F243" t="s">
        <v>30</v>
      </c>
      <c r="G243" t="s">
        <v>41</v>
      </c>
      <c r="H243" t="s">
        <v>166</v>
      </c>
      <c r="I243" t="e">
        <f ca="1">_xludf.XLOOKUP(H243,Base_Planos!$A:$A,Base_Planos!$B:$B,"Não encontrado")</f>
        <v>#NAME?</v>
      </c>
      <c r="J243" s="2">
        <f>VLOOKUP(H243,Base_Planos!$A:$G,4,FALSE)</f>
        <v>399.9</v>
      </c>
      <c r="K243" s="4">
        <v>46134</v>
      </c>
      <c r="L243" t="s">
        <v>43</v>
      </c>
      <c r="M243" t="s">
        <v>34</v>
      </c>
      <c r="N243" s="4">
        <v>46168</v>
      </c>
      <c r="O243" s="10">
        <f t="shared" ca="1" si="22"/>
        <v>34</v>
      </c>
      <c r="P243" s="10" t="str">
        <f t="shared" ca="1" si="19"/>
        <v>31 a 90 dias</v>
      </c>
      <c r="Q243">
        <f t="shared" si="24"/>
        <v>1</v>
      </c>
      <c r="R243">
        <v>3</v>
      </c>
      <c r="S243" s="11">
        <f t="shared" si="23"/>
        <v>399.9</v>
      </c>
      <c r="T243" s="11" t="str">
        <f t="shared" si="20"/>
        <v>Detrator</v>
      </c>
      <c r="U243" s="11" t="str">
        <f t="shared" si="21"/>
        <v>Alto risco</v>
      </c>
      <c r="V243">
        <v>2</v>
      </c>
      <c r="W243">
        <v>39</v>
      </c>
      <c r="X243" s="2">
        <v>414.81</v>
      </c>
      <c r="Y243">
        <v>1</v>
      </c>
      <c r="Z243" t="s">
        <v>45</v>
      </c>
    </row>
    <row r="244" spans="1:26">
      <c r="A244" t="s">
        <v>568</v>
      </c>
      <c r="B244" t="s">
        <v>386</v>
      </c>
      <c r="C244" t="s">
        <v>77</v>
      </c>
      <c r="D244" t="s">
        <v>78</v>
      </c>
      <c r="E244">
        <v>37</v>
      </c>
      <c r="F244" t="s">
        <v>30</v>
      </c>
      <c r="G244" t="s">
        <v>67</v>
      </c>
      <c r="H244" t="s">
        <v>112</v>
      </c>
      <c r="I244" t="e">
        <f ca="1">_xludf.XLOOKUP(H244,Base_Planos!$A:$A,Base_Planos!$B:$B,"Não encontrado")</f>
        <v>#NAME?</v>
      </c>
      <c r="J244" s="2">
        <f>VLOOKUP(H244,Base_Planos!$A:$G,4,FALSE)</f>
        <v>79.900000000000006</v>
      </c>
      <c r="K244" s="4">
        <v>45985</v>
      </c>
      <c r="L244" t="s">
        <v>87</v>
      </c>
      <c r="M244" t="s">
        <v>44</v>
      </c>
      <c r="N244" s="4"/>
      <c r="O244" s="10">
        <f t="shared" ca="1" si="22"/>
        <v>184</v>
      </c>
      <c r="P244" s="10" t="str">
        <f t="shared" ca="1" si="19"/>
        <v>181 a 365 dias</v>
      </c>
      <c r="Q244">
        <f t="shared" si="24"/>
        <v>0</v>
      </c>
      <c r="R244">
        <v>9</v>
      </c>
      <c r="S244" s="11">
        <f t="shared" si="23"/>
        <v>0</v>
      </c>
      <c r="T244" s="11" t="str">
        <f t="shared" si="20"/>
        <v>Promotor</v>
      </c>
      <c r="U244" s="11" t="str">
        <f t="shared" si="21"/>
        <v>Baixo risco</v>
      </c>
      <c r="V244">
        <v>0</v>
      </c>
      <c r="W244">
        <v>22</v>
      </c>
      <c r="X244" s="2">
        <v>70.680000000000007</v>
      </c>
      <c r="Y244">
        <v>6</v>
      </c>
      <c r="Z244" t="s">
        <v>50</v>
      </c>
    </row>
    <row r="245" spans="1:26">
      <c r="A245" t="s">
        <v>569</v>
      </c>
      <c r="B245" t="s">
        <v>570</v>
      </c>
      <c r="C245" t="s">
        <v>48</v>
      </c>
      <c r="D245" t="s">
        <v>29</v>
      </c>
      <c r="E245">
        <v>30</v>
      </c>
      <c r="F245" t="s">
        <v>30</v>
      </c>
      <c r="G245" t="s">
        <v>41</v>
      </c>
      <c r="H245" t="s">
        <v>32</v>
      </c>
      <c r="I245" t="e">
        <f ca="1">_xludf.XLOOKUP(H245,Base_Planos!$A:$A,Base_Planos!$B:$B,"Não encontrado")</f>
        <v>#NAME?</v>
      </c>
      <c r="J245" s="2">
        <f>VLOOKUP(H245,Base_Planos!$A:$G,4,FALSE)</f>
        <v>39.9</v>
      </c>
      <c r="K245" s="4">
        <v>45818</v>
      </c>
      <c r="L245" t="s">
        <v>167</v>
      </c>
      <c r="M245" t="s">
        <v>34</v>
      </c>
      <c r="N245" s="4">
        <v>45882</v>
      </c>
      <c r="O245" s="10">
        <f t="shared" ca="1" si="22"/>
        <v>64</v>
      </c>
      <c r="P245" s="10" t="str">
        <f t="shared" ca="1" si="19"/>
        <v>31 a 90 dias</v>
      </c>
      <c r="Q245">
        <f t="shared" si="24"/>
        <v>1</v>
      </c>
      <c r="R245">
        <v>3</v>
      </c>
      <c r="S245" s="11">
        <f t="shared" si="23"/>
        <v>39.9</v>
      </c>
      <c r="T245" s="11" t="str">
        <f t="shared" si="20"/>
        <v>Detrator</v>
      </c>
      <c r="U245" s="11" t="str">
        <f t="shared" si="21"/>
        <v>Alto risco</v>
      </c>
      <c r="V245">
        <v>2</v>
      </c>
      <c r="W245">
        <v>56</v>
      </c>
      <c r="X245" s="2">
        <v>38.35</v>
      </c>
      <c r="Y245">
        <v>2</v>
      </c>
      <c r="Z245" t="s">
        <v>45</v>
      </c>
    </row>
    <row r="246" spans="1:26">
      <c r="A246" t="s">
        <v>571</v>
      </c>
      <c r="B246" t="s">
        <v>144</v>
      </c>
      <c r="C246" t="s">
        <v>53</v>
      </c>
      <c r="D246" t="s">
        <v>29</v>
      </c>
      <c r="E246">
        <v>35</v>
      </c>
      <c r="F246" t="s">
        <v>54</v>
      </c>
      <c r="G246" t="s">
        <v>67</v>
      </c>
      <c r="H246" t="s">
        <v>82</v>
      </c>
      <c r="I246" t="e">
        <f ca="1">_xludf.XLOOKUP(H246,Base_Planos!$A:$A,Base_Planos!$B:$B,"Não encontrado")</f>
        <v>#NAME?</v>
      </c>
      <c r="J246" s="2">
        <f>VLOOKUP(H246,Base_Planos!$A:$G,4,FALSE)</f>
        <v>149.9</v>
      </c>
      <c r="K246" s="4">
        <v>46130</v>
      </c>
      <c r="L246" t="s">
        <v>43</v>
      </c>
      <c r="M246" t="s">
        <v>44</v>
      </c>
      <c r="N246" s="4"/>
      <c r="O246" s="10">
        <f t="shared" ca="1" si="22"/>
        <v>39</v>
      </c>
      <c r="P246" s="10" t="str">
        <f t="shared" ca="1" si="19"/>
        <v>31 a 90 dias</v>
      </c>
      <c r="Q246">
        <f>IF(M246="Cancelado",1,0)</f>
        <v>0</v>
      </c>
      <c r="R246">
        <v>8</v>
      </c>
      <c r="S246" s="11">
        <f t="shared" si="23"/>
        <v>0</v>
      </c>
      <c r="T246" s="11" t="str">
        <f t="shared" si="20"/>
        <v>Neutro</v>
      </c>
      <c r="U246" s="11" t="str">
        <f t="shared" si="21"/>
        <v>Médio risco</v>
      </c>
      <c r="V246">
        <v>0</v>
      </c>
      <c r="W246">
        <v>43</v>
      </c>
      <c r="X246" s="2">
        <v>144.88</v>
      </c>
      <c r="Y246">
        <v>1</v>
      </c>
      <c r="Z246" t="s">
        <v>50</v>
      </c>
    </row>
    <row r="247" spans="1:26">
      <c r="A247" t="s">
        <v>572</v>
      </c>
      <c r="B247" t="s">
        <v>573</v>
      </c>
      <c r="C247" t="s">
        <v>90</v>
      </c>
      <c r="D247" t="s">
        <v>29</v>
      </c>
      <c r="E247">
        <v>24</v>
      </c>
      <c r="F247" t="s">
        <v>40</v>
      </c>
      <c r="G247" t="s">
        <v>165</v>
      </c>
      <c r="H247" t="s">
        <v>86</v>
      </c>
      <c r="I247" t="e">
        <f ca="1">_xludf.XLOOKUP(H247,Base_Planos!$A:$A,Base_Planos!$B:$B,"Não encontrado")</f>
        <v>#NAME?</v>
      </c>
      <c r="J247" s="2">
        <f>VLOOKUP(H247,Base_Planos!$A:$G,4,FALSE)</f>
        <v>119.9</v>
      </c>
      <c r="K247" s="4">
        <v>45467</v>
      </c>
      <c r="L247" t="s">
        <v>145</v>
      </c>
      <c r="M247" t="s">
        <v>44</v>
      </c>
      <c r="N247" s="4"/>
      <c r="O247" s="10">
        <f t="shared" ca="1" si="22"/>
        <v>702</v>
      </c>
      <c r="P247" s="10" t="str">
        <f t="shared" ca="1" si="19"/>
        <v>Mais de 1 ano</v>
      </c>
      <c r="Q247">
        <f t="shared" si="24"/>
        <v>0</v>
      </c>
      <c r="R247">
        <v>6</v>
      </c>
      <c r="S247" s="11">
        <f t="shared" si="23"/>
        <v>0</v>
      </c>
      <c r="T247" s="11" t="str">
        <f t="shared" si="20"/>
        <v>Detrator</v>
      </c>
      <c r="U247" s="11" t="str">
        <f t="shared" si="21"/>
        <v>Alto risco</v>
      </c>
      <c r="V247">
        <v>0</v>
      </c>
      <c r="W247">
        <v>26</v>
      </c>
      <c r="X247" s="2">
        <v>111.58</v>
      </c>
      <c r="Y247">
        <v>23</v>
      </c>
      <c r="Z247" t="s">
        <v>35</v>
      </c>
    </row>
    <row r="248" spans="1:26">
      <c r="A248" t="s">
        <v>574</v>
      </c>
      <c r="B248" t="s">
        <v>184</v>
      </c>
      <c r="C248" t="s">
        <v>65</v>
      </c>
      <c r="D248" t="s">
        <v>29</v>
      </c>
      <c r="E248">
        <v>62</v>
      </c>
      <c r="F248" t="s">
        <v>54</v>
      </c>
      <c r="G248" t="s">
        <v>41</v>
      </c>
      <c r="H248" t="s">
        <v>86</v>
      </c>
      <c r="I248" t="e">
        <f ca="1">_xludf.XLOOKUP(H248,Base_Planos!$A:$A,Base_Planos!$B:$B,"Não encontrado")</f>
        <v>#NAME?</v>
      </c>
      <c r="J248" s="2">
        <f>VLOOKUP(H248,Base_Planos!$A:$G,4,FALSE)</f>
        <v>119.9</v>
      </c>
      <c r="K248" s="4">
        <v>45605</v>
      </c>
      <c r="L248" t="s">
        <v>83</v>
      </c>
      <c r="M248" t="s">
        <v>34</v>
      </c>
      <c r="N248" s="4">
        <v>45980</v>
      </c>
      <c r="O248" s="10">
        <f t="shared" ca="1" si="22"/>
        <v>375</v>
      </c>
      <c r="P248" s="10" t="str">
        <f t="shared" ca="1" si="19"/>
        <v>Mais de 1 ano</v>
      </c>
      <c r="Q248">
        <f t="shared" si="24"/>
        <v>1</v>
      </c>
      <c r="R248">
        <v>3</v>
      </c>
      <c r="S248" s="11">
        <f t="shared" si="23"/>
        <v>119.9</v>
      </c>
      <c r="T248" s="11" t="str">
        <f t="shared" si="20"/>
        <v>Detrator</v>
      </c>
      <c r="U248" s="11" t="str">
        <f t="shared" si="21"/>
        <v>Alto risco</v>
      </c>
      <c r="V248">
        <v>0</v>
      </c>
      <c r="W248">
        <v>66</v>
      </c>
      <c r="X248" s="2">
        <v>109.18</v>
      </c>
      <c r="Y248">
        <v>12</v>
      </c>
      <c r="Z248" t="s">
        <v>45</v>
      </c>
    </row>
    <row r="249" spans="1:26">
      <c r="A249" t="s">
        <v>575</v>
      </c>
      <c r="B249" t="s">
        <v>576</v>
      </c>
      <c r="C249" t="s">
        <v>53</v>
      </c>
      <c r="D249" t="s">
        <v>29</v>
      </c>
      <c r="E249">
        <v>62</v>
      </c>
      <c r="F249" t="s">
        <v>40</v>
      </c>
      <c r="G249" t="s">
        <v>31</v>
      </c>
      <c r="H249" t="s">
        <v>32</v>
      </c>
      <c r="I249" t="e">
        <f ca="1">_xludf.XLOOKUP(H249,Base_Planos!$A:$A,Base_Planos!$B:$B,"Não encontrado")</f>
        <v>#NAME?</v>
      </c>
      <c r="J249" s="2">
        <f>VLOOKUP(H249,Base_Planos!$A:$G,4,FALSE)</f>
        <v>39.9</v>
      </c>
      <c r="K249" s="4">
        <v>45834</v>
      </c>
      <c r="L249" t="s">
        <v>167</v>
      </c>
      <c r="M249" t="s">
        <v>44</v>
      </c>
      <c r="N249" s="4"/>
      <c r="O249" s="10">
        <f t="shared" ca="1" si="22"/>
        <v>335</v>
      </c>
      <c r="P249" s="10" t="str">
        <f t="shared" ca="1" si="19"/>
        <v>181 a 365 dias</v>
      </c>
      <c r="Q249">
        <f t="shared" si="24"/>
        <v>0</v>
      </c>
      <c r="R249">
        <v>5</v>
      </c>
      <c r="S249" s="11">
        <f t="shared" si="23"/>
        <v>0</v>
      </c>
      <c r="T249" s="11" t="str">
        <f t="shared" si="20"/>
        <v>Detrator</v>
      </c>
      <c r="U249" s="11" t="str">
        <f t="shared" si="21"/>
        <v>Alto risco</v>
      </c>
      <c r="V249">
        <v>1</v>
      </c>
      <c r="W249">
        <v>85</v>
      </c>
      <c r="X249" s="2">
        <v>35.6</v>
      </c>
      <c r="Y249">
        <v>11</v>
      </c>
      <c r="Z249" t="s">
        <v>50</v>
      </c>
    </row>
    <row r="250" spans="1:26">
      <c r="A250" t="s">
        <v>577</v>
      </c>
      <c r="B250" t="s">
        <v>578</v>
      </c>
      <c r="C250" t="s">
        <v>137</v>
      </c>
      <c r="D250" t="s">
        <v>29</v>
      </c>
      <c r="E250">
        <v>49</v>
      </c>
      <c r="F250" t="s">
        <v>40</v>
      </c>
      <c r="G250" t="s">
        <v>165</v>
      </c>
      <c r="H250" t="s">
        <v>82</v>
      </c>
      <c r="I250" t="e">
        <f ca="1">_xludf.XLOOKUP(H250,Base_Planos!$A:$A,Base_Planos!$B:$B,"Não encontrado")</f>
        <v>#NAME?</v>
      </c>
      <c r="J250" s="2">
        <f>VLOOKUP(H250,Base_Planos!$A:$G,4,FALSE)</f>
        <v>149.9</v>
      </c>
      <c r="K250" s="4">
        <v>45982</v>
      </c>
      <c r="L250" t="s">
        <v>87</v>
      </c>
      <c r="M250" t="s">
        <v>44</v>
      </c>
      <c r="N250" s="4"/>
      <c r="O250" s="10">
        <f t="shared" ca="1" si="22"/>
        <v>187</v>
      </c>
      <c r="P250" s="10" t="str">
        <f t="shared" ca="1" si="19"/>
        <v>181 a 365 dias</v>
      </c>
      <c r="Q250">
        <f t="shared" si="24"/>
        <v>0</v>
      </c>
      <c r="R250">
        <v>2</v>
      </c>
      <c r="S250" s="11">
        <f t="shared" si="23"/>
        <v>0</v>
      </c>
      <c r="T250" s="11" t="str">
        <f t="shared" si="20"/>
        <v>Detrator</v>
      </c>
      <c r="U250" s="11" t="str">
        <f t="shared" si="21"/>
        <v>Alto risco</v>
      </c>
      <c r="V250">
        <v>0</v>
      </c>
      <c r="W250">
        <v>74</v>
      </c>
      <c r="X250" s="2">
        <v>143.13</v>
      </c>
      <c r="Y250">
        <v>6</v>
      </c>
      <c r="Z250" t="s">
        <v>45</v>
      </c>
    </row>
    <row r="251" spans="1:26">
      <c r="A251" t="s">
        <v>579</v>
      </c>
      <c r="B251" t="s">
        <v>580</v>
      </c>
      <c r="C251" t="s">
        <v>94</v>
      </c>
      <c r="D251" t="s">
        <v>95</v>
      </c>
      <c r="E251">
        <v>30</v>
      </c>
      <c r="F251" t="s">
        <v>66</v>
      </c>
      <c r="G251" t="s">
        <v>31</v>
      </c>
      <c r="H251" t="s">
        <v>82</v>
      </c>
      <c r="I251" t="e">
        <f ca="1">_xludf.XLOOKUP(H251,Base_Planos!$A:$A,Base_Planos!$B:$B,"Não encontrado")</f>
        <v>#NAME?</v>
      </c>
      <c r="J251" s="2">
        <f>VLOOKUP(H251,Base_Planos!$A:$G,4,FALSE)</f>
        <v>149.9</v>
      </c>
      <c r="K251" s="4">
        <v>45437</v>
      </c>
      <c r="L251" t="s">
        <v>130</v>
      </c>
      <c r="M251" t="s">
        <v>34</v>
      </c>
      <c r="N251" s="4">
        <v>45942</v>
      </c>
      <c r="O251" s="10">
        <f t="shared" ca="1" si="22"/>
        <v>505</v>
      </c>
      <c r="P251" s="10" t="str">
        <f t="shared" ca="1" si="19"/>
        <v>Mais de 1 ano</v>
      </c>
      <c r="Q251">
        <f t="shared" si="24"/>
        <v>1</v>
      </c>
      <c r="R251">
        <v>0</v>
      </c>
      <c r="S251" s="11">
        <f t="shared" si="23"/>
        <v>149.9</v>
      </c>
      <c r="T251" s="11" t="str">
        <f t="shared" si="20"/>
        <v>Detrator</v>
      </c>
      <c r="U251" s="11" t="str">
        <f t="shared" si="21"/>
        <v>Alto risco</v>
      </c>
      <c r="V251">
        <v>1</v>
      </c>
      <c r="W251">
        <v>73</v>
      </c>
      <c r="X251" s="2">
        <v>146.46</v>
      </c>
      <c r="Y251">
        <v>16</v>
      </c>
      <c r="Z251" t="s">
        <v>35</v>
      </c>
    </row>
    <row r="252" spans="1:26">
      <c r="A252" t="s">
        <v>581</v>
      </c>
      <c r="B252" t="s">
        <v>582</v>
      </c>
      <c r="C252" t="s">
        <v>59</v>
      </c>
      <c r="D252" t="s">
        <v>60</v>
      </c>
      <c r="E252">
        <v>41</v>
      </c>
      <c r="F252" t="s">
        <v>54</v>
      </c>
      <c r="G252" t="s">
        <v>104</v>
      </c>
      <c r="H252" t="s">
        <v>32</v>
      </c>
      <c r="I252" t="e">
        <f ca="1">_xludf.XLOOKUP(H252,Base_Planos!$A:$A,Base_Planos!$B:$B,"Não encontrado")</f>
        <v>#NAME?</v>
      </c>
      <c r="J252" s="2">
        <f>VLOOKUP(H252,Base_Planos!$A:$G,4,FALSE)</f>
        <v>39.9</v>
      </c>
      <c r="K252" s="4">
        <v>45898</v>
      </c>
      <c r="L252" t="s">
        <v>159</v>
      </c>
      <c r="M252" t="s">
        <v>34</v>
      </c>
      <c r="N252" s="4">
        <v>46140</v>
      </c>
      <c r="O252" s="10">
        <f t="shared" ca="1" si="22"/>
        <v>242</v>
      </c>
      <c r="P252" s="10" t="str">
        <f t="shared" ca="1" si="19"/>
        <v>181 a 365 dias</v>
      </c>
      <c r="Q252">
        <f t="shared" si="24"/>
        <v>1</v>
      </c>
      <c r="R252">
        <v>9</v>
      </c>
      <c r="S252" s="11">
        <f t="shared" si="23"/>
        <v>39.9</v>
      </c>
      <c r="T252" s="11" t="str">
        <f t="shared" si="20"/>
        <v>Promotor</v>
      </c>
      <c r="U252" s="11" t="str">
        <f t="shared" si="21"/>
        <v>Alto risco</v>
      </c>
      <c r="V252">
        <v>2</v>
      </c>
      <c r="W252">
        <v>48</v>
      </c>
      <c r="X252" s="2">
        <v>36.19</v>
      </c>
      <c r="Y252">
        <v>8</v>
      </c>
      <c r="Z252" t="s">
        <v>50</v>
      </c>
    </row>
    <row r="253" spans="1:26">
      <c r="A253" t="s">
        <v>583</v>
      </c>
      <c r="B253" t="s">
        <v>584</v>
      </c>
      <c r="C253" t="s">
        <v>94</v>
      </c>
      <c r="D253" t="s">
        <v>95</v>
      </c>
      <c r="E253">
        <v>54</v>
      </c>
      <c r="F253" t="s">
        <v>40</v>
      </c>
      <c r="G253" t="s">
        <v>31</v>
      </c>
      <c r="H253" t="s">
        <v>86</v>
      </c>
      <c r="I253" t="e">
        <f ca="1">_xludf.XLOOKUP(H253,Base_Planos!$A:$A,Base_Planos!$B:$B,"Não encontrado")</f>
        <v>#NAME?</v>
      </c>
      <c r="J253" s="2">
        <f>VLOOKUP(H253,Base_Planos!$A:$G,4,FALSE)</f>
        <v>119.9</v>
      </c>
      <c r="K253" s="4">
        <v>45388</v>
      </c>
      <c r="L253" t="s">
        <v>56</v>
      </c>
      <c r="M253" t="s">
        <v>44</v>
      </c>
      <c r="N253" s="4"/>
      <c r="O253" s="10">
        <f t="shared" ca="1" si="22"/>
        <v>781</v>
      </c>
      <c r="P253" s="10" t="str">
        <f t="shared" ca="1" si="19"/>
        <v>Mais de 1 ano</v>
      </c>
      <c r="Q253">
        <f t="shared" si="24"/>
        <v>0</v>
      </c>
      <c r="R253">
        <v>10</v>
      </c>
      <c r="S253" s="11">
        <f t="shared" si="23"/>
        <v>0</v>
      </c>
      <c r="T253" s="11" t="str">
        <f t="shared" si="20"/>
        <v>Promotor</v>
      </c>
      <c r="U253" s="11" t="str">
        <f t="shared" si="21"/>
        <v>Baixo risco</v>
      </c>
      <c r="V253">
        <v>0</v>
      </c>
      <c r="W253">
        <v>96</v>
      </c>
      <c r="X253" s="2">
        <v>125.11</v>
      </c>
      <c r="Y253">
        <v>26</v>
      </c>
      <c r="Z253" t="s">
        <v>50</v>
      </c>
    </row>
    <row r="254" spans="1:26">
      <c r="A254" t="s">
        <v>585</v>
      </c>
      <c r="B254" t="s">
        <v>586</v>
      </c>
      <c r="C254" t="s">
        <v>77</v>
      </c>
      <c r="D254" t="s">
        <v>78</v>
      </c>
      <c r="E254">
        <v>26</v>
      </c>
      <c r="F254" t="s">
        <v>40</v>
      </c>
      <c r="G254" t="s">
        <v>67</v>
      </c>
      <c r="H254" t="s">
        <v>42</v>
      </c>
      <c r="I254" t="e">
        <f ca="1">_xludf.XLOOKUP(H254,Base_Planos!$A:$A,Base_Planos!$B:$B,"Não encontrado")</f>
        <v>#NAME?</v>
      </c>
      <c r="J254" s="2">
        <f>VLOOKUP(H254,Base_Planos!$A:$G,4,FALSE)</f>
        <v>29.9</v>
      </c>
      <c r="K254" s="4">
        <v>45552</v>
      </c>
      <c r="L254" t="s">
        <v>91</v>
      </c>
      <c r="M254" t="s">
        <v>44</v>
      </c>
      <c r="N254" s="4"/>
      <c r="O254" s="10">
        <f t="shared" ca="1" si="22"/>
        <v>617</v>
      </c>
      <c r="P254" s="10" t="str">
        <f t="shared" ca="1" si="19"/>
        <v>Mais de 1 ano</v>
      </c>
      <c r="Q254">
        <f t="shared" si="24"/>
        <v>0</v>
      </c>
      <c r="R254">
        <v>10</v>
      </c>
      <c r="S254" s="11">
        <f t="shared" si="23"/>
        <v>0</v>
      </c>
      <c r="T254" s="11" t="str">
        <f t="shared" si="20"/>
        <v>Promotor</v>
      </c>
      <c r="U254" s="11" t="str">
        <f t="shared" si="21"/>
        <v>Baixo risco</v>
      </c>
      <c r="V254">
        <v>2</v>
      </c>
      <c r="W254">
        <v>100</v>
      </c>
      <c r="X254" s="2">
        <v>26.72</v>
      </c>
      <c r="Y254">
        <v>20</v>
      </c>
      <c r="Z254" t="s">
        <v>50</v>
      </c>
    </row>
    <row r="255" spans="1:26">
      <c r="A255" t="s">
        <v>587</v>
      </c>
      <c r="B255" t="s">
        <v>588</v>
      </c>
      <c r="C255" t="s">
        <v>53</v>
      </c>
      <c r="D255" t="s">
        <v>29</v>
      </c>
      <c r="E255">
        <v>57</v>
      </c>
      <c r="F255" t="s">
        <v>54</v>
      </c>
      <c r="G255" t="s">
        <v>55</v>
      </c>
      <c r="H255" t="s">
        <v>32</v>
      </c>
      <c r="I255" t="e">
        <f ca="1">_xludf.XLOOKUP(H255,Base_Planos!$A:$A,Base_Planos!$B:$B,"Não encontrado")</f>
        <v>#NAME?</v>
      </c>
      <c r="J255" s="2">
        <f>VLOOKUP(H255,Base_Planos!$A:$G,4,FALSE)</f>
        <v>39.9</v>
      </c>
      <c r="K255" s="4">
        <v>45693</v>
      </c>
      <c r="L255" t="s">
        <v>289</v>
      </c>
      <c r="M255" t="s">
        <v>34</v>
      </c>
      <c r="N255" s="4">
        <v>45755</v>
      </c>
      <c r="O255" s="10">
        <f t="shared" ca="1" si="22"/>
        <v>62</v>
      </c>
      <c r="P255" s="10" t="str">
        <f t="shared" ca="1" si="19"/>
        <v>31 a 90 dias</v>
      </c>
      <c r="Q255">
        <f t="shared" si="24"/>
        <v>1</v>
      </c>
      <c r="R255">
        <v>8</v>
      </c>
      <c r="S255" s="11">
        <f t="shared" si="23"/>
        <v>39.9</v>
      </c>
      <c r="T255" s="11" t="str">
        <f t="shared" si="20"/>
        <v>Neutro</v>
      </c>
      <c r="U255" s="11" t="str">
        <f t="shared" si="21"/>
        <v>Alto risco</v>
      </c>
      <c r="V255">
        <v>0</v>
      </c>
      <c r="W255">
        <v>26</v>
      </c>
      <c r="X255" s="2">
        <v>41.8</v>
      </c>
      <c r="Y255">
        <v>2</v>
      </c>
      <c r="Z255" t="s">
        <v>50</v>
      </c>
    </row>
    <row r="256" spans="1:26">
      <c r="A256" t="s">
        <v>589</v>
      </c>
      <c r="B256" t="s">
        <v>590</v>
      </c>
      <c r="C256" t="s">
        <v>53</v>
      </c>
      <c r="D256" t="s">
        <v>29</v>
      </c>
      <c r="E256">
        <v>35</v>
      </c>
      <c r="F256" t="s">
        <v>30</v>
      </c>
      <c r="G256" t="s">
        <v>73</v>
      </c>
      <c r="H256" t="s">
        <v>42</v>
      </c>
      <c r="I256" t="e">
        <f ca="1">_xludf.XLOOKUP(H256,Base_Planos!$A:$A,Base_Planos!$B:$B,"Não encontrado")</f>
        <v>#NAME?</v>
      </c>
      <c r="J256" s="2">
        <f>VLOOKUP(H256,Base_Planos!$A:$G,4,FALSE)</f>
        <v>29.9</v>
      </c>
      <c r="K256" s="4">
        <v>45986</v>
      </c>
      <c r="L256" t="s">
        <v>87</v>
      </c>
      <c r="M256" t="s">
        <v>44</v>
      </c>
      <c r="N256" s="4"/>
      <c r="O256" s="10">
        <f t="shared" ca="1" si="22"/>
        <v>183</v>
      </c>
      <c r="P256" s="10" t="str">
        <f t="shared" ca="1" si="19"/>
        <v>181 a 365 dias</v>
      </c>
      <c r="Q256">
        <f t="shared" si="24"/>
        <v>0</v>
      </c>
      <c r="R256">
        <v>3</v>
      </c>
      <c r="S256" s="11">
        <f t="shared" si="23"/>
        <v>0</v>
      </c>
      <c r="T256" s="11" t="str">
        <f t="shared" si="20"/>
        <v>Detrator</v>
      </c>
      <c r="U256" s="11" t="str">
        <f t="shared" si="21"/>
        <v>Alto risco</v>
      </c>
      <c r="V256">
        <v>2</v>
      </c>
      <c r="W256">
        <v>27</v>
      </c>
      <c r="X256" s="2">
        <v>29.36</v>
      </c>
      <c r="Y256">
        <v>6</v>
      </c>
      <c r="Z256" t="s">
        <v>45</v>
      </c>
    </row>
    <row r="257" spans="1:26">
      <c r="A257" t="s">
        <v>591</v>
      </c>
      <c r="B257" t="s">
        <v>592</v>
      </c>
      <c r="C257" t="s">
        <v>137</v>
      </c>
      <c r="D257" t="s">
        <v>29</v>
      </c>
      <c r="E257">
        <v>19</v>
      </c>
      <c r="F257" t="s">
        <v>40</v>
      </c>
      <c r="G257" t="s">
        <v>73</v>
      </c>
      <c r="H257" t="s">
        <v>42</v>
      </c>
      <c r="I257" t="e">
        <f ca="1">_xludf.XLOOKUP(H257,Base_Planos!$A:$A,Base_Planos!$B:$B,"Não encontrado")</f>
        <v>#NAME?</v>
      </c>
      <c r="J257" s="2">
        <f>VLOOKUP(H257,Base_Planos!$A:$G,4,FALSE)</f>
        <v>29.9</v>
      </c>
      <c r="K257" s="4">
        <v>45784</v>
      </c>
      <c r="L257" t="s">
        <v>97</v>
      </c>
      <c r="M257" t="s">
        <v>44</v>
      </c>
      <c r="N257" s="4"/>
      <c r="O257" s="10">
        <f t="shared" ca="1" si="22"/>
        <v>385</v>
      </c>
      <c r="P257" s="10" t="str">
        <f t="shared" ca="1" si="19"/>
        <v>Mais de 1 ano</v>
      </c>
      <c r="Q257">
        <f t="shared" si="24"/>
        <v>0</v>
      </c>
      <c r="R257">
        <v>6</v>
      </c>
      <c r="S257" s="11">
        <f t="shared" si="23"/>
        <v>0</v>
      </c>
      <c r="T257" s="11" t="str">
        <f t="shared" si="20"/>
        <v>Detrator</v>
      </c>
      <c r="U257" s="11" t="str">
        <f t="shared" si="21"/>
        <v>Alto risco</v>
      </c>
      <c r="V257">
        <v>1</v>
      </c>
      <c r="W257">
        <v>61</v>
      </c>
      <c r="X257" s="2">
        <v>26.55</v>
      </c>
      <c r="Y257">
        <v>12</v>
      </c>
      <c r="Z257" t="s">
        <v>50</v>
      </c>
    </row>
    <row r="258" spans="1:26">
      <c r="A258" t="s">
        <v>593</v>
      </c>
      <c r="B258" t="s">
        <v>408</v>
      </c>
      <c r="C258" t="s">
        <v>65</v>
      </c>
      <c r="D258" t="s">
        <v>29</v>
      </c>
      <c r="E258">
        <v>52</v>
      </c>
      <c r="F258" t="s">
        <v>40</v>
      </c>
      <c r="G258" t="s">
        <v>104</v>
      </c>
      <c r="H258" t="s">
        <v>86</v>
      </c>
      <c r="I258" t="e">
        <f ca="1">_xludf.XLOOKUP(H258,Base_Planos!$A:$A,Base_Planos!$B:$B,"Não encontrado")</f>
        <v>#NAME?</v>
      </c>
      <c r="J258" s="2">
        <f>VLOOKUP(H258,Base_Planos!$A:$G,4,FALSE)</f>
        <v>119.9</v>
      </c>
      <c r="K258" s="4">
        <v>45661</v>
      </c>
      <c r="L258" t="s">
        <v>261</v>
      </c>
      <c r="M258" t="s">
        <v>44</v>
      </c>
      <c r="N258" s="4"/>
      <c r="O258" s="10">
        <f t="shared" ca="1" si="22"/>
        <v>508</v>
      </c>
      <c r="P258" s="10" t="str">
        <f t="shared" ref="P258:P321" ca="1" si="25">IF(O258&lt;=30,"Até 30 dias",IF(O258&lt;=90,"31 a 90 dias",IF(O258&lt;=180,"91 a 180 dias",IF(O258&lt;=365,"181 a 365 dias","Mais de 1 ano"))))</f>
        <v>Mais de 1 ano</v>
      </c>
      <c r="Q258">
        <f t="shared" si="24"/>
        <v>0</v>
      </c>
      <c r="R258">
        <v>8</v>
      </c>
      <c r="S258" s="11">
        <f t="shared" si="23"/>
        <v>0</v>
      </c>
      <c r="T258" s="11" t="str">
        <f t="shared" ref="T258:T321" si="26">IF(R258&lt;=6,"Detrator",IF(R258&lt;=8,"Neutro","Promotor"))</f>
        <v>Neutro</v>
      </c>
      <c r="U258" s="11" t="str">
        <f t="shared" ref="U258:U321" si="27">IF(Q258=1,"Alto risco",IF(R258&lt;=6,"Alto risco",IF(R258&lt;=8,"Médio risco","Baixo risco")))</f>
        <v>Médio risco</v>
      </c>
      <c r="V258">
        <v>1</v>
      </c>
      <c r="W258">
        <v>73</v>
      </c>
      <c r="X258" s="2">
        <v>108.96</v>
      </c>
      <c r="Y258">
        <v>16</v>
      </c>
      <c r="Z258" t="s">
        <v>50</v>
      </c>
    </row>
    <row r="259" spans="1:26">
      <c r="A259" t="s">
        <v>594</v>
      </c>
      <c r="B259" t="s">
        <v>234</v>
      </c>
      <c r="C259" t="s">
        <v>137</v>
      </c>
      <c r="D259" t="s">
        <v>29</v>
      </c>
      <c r="E259">
        <v>34</v>
      </c>
      <c r="F259" t="s">
        <v>40</v>
      </c>
      <c r="G259" t="s">
        <v>96</v>
      </c>
      <c r="H259" t="s">
        <v>166</v>
      </c>
      <c r="I259" t="e">
        <f ca="1">_xludf.XLOOKUP(H259,Base_Planos!$A:$A,Base_Planos!$B:$B,"Não encontrado")</f>
        <v>#NAME?</v>
      </c>
      <c r="J259" s="2">
        <f>VLOOKUP(H259,Base_Planos!$A:$G,4,FALSE)</f>
        <v>399.9</v>
      </c>
      <c r="K259" s="4">
        <v>45614</v>
      </c>
      <c r="L259" t="s">
        <v>83</v>
      </c>
      <c r="M259" t="s">
        <v>44</v>
      </c>
      <c r="N259" s="4"/>
      <c r="O259" s="10">
        <f t="shared" ref="O259:O322" ca="1" si="28">IF(M259="Cancelado",N259-K259,TODAY()-K259)</f>
        <v>555</v>
      </c>
      <c r="P259" s="10" t="str">
        <f t="shared" ca="1" si="25"/>
        <v>Mais de 1 ano</v>
      </c>
      <c r="Q259">
        <f t="shared" si="24"/>
        <v>0</v>
      </c>
      <c r="R259">
        <v>10</v>
      </c>
      <c r="S259" s="11">
        <f t="shared" ref="S259:S322" si="29">IF(Q259=1,J259,0)</f>
        <v>0</v>
      </c>
      <c r="T259" s="11" t="str">
        <f t="shared" si="26"/>
        <v>Promotor</v>
      </c>
      <c r="U259" s="11" t="str">
        <f t="shared" si="27"/>
        <v>Baixo risco</v>
      </c>
      <c r="V259">
        <v>1</v>
      </c>
      <c r="W259">
        <v>70</v>
      </c>
      <c r="X259" s="2">
        <v>402.95</v>
      </c>
      <c r="Y259">
        <v>18</v>
      </c>
      <c r="Z259" t="s">
        <v>50</v>
      </c>
    </row>
    <row r="260" spans="1:26">
      <c r="A260" t="s">
        <v>595</v>
      </c>
      <c r="B260" t="s">
        <v>596</v>
      </c>
      <c r="C260" t="s">
        <v>140</v>
      </c>
      <c r="D260" t="s">
        <v>141</v>
      </c>
      <c r="E260">
        <v>55</v>
      </c>
      <c r="F260" t="s">
        <v>30</v>
      </c>
      <c r="G260" t="s">
        <v>55</v>
      </c>
      <c r="H260" t="s">
        <v>112</v>
      </c>
      <c r="I260" t="e">
        <f ca="1">_xludf.XLOOKUP(H260,Base_Planos!$A:$A,Base_Planos!$B:$B,"Não encontrado")</f>
        <v>#NAME?</v>
      </c>
      <c r="J260" s="2">
        <f>VLOOKUP(H260,Base_Planos!$A:$G,4,FALSE)</f>
        <v>79.900000000000006</v>
      </c>
      <c r="K260" s="4">
        <v>46122</v>
      </c>
      <c r="L260" t="s">
        <v>43</v>
      </c>
      <c r="M260" t="s">
        <v>44</v>
      </c>
      <c r="N260" s="4"/>
      <c r="O260" s="10">
        <f t="shared" ca="1" si="28"/>
        <v>47</v>
      </c>
      <c r="P260" s="10" t="str">
        <f t="shared" ca="1" si="25"/>
        <v>31 a 90 dias</v>
      </c>
      <c r="Q260">
        <f t="shared" si="24"/>
        <v>0</v>
      </c>
      <c r="R260">
        <v>9</v>
      </c>
      <c r="S260" s="11">
        <f t="shared" si="29"/>
        <v>0</v>
      </c>
      <c r="T260" s="11" t="str">
        <f t="shared" si="26"/>
        <v>Promotor</v>
      </c>
      <c r="U260" s="11" t="str">
        <f t="shared" si="27"/>
        <v>Baixo risco</v>
      </c>
      <c r="V260">
        <v>2</v>
      </c>
      <c r="W260">
        <v>53</v>
      </c>
      <c r="X260" s="2">
        <v>81.78</v>
      </c>
      <c r="Y260">
        <v>1</v>
      </c>
      <c r="Z260" t="s">
        <v>50</v>
      </c>
    </row>
    <row r="261" spans="1:26">
      <c r="A261" t="s">
        <v>597</v>
      </c>
      <c r="B261" t="s">
        <v>366</v>
      </c>
      <c r="C261" t="s">
        <v>140</v>
      </c>
      <c r="D261" t="s">
        <v>141</v>
      </c>
      <c r="E261">
        <v>44</v>
      </c>
      <c r="F261" t="s">
        <v>30</v>
      </c>
      <c r="G261" t="s">
        <v>96</v>
      </c>
      <c r="H261" t="s">
        <v>32</v>
      </c>
      <c r="I261" t="e">
        <f ca="1">_xludf.XLOOKUP(H261,Base_Planos!$A:$A,Base_Planos!$B:$B,"Não encontrado")</f>
        <v>#NAME?</v>
      </c>
      <c r="J261" s="2">
        <f>VLOOKUP(H261,Base_Planos!$A:$G,4,FALSE)</f>
        <v>39.9</v>
      </c>
      <c r="K261" s="4">
        <v>45337</v>
      </c>
      <c r="L261" t="s">
        <v>297</v>
      </c>
      <c r="M261" t="s">
        <v>44</v>
      </c>
      <c r="N261" s="4"/>
      <c r="O261" s="10">
        <f t="shared" ca="1" si="28"/>
        <v>832</v>
      </c>
      <c r="P261" s="10" t="str">
        <f t="shared" ca="1" si="25"/>
        <v>Mais de 1 ano</v>
      </c>
      <c r="Q261">
        <f t="shared" si="24"/>
        <v>0</v>
      </c>
      <c r="R261">
        <v>5</v>
      </c>
      <c r="S261" s="11">
        <f t="shared" si="29"/>
        <v>0</v>
      </c>
      <c r="T261" s="11" t="str">
        <f t="shared" si="26"/>
        <v>Detrator</v>
      </c>
      <c r="U261" s="11" t="str">
        <f t="shared" si="27"/>
        <v>Alto risco</v>
      </c>
      <c r="V261">
        <v>3</v>
      </c>
      <c r="W261">
        <v>76</v>
      </c>
      <c r="X261" s="2">
        <v>36.44</v>
      </c>
      <c r="Y261">
        <v>27</v>
      </c>
      <c r="Z261" t="s">
        <v>35</v>
      </c>
    </row>
    <row r="262" spans="1:26">
      <c r="A262" t="s">
        <v>598</v>
      </c>
      <c r="B262" t="s">
        <v>599</v>
      </c>
      <c r="C262" t="s">
        <v>48</v>
      </c>
      <c r="D262" t="s">
        <v>29</v>
      </c>
      <c r="E262">
        <v>23</v>
      </c>
      <c r="F262" t="s">
        <v>54</v>
      </c>
      <c r="G262" t="s">
        <v>96</v>
      </c>
      <c r="H262" t="s">
        <v>42</v>
      </c>
      <c r="I262" t="e">
        <f ca="1">_xludf.XLOOKUP(H262,Base_Planos!$A:$A,Base_Planos!$B:$B,"Não encontrado")</f>
        <v>#NAME?</v>
      </c>
      <c r="J262" s="2">
        <f>VLOOKUP(H262,Base_Planos!$A:$G,4,FALSE)</f>
        <v>29.9</v>
      </c>
      <c r="K262" s="4">
        <v>45045</v>
      </c>
      <c r="L262" t="s">
        <v>118</v>
      </c>
      <c r="M262" t="s">
        <v>44</v>
      </c>
      <c r="N262" s="4"/>
      <c r="O262" s="10">
        <f t="shared" ca="1" si="28"/>
        <v>1124</v>
      </c>
      <c r="P262" s="10" t="str">
        <f t="shared" ca="1" si="25"/>
        <v>Mais de 1 ano</v>
      </c>
      <c r="Q262">
        <f t="shared" si="24"/>
        <v>0</v>
      </c>
      <c r="R262">
        <v>0</v>
      </c>
      <c r="S262" s="11">
        <f t="shared" si="29"/>
        <v>0</v>
      </c>
      <c r="T262" s="11" t="str">
        <f t="shared" si="26"/>
        <v>Detrator</v>
      </c>
      <c r="U262" s="11" t="str">
        <f t="shared" si="27"/>
        <v>Alto risco</v>
      </c>
      <c r="V262">
        <v>1</v>
      </c>
      <c r="W262">
        <v>62</v>
      </c>
      <c r="X262" s="2">
        <v>26.36</v>
      </c>
      <c r="Y262">
        <v>37</v>
      </c>
      <c r="Z262" t="s">
        <v>35</v>
      </c>
    </row>
    <row r="263" spans="1:26">
      <c r="A263" t="s">
        <v>600</v>
      </c>
      <c r="B263" t="s">
        <v>469</v>
      </c>
      <c r="C263" t="s">
        <v>94</v>
      </c>
      <c r="D263" t="s">
        <v>95</v>
      </c>
      <c r="E263">
        <v>57</v>
      </c>
      <c r="F263" t="s">
        <v>54</v>
      </c>
      <c r="G263" t="s">
        <v>41</v>
      </c>
      <c r="H263" t="s">
        <v>112</v>
      </c>
      <c r="I263" t="e">
        <f ca="1">_xludf.XLOOKUP(H263,Base_Planos!$A:$A,Base_Planos!$B:$B,"Não encontrado")</f>
        <v>#NAME?</v>
      </c>
      <c r="J263" s="2">
        <f>VLOOKUP(H263,Base_Planos!$A:$G,4,FALSE)</f>
        <v>79.900000000000006</v>
      </c>
      <c r="K263" s="4">
        <v>45904</v>
      </c>
      <c r="L263" t="s">
        <v>189</v>
      </c>
      <c r="M263" t="s">
        <v>44</v>
      </c>
      <c r="N263" s="4"/>
      <c r="O263" s="10">
        <f t="shared" ca="1" si="28"/>
        <v>265</v>
      </c>
      <c r="P263" s="10" t="str">
        <f t="shared" ca="1" si="25"/>
        <v>181 a 365 dias</v>
      </c>
      <c r="Q263">
        <f t="shared" si="24"/>
        <v>0</v>
      </c>
      <c r="R263">
        <v>6</v>
      </c>
      <c r="S263" s="11">
        <f t="shared" si="29"/>
        <v>0</v>
      </c>
      <c r="T263" s="11" t="str">
        <f t="shared" si="26"/>
        <v>Detrator</v>
      </c>
      <c r="U263" s="11" t="str">
        <f t="shared" si="27"/>
        <v>Alto risco</v>
      </c>
      <c r="V263">
        <v>1</v>
      </c>
      <c r="W263">
        <v>58</v>
      </c>
      <c r="X263" s="2">
        <v>82.17</v>
      </c>
      <c r="Y263">
        <v>8</v>
      </c>
      <c r="Z263" t="s">
        <v>35</v>
      </c>
    </row>
    <row r="264" spans="1:26">
      <c r="A264" t="s">
        <v>601</v>
      </c>
      <c r="B264" t="s">
        <v>602</v>
      </c>
      <c r="C264" t="s">
        <v>59</v>
      </c>
      <c r="D264" t="s">
        <v>60</v>
      </c>
      <c r="E264">
        <v>19</v>
      </c>
      <c r="F264" t="s">
        <v>40</v>
      </c>
      <c r="G264" t="s">
        <v>31</v>
      </c>
      <c r="H264" t="s">
        <v>42</v>
      </c>
      <c r="I264" t="e">
        <f ca="1">_xludf.XLOOKUP(H264,Base_Planos!$A:$A,Base_Planos!$B:$B,"Não encontrado")</f>
        <v>#NAME?</v>
      </c>
      <c r="J264" s="2">
        <f>VLOOKUP(H264,Base_Planos!$A:$G,4,FALSE)</f>
        <v>29.9</v>
      </c>
      <c r="K264" s="4">
        <v>45632</v>
      </c>
      <c r="L264" t="s">
        <v>49</v>
      </c>
      <c r="M264" t="s">
        <v>34</v>
      </c>
      <c r="N264" s="4">
        <v>46083</v>
      </c>
      <c r="O264" s="10">
        <f t="shared" ca="1" si="28"/>
        <v>451</v>
      </c>
      <c r="P264" s="10" t="str">
        <f t="shared" ca="1" si="25"/>
        <v>Mais de 1 ano</v>
      </c>
      <c r="Q264">
        <f t="shared" si="24"/>
        <v>1</v>
      </c>
      <c r="R264">
        <v>4</v>
      </c>
      <c r="S264" s="11">
        <f t="shared" si="29"/>
        <v>29.9</v>
      </c>
      <c r="T264" s="11" t="str">
        <f t="shared" si="26"/>
        <v>Detrator</v>
      </c>
      <c r="U264" s="11" t="str">
        <f t="shared" si="27"/>
        <v>Alto risco</v>
      </c>
      <c r="V264">
        <v>1</v>
      </c>
      <c r="W264">
        <v>76</v>
      </c>
      <c r="X264" s="2">
        <v>31.09</v>
      </c>
      <c r="Y264">
        <v>15</v>
      </c>
      <c r="Z264" t="s">
        <v>35</v>
      </c>
    </row>
    <row r="265" spans="1:26">
      <c r="A265" t="s">
        <v>603</v>
      </c>
      <c r="B265" t="s">
        <v>604</v>
      </c>
      <c r="C265" t="s">
        <v>90</v>
      </c>
      <c r="D265" t="s">
        <v>29</v>
      </c>
      <c r="E265">
        <v>51</v>
      </c>
      <c r="F265" t="s">
        <v>30</v>
      </c>
      <c r="G265" t="s">
        <v>96</v>
      </c>
      <c r="H265" t="s">
        <v>112</v>
      </c>
      <c r="I265" t="e">
        <f ca="1">_xludf.XLOOKUP(H265,Base_Planos!$A:$A,Base_Planos!$B:$B,"Não encontrado")</f>
        <v>#NAME?</v>
      </c>
      <c r="J265" s="2">
        <f>VLOOKUP(H265,Base_Planos!$A:$G,4,FALSE)</f>
        <v>79.900000000000006</v>
      </c>
      <c r="K265" s="4">
        <v>45930</v>
      </c>
      <c r="L265" t="s">
        <v>189</v>
      </c>
      <c r="M265" t="s">
        <v>44</v>
      </c>
      <c r="N265" s="4"/>
      <c r="O265" s="10">
        <f t="shared" ca="1" si="28"/>
        <v>239</v>
      </c>
      <c r="P265" s="10" t="str">
        <f t="shared" ca="1" si="25"/>
        <v>181 a 365 dias</v>
      </c>
      <c r="Q265">
        <f t="shared" si="24"/>
        <v>0</v>
      </c>
      <c r="R265">
        <v>5</v>
      </c>
      <c r="S265" s="11">
        <f t="shared" si="29"/>
        <v>0</v>
      </c>
      <c r="T265" s="11" t="str">
        <f t="shared" si="26"/>
        <v>Detrator</v>
      </c>
      <c r="U265" s="11" t="str">
        <f t="shared" si="27"/>
        <v>Alto risco</v>
      </c>
      <c r="V265">
        <v>3</v>
      </c>
      <c r="W265">
        <v>40</v>
      </c>
      <c r="X265" s="2">
        <v>68.22</v>
      </c>
      <c r="Y265">
        <v>7</v>
      </c>
      <c r="Z265" t="s">
        <v>45</v>
      </c>
    </row>
    <row r="266" spans="1:26">
      <c r="A266" t="s">
        <v>605</v>
      </c>
      <c r="B266" t="s">
        <v>606</v>
      </c>
      <c r="C266" t="s">
        <v>59</v>
      </c>
      <c r="D266" t="s">
        <v>60</v>
      </c>
      <c r="E266">
        <v>64</v>
      </c>
      <c r="F266" t="s">
        <v>30</v>
      </c>
      <c r="G266" t="s">
        <v>96</v>
      </c>
      <c r="H266" t="s">
        <v>32</v>
      </c>
      <c r="I266" t="e">
        <f ca="1">_xludf.XLOOKUP(H266,Base_Planos!$A:$A,Base_Planos!$B:$B,"Não encontrado")</f>
        <v>#NAME?</v>
      </c>
      <c r="J266" s="2">
        <f>VLOOKUP(H266,Base_Planos!$A:$G,4,FALSE)</f>
        <v>39.9</v>
      </c>
      <c r="K266" s="4">
        <v>45003</v>
      </c>
      <c r="L266" t="s">
        <v>68</v>
      </c>
      <c r="M266" t="s">
        <v>34</v>
      </c>
      <c r="N266" s="4">
        <v>45131</v>
      </c>
      <c r="O266" s="10">
        <f t="shared" ca="1" si="28"/>
        <v>128</v>
      </c>
      <c r="P266" s="10" t="str">
        <f t="shared" ca="1" si="25"/>
        <v>91 a 180 dias</v>
      </c>
      <c r="Q266">
        <f t="shared" si="24"/>
        <v>1</v>
      </c>
      <c r="R266">
        <v>6</v>
      </c>
      <c r="S266" s="11">
        <f t="shared" si="29"/>
        <v>39.9</v>
      </c>
      <c r="T266" s="11" t="str">
        <f t="shared" si="26"/>
        <v>Detrator</v>
      </c>
      <c r="U266" s="11" t="str">
        <f t="shared" si="27"/>
        <v>Alto risco</v>
      </c>
      <c r="V266">
        <v>0</v>
      </c>
      <c r="W266">
        <v>41</v>
      </c>
      <c r="X266" s="2">
        <v>39.130000000000003</v>
      </c>
      <c r="Y266">
        <v>4</v>
      </c>
      <c r="Z266" t="s">
        <v>35</v>
      </c>
    </row>
    <row r="267" spans="1:26">
      <c r="A267" t="s">
        <v>607</v>
      </c>
      <c r="B267" t="s">
        <v>271</v>
      </c>
      <c r="C267" t="s">
        <v>137</v>
      </c>
      <c r="D267" t="s">
        <v>29</v>
      </c>
      <c r="E267">
        <v>25</v>
      </c>
      <c r="F267" t="s">
        <v>54</v>
      </c>
      <c r="G267" t="s">
        <v>41</v>
      </c>
      <c r="H267" t="s">
        <v>32</v>
      </c>
      <c r="I267" t="e">
        <f ca="1">_xludf.XLOOKUP(H267,Base_Planos!$A:$A,Base_Planos!$B:$B,"Não encontrado")</f>
        <v>#NAME?</v>
      </c>
      <c r="J267" s="2">
        <f>VLOOKUP(H267,Base_Planos!$A:$G,4,FALSE)</f>
        <v>39.9</v>
      </c>
      <c r="K267" s="4">
        <v>45444</v>
      </c>
      <c r="L267" t="s">
        <v>145</v>
      </c>
      <c r="M267" t="s">
        <v>34</v>
      </c>
      <c r="N267" s="4">
        <v>45904</v>
      </c>
      <c r="O267" s="10">
        <f t="shared" ca="1" si="28"/>
        <v>460</v>
      </c>
      <c r="P267" s="10" t="str">
        <f t="shared" ca="1" si="25"/>
        <v>Mais de 1 ano</v>
      </c>
      <c r="Q267">
        <f t="shared" si="24"/>
        <v>1</v>
      </c>
      <c r="R267">
        <v>7</v>
      </c>
      <c r="S267" s="11">
        <f t="shared" si="29"/>
        <v>39.9</v>
      </c>
      <c r="T267" s="11" t="str">
        <f t="shared" si="26"/>
        <v>Neutro</v>
      </c>
      <c r="U267" s="11" t="str">
        <f t="shared" si="27"/>
        <v>Alto risco</v>
      </c>
      <c r="V267">
        <v>1</v>
      </c>
      <c r="W267">
        <v>38</v>
      </c>
      <c r="X267" s="2">
        <v>39.200000000000003</v>
      </c>
      <c r="Y267">
        <v>15</v>
      </c>
      <c r="Z267" t="s">
        <v>50</v>
      </c>
    </row>
    <row r="268" spans="1:26">
      <c r="A268" t="s">
        <v>608</v>
      </c>
      <c r="B268" t="s">
        <v>609</v>
      </c>
      <c r="C268" t="s">
        <v>90</v>
      </c>
      <c r="D268" t="s">
        <v>29</v>
      </c>
      <c r="E268">
        <v>62</v>
      </c>
      <c r="F268" t="s">
        <v>30</v>
      </c>
      <c r="G268" t="s">
        <v>55</v>
      </c>
      <c r="H268" t="s">
        <v>112</v>
      </c>
      <c r="I268" t="e">
        <f ca="1">_xludf.XLOOKUP(H268,Base_Planos!$A:$A,Base_Planos!$B:$B,"Não encontrado")</f>
        <v>#NAME?</v>
      </c>
      <c r="J268" s="2">
        <f>VLOOKUP(H268,Base_Planos!$A:$G,4,FALSE)</f>
        <v>79.900000000000006</v>
      </c>
      <c r="K268" s="4">
        <v>45168</v>
      </c>
      <c r="L268" t="s">
        <v>162</v>
      </c>
      <c r="M268" t="s">
        <v>34</v>
      </c>
      <c r="N268" s="4">
        <v>45467</v>
      </c>
      <c r="O268" s="10">
        <f t="shared" ca="1" si="28"/>
        <v>299</v>
      </c>
      <c r="P268" s="10" t="str">
        <f t="shared" ca="1" si="25"/>
        <v>181 a 365 dias</v>
      </c>
      <c r="Q268">
        <f t="shared" si="24"/>
        <v>1</v>
      </c>
      <c r="R268">
        <v>4</v>
      </c>
      <c r="S268" s="11">
        <f t="shared" si="29"/>
        <v>79.900000000000006</v>
      </c>
      <c r="T268" s="11" t="str">
        <f t="shared" si="26"/>
        <v>Detrator</v>
      </c>
      <c r="U268" s="11" t="str">
        <f t="shared" si="27"/>
        <v>Alto risco</v>
      </c>
      <c r="V268">
        <v>0</v>
      </c>
      <c r="W268">
        <v>65</v>
      </c>
      <c r="X268" s="2">
        <v>83.47</v>
      </c>
      <c r="Y268">
        <v>9</v>
      </c>
      <c r="Z268" t="s">
        <v>35</v>
      </c>
    </row>
    <row r="269" spans="1:26">
      <c r="A269" t="s">
        <v>610</v>
      </c>
      <c r="B269" t="s">
        <v>611</v>
      </c>
      <c r="C269" t="s">
        <v>140</v>
      </c>
      <c r="D269" t="s">
        <v>141</v>
      </c>
      <c r="E269">
        <v>28</v>
      </c>
      <c r="F269" t="s">
        <v>30</v>
      </c>
      <c r="G269" t="s">
        <v>104</v>
      </c>
      <c r="H269" t="s">
        <v>86</v>
      </c>
      <c r="I269" t="e">
        <f ca="1">_xludf.XLOOKUP(H269,Base_Planos!$A:$A,Base_Planos!$B:$B,"Não encontrado")</f>
        <v>#NAME?</v>
      </c>
      <c r="J269" s="2">
        <f>VLOOKUP(H269,Base_Planos!$A:$G,4,FALSE)</f>
        <v>119.9</v>
      </c>
      <c r="K269" s="4">
        <v>45911</v>
      </c>
      <c r="L269" t="s">
        <v>189</v>
      </c>
      <c r="M269" t="s">
        <v>34</v>
      </c>
      <c r="N269" s="4">
        <v>46087</v>
      </c>
      <c r="O269" s="10">
        <f t="shared" ca="1" si="28"/>
        <v>176</v>
      </c>
      <c r="P269" s="10" t="str">
        <f t="shared" ca="1" si="25"/>
        <v>91 a 180 dias</v>
      </c>
      <c r="Q269">
        <f t="shared" si="24"/>
        <v>1</v>
      </c>
      <c r="R269">
        <v>5</v>
      </c>
      <c r="S269" s="11">
        <f t="shared" si="29"/>
        <v>119.9</v>
      </c>
      <c r="T269" s="11" t="str">
        <f t="shared" si="26"/>
        <v>Detrator</v>
      </c>
      <c r="U269" s="11" t="str">
        <f t="shared" si="27"/>
        <v>Alto risco</v>
      </c>
      <c r="V269">
        <v>0</v>
      </c>
      <c r="W269">
        <v>61</v>
      </c>
      <c r="X269" s="2">
        <v>105.49</v>
      </c>
      <c r="Y269">
        <v>5</v>
      </c>
      <c r="Z269" t="s">
        <v>50</v>
      </c>
    </row>
    <row r="270" spans="1:26">
      <c r="A270" t="s">
        <v>612</v>
      </c>
      <c r="B270" t="s">
        <v>613</v>
      </c>
      <c r="C270" t="s">
        <v>102</v>
      </c>
      <c r="D270" t="s">
        <v>103</v>
      </c>
      <c r="E270">
        <v>64</v>
      </c>
      <c r="F270" t="s">
        <v>40</v>
      </c>
      <c r="G270" t="s">
        <v>73</v>
      </c>
      <c r="H270" t="s">
        <v>61</v>
      </c>
      <c r="I270" t="e">
        <f ca="1">_xludf.XLOOKUP(H270,Base_Planos!$A:$A,Base_Planos!$B:$B,"Não encontrado")</f>
        <v>#NAME?</v>
      </c>
      <c r="J270" s="2">
        <f>VLOOKUP(H270,Base_Planos!$A:$G,4,FALSE)</f>
        <v>59.9</v>
      </c>
      <c r="K270" s="4">
        <v>45862</v>
      </c>
      <c r="L270" t="s">
        <v>212</v>
      </c>
      <c r="M270" t="s">
        <v>44</v>
      </c>
      <c r="N270" s="4"/>
      <c r="O270" s="10">
        <f t="shared" ca="1" si="28"/>
        <v>307</v>
      </c>
      <c r="P270" s="10" t="str">
        <f t="shared" ca="1" si="25"/>
        <v>181 a 365 dias</v>
      </c>
      <c r="Q270">
        <f t="shared" si="24"/>
        <v>0</v>
      </c>
      <c r="R270">
        <v>4</v>
      </c>
      <c r="S270" s="11">
        <f t="shared" si="29"/>
        <v>0</v>
      </c>
      <c r="T270" s="11" t="str">
        <f t="shared" si="26"/>
        <v>Detrator</v>
      </c>
      <c r="U270" s="11" t="str">
        <f t="shared" si="27"/>
        <v>Alto risco</v>
      </c>
      <c r="V270">
        <v>2</v>
      </c>
      <c r="W270">
        <v>65</v>
      </c>
      <c r="X270" s="2">
        <v>61.12</v>
      </c>
      <c r="Y270">
        <v>10</v>
      </c>
      <c r="Z270" t="s">
        <v>45</v>
      </c>
    </row>
    <row r="271" spans="1:26">
      <c r="A271" t="s">
        <v>614</v>
      </c>
      <c r="B271" t="s">
        <v>615</v>
      </c>
      <c r="C271" t="s">
        <v>71</v>
      </c>
      <c r="D271" t="s">
        <v>72</v>
      </c>
      <c r="E271">
        <v>65</v>
      </c>
      <c r="F271" t="s">
        <v>30</v>
      </c>
      <c r="G271" t="s">
        <v>67</v>
      </c>
      <c r="H271" t="s">
        <v>32</v>
      </c>
      <c r="I271" t="e">
        <f ca="1">_xludf.XLOOKUP(H271,Base_Planos!$A:$A,Base_Planos!$B:$B,"Não encontrado")</f>
        <v>#NAME?</v>
      </c>
      <c r="J271" s="2">
        <f>VLOOKUP(H271,Base_Planos!$A:$G,4,FALSE)</f>
        <v>39.9</v>
      </c>
      <c r="K271" s="4">
        <v>45210</v>
      </c>
      <c r="L271" t="s">
        <v>215</v>
      </c>
      <c r="M271" t="s">
        <v>44</v>
      </c>
      <c r="N271" s="4"/>
      <c r="O271" s="10">
        <f t="shared" ca="1" si="28"/>
        <v>959</v>
      </c>
      <c r="P271" s="10" t="str">
        <f t="shared" ca="1" si="25"/>
        <v>Mais de 1 ano</v>
      </c>
      <c r="Q271">
        <f t="shared" si="24"/>
        <v>0</v>
      </c>
      <c r="R271">
        <v>10</v>
      </c>
      <c r="S271" s="11">
        <f t="shared" si="29"/>
        <v>0</v>
      </c>
      <c r="T271" s="11" t="str">
        <f t="shared" si="26"/>
        <v>Promotor</v>
      </c>
      <c r="U271" s="11" t="str">
        <f t="shared" si="27"/>
        <v>Baixo risco</v>
      </c>
      <c r="V271">
        <v>2</v>
      </c>
      <c r="W271">
        <v>37</v>
      </c>
      <c r="X271" s="2">
        <v>36.06</v>
      </c>
      <c r="Y271">
        <v>31</v>
      </c>
      <c r="Z271" t="s">
        <v>35</v>
      </c>
    </row>
    <row r="272" spans="1:26">
      <c r="A272" t="s">
        <v>616</v>
      </c>
      <c r="B272" t="s">
        <v>242</v>
      </c>
      <c r="C272" t="s">
        <v>108</v>
      </c>
      <c r="D272" t="s">
        <v>109</v>
      </c>
      <c r="E272">
        <v>39</v>
      </c>
      <c r="F272" t="s">
        <v>30</v>
      </c>
      <c r="G272" t="s">
        <v>41</v>
      </c>
      <c r="H272" t="s">
        <v>112</v>
      </c>
      <c r="I272" t="e">
        <f ca="1">_xludf.XLOOKUP(H272,Base_Planos!$A:$A,Base_Planos!$B:$B,"Não encontrado")</f>
        <v>#NAME?</v>
      </c>
      <c r="J272" s="2">
        <f>VLOOKUP(H272,Base_Planos!$A:$G,4,FALSE)</f>
        <v>79.900000000000006</v>
      </c>
      <c r="K272" s="4">
        <v>45861</v>
      </c>
      <c r="L272" t="s">
        <v>212</v>
      </c>
      <c r="M272" t="s">
        <v>44</v>
      </c>
      <c r="N272" s="4"/>
      <c r="O272" s="10">
        <f t="shared" ca="1" si="28"/>
        <v>308</v>
      </c>
      <c r="P272" s="10" t="str">
        <f t="shared" ca="1" si="25"/>
        <v>181 a 365 dias</v>
      </c>
      <c r="Q272">
        <f t="shared" si="24"/>
        <v>0</v>
      </c>
      <c r="R272">
        <v>4</v>
      </c>
      <c r="S272" s="11">
        <f t="shared" si="29"/>
        <v>0</v>
      </c>
      <c r="T272" s="11" t="str">
        <f t="shared" si="26"/>
        <v>Detrator</v>
      </c>
      <c r="U272" s="11" t="str">
        <f t="shared" si="27"/>
        <v>Alto risco</v>
      </c>
      <c r="V272">
        <v>0</v>
      </c>
      <c r="W272">
        <v>20</v>
      </c>
      <c r="X272" s="2">
        <v>82.08</v>
      </c>
      <c r="Y272">
        <v>10</v>
      </c>
      <c r="Z272" t="s">
        <v>45</v>
      </c>
    </row>
    <row r="273" spans="1:26">
      <c r="A273" t="s">
        <v>617</v>
      </c>
      <c r="B273" t="s">
        <v>618</v>
      </c>
      <c r="C273" t="s">
        <v>94</v>
      </c>
      <c r="D273" t="s">
        <v>95</v>
      </c>
      <c r="E273">
        <v>62</v>
      </c>
      <c r="F273" t="s">
        <v>40</v>
      </c>
      <c r="G273" t="s">
        <v>96</v>
      </c>
      <c r="H273" t="s">
        <v>32</v>
      </c>
      <c r="I273" t="e">
        <f ca="1">_xludf.XLOOKUP(H273,Base_Planos!$A:$A,Base_Planos!$B:$B,"Não encontrado")</f>
        <v>#NAME?</v>
      </c>
      <c r="J273" s="2">
        <f>VLOOKUP(H273,Base_Planos!$A:$G,4,FALSE)</f>
        <v>39.9</v>
      </c>
      <c r="K273" s="4">
        <v>46136</v>
      </c>
      <c r="L273" t="s">
        <v>43</v>
      </c>
      <c r="M273" t="s">
        <v>44</v>
      </c>
      <c r="N273" s="4"/>
      <c r="O273" s="10">
        <f t="shared" ca="1" si="28"/>
        <v>33</v>
      </c>
      <c r="P273" s="10" t="str">
        <f t="shared" ca="1" si="25"/>
        <v>31 a 90 dias</v>
      </c>
      <c r="Q273">
        <f t="shared" si="24"/>
        <v>0</v>
      </c>
      <c r="R273">
        <v>7</v>
      </c>
      <c r="S273" s="11">
        <f t="shared" si="29"/>
        <v>0</v>
      </c>
      <c r="T273" s="11" t="str">
        <f t="shared" si="26"/>
        <v>Neutro</v>
      </c>
      <c r="U273" s="11" t="str">
        <f t="shared" si="27"/>
        <v>Médio risco</v>
      </c>
      <c r="V273">
        <v>0</v>
      </c>
      <c r="W273">
        <v>17</v>
      </c>
      <c r="X273" s="2">
        <v>36.78</v>
      </c>
      <c r="Y273">
        <v>1</v>
      </c>
      <c r="Z273" t="s">
        <v>35</v>
      </c>
    </row>
    <row r="274" spans="1:26">
      <c r="A274" t="s">
        <v>619</v>
      </c>
      <c r="B274" t="s">
        <v>620</v>
      </c>
      <c r="C274" t="s">
        <v>77</v>
      </c>
      <c r="D274" t="s">
        <v>78</v>
      </c>
      <c r="E274">
        <v>49</v>
      </c>
      <c r="F274" t="s">
        <v>30</v>
      </c>
      <c r="G274" t="s">
        <v>41</v>
      </c>
      <c r="H274" t="s">
        <v>112</v>
      </c>
      <c r="I274" t="e">
        <f ca="1">_xludf.XLOOKUP(H274,Base_Planos!$A:$A,Base_Planos!$B:$B,"Não encontrado")</f>
        <v>#NAME?</v>
      </c>
      <c r="J274" s="2">
        <f>VLOOKUP(H274,Base_Planos!$A:$G,4,FALSE)</f>
        <v>79.900000000000006</v>
      </c>
      <c r="K274" s="4">
        <v>45056</v>
      </c>
      <c r="L274" t="s">
        <v>115</v>
      </c>
      <c r="M274" t="s">
        <v>44</v>
      </c>
      <c r="N274" s="4"/>
      <c r="O274" s="10">
        <f t="shared" ca="1" si="28"/>
        <v>1113</v>
      </c>
      <c r="P274" s="10" t="str">
        <f t="shared" ca="1" si="25"/>
        <v>Mais de 1 ano</v>
      </c>
      <c r="Q274">
        <f t="shared" si="24"/>
        <v>0</v>
      </c>
      <c r="R274">
        <v>4</v>
      </c>
      <c r="S274" s="11">
        <f t="shared" si="29"/>
        <v>0</v>
      </c>
      <c r="T274" s="11" t="str">
        <f t="shared" si="26"/>
        <v>Detrator</v>
      </c>
      <c r="U274" s="11" t="str">
        <f t="shared" si="27"/>
        <v>Alto risco</v>
      </c>
      <c r="V274">
        <v>2</v>
      </c>
      <c r="W274">
        <v>53</v>
      </c>
      <c r="X274" s="2">
        <v>79.8</v>
      </c>
      <c r="Y274">
        <v>37</v>
      </c>
      <c r="Z274" t="s">
        <v>45</v>
      </c>
    </row>
    <row r="275" spans="1:26">
      <c r="A275" t="s">
        <v>621</v>
      </c>
      <c r="B275" t="s">
        <v>622</v>
      </c>
      <c r="C275" t="s">
        <v>59</v>
      </c>
      <c r="D275" t="s">
        <v>60</v>
      </c>
      <c r="E275">
        <v>60</v>
      </c>
      <c r="F275" t="s">
        <v>66</v>
      </c>
      <c r="G275" t="s">
        <v>55</v>
      </c>
      <c r="H275" t="s">
        <v>112</v>
      </c>
      <c r="I275" t="e">
        <f ca="1">_xludf.XLOOKUP(H275,Base_Planos!$A:$A,Base_Planos!$B:$B,"Não encontrado")</f>
        <v>#NAME?</v>
      </c>
      <c r="J275" s="2">
        <f>VLOOKUP(H275,Base_Planos!$A:$G,4,FALSE)</f>
        <v>79.900000000000006</v>
      </c>
      <c r="K275" s="4">
        <v>45436</v>
      </c>
      <c r="L275" t="s">
        <v>130</v>
      </c>
      <c r="M275" t="s">
        <v>44</v>
      </c>
      <c r="N275" s="4"/>
      <c r="O275" s="10">
        <f t="shared" ca="1" si="28"/>
        <v>733</v>
      </c>
      <c r="P275" s="10" t="str">
        <f t="shared" ca="1" si="25"/>
        <v>Mais de 1 ano</v>
      </c>
      <c r="Q275">
        <f t="shared" si="24"/>
        <v>0</v>
      </c>
      <c r="R275">
        <v>7</v>
      </c>
      <c r="S275" s="11">
        <f t="shared" si="29"/>
        <v>0</v>
      </c>
      <c r="T275" s="11" t="str">
        <f t="shared" si="26"/>
        <v>Neutro</v>
      </c>
      <c r="U275" s="11" t="str">
        <f t="shared" si="27"/>
        <v>Médio risco</v>
      </c>
      <c r="V275">
        <v>0</v>
      </c>
      <c r="W275">
        <v>91</v>
      </c>
      <c r="X275" s="2">
        <v>76.84</v>
      </c>
      <c r="Y275">
        <v>24</v>
      </c>
      <c r="Z275" t="s">
        <v>50</v>
      </c>
    </row>
    <row r="276" spans="1:26">
      <c r="A276" t="s">
        <v>623</v>
      </c>
      <c r="B276" t="s">
        <v>624</v>
      </c>
      <c r="C276" t="s">
        <v>28</v>
      </c>
      <c r="D276" t="s">
        <v>29</v>
      </c>
      <c r="E276">
        <v>59</v>
      </c>
      <c r="F276" t="s">
        <v>66</v>
      </c>
      <c r="G276" t="s">
        <v>104</v>
      </c>
      <c r="H276" t="s">
        <v>86</v>
      </c>
      <c r="I276" t="e">
        <f ca="1">_xludf.XLOOKUP(H276,Base_Planos!$A:$A,Base_Planos!$B:$B,"Não encontrado")</f>
        <v>#NAME?</v>
      </c>
      <c r="J276" s="2">
        <f>VLOOKUP(H276,Base_Planos!$A:$G,4,FALSE)</f>
        <v>119.9</v>
      </c>
      <c r="K276" s="4">
        <v>45265</v>
      </c>
      <c r="L276" t="s">
        <v>62</v>
      </c>
      <c r="M276" t="s">
        <v>34</v>
      </c>
      <c r="N276" s="4">
        <v>45814</v>
      </c>
      <c r="O276" s="10">
        <f t="shared" ca="1" si="28"/>
        <v>549</v>
      </c>
      <c r="P276" s="10" t="str">
        <f t="shared" ca="1" si="25"/>
        <v>Mais de 1 ano</v>
      </c>
      <c r="Q276">
        <f t="shared" si="24"/>
        <v>1</v>
      </c>
      <c r="R276">
        <v>1</v>
      </c>
      <c r="S276" s="11">
        <f t="shared" si="29"/>
        <v>119.9</v>
      </c>
      <c r="T276" s="11" t="str">
        <f t="shared" si="26"/>
        <v>Detrator</v>
      </c>
      <c r="U276" s="11" t="str">
        <f t="shared" si="27"/>
        <v>Alto risco</v>
      </c>
      <c r="V276">
        <v>0</v>
      </c>
      <c r="W276">
        <v>32</v>
      </c>
      <c r="X276" s="2">
        <v>117.34</v>
      </c>
      <c r="Y276">
        <v>18</v>
      </c>
      <c r="Z276" t="s">
        <v>45</v>
      </c>
    </row>
    <row r="277" spans="1:26">
      <c r="A277" t="s">
        <v>625</v>
      </c>
      <c r="B277" t="s">
        <v>394</v>
      </c>
      <c r="C277" t="s">
        <v>102</v>
      </c>
      <c r="D277" t="s">
        <v>103</v>
      </c>
      <c r="E277">
        <v>47</v>
      </c>
      <c r="F277" t="s">
        <v>54</v>
      </c>
      <c r="G277" t="s">
        <v>104</v>
      </c>
      <c r="H277" t="s">
        <v>32</v>
      </c>
      <c r="I277" t="e">
        <f ca="1">_xludf.XLOOKUP(H277,Base_Planos!$A:$A,Base_Planos!$B:$B,"Não encontrado")</f>
        <v>#NAME?</v>
      </c>
      <c r="J277" s="2">
        <f>VLOOKUP(H277,Base_Planos!$A:$G,4,FALSE)</f>
        <v>39.9</v>
      </c>
      <c r="K277" s="4">
        <v>45947</v>
      </c>
      <c r="L277" t="s">
        <v>196</v>
      </c>
      <c r="M277" t="s">
        <v>34</v>
      </c>
      <c r="N277" s="4">
        <v>46080</v>
      </c>
      <c r="O277" s="10">
        <f t="shared" ca="1" si="28"/>
        <v>133</v>
      </c>
      <c r="P277" s="10" t="str">
        <f t="shared" ca="1" si="25"/>
        <v>91 a 180 dias</v>
      </c>
      <c r="Q277">
        <f t="shared" si="24"/>
        <v>1</v>
      </c>
      <c r="R277">
        <v>7</v>
      </c>
      <c r="S277" s="11">
        <f t="shared" si="29"/>
        <v>39.9</v>
      </c>
      <c r="T277" s="11" t="str">
        <f t="shared" si="26"/>
        <v>Neutro</v>
      </c>
      <c r="U277" s="11" t="str">
        <f t="shared" si="27"/>
        <v>Alto risco</v>
      </c>
      <c r="V277">
        <v>1</v>
      </c>
      <c r="W277">
        <v>100</v>
      </c>
      <c r="X277" s="2">
        <v>34.200000000000003</v>
      </c>
      <c r="Y277">
        <v>4</v>
      </c>
      <c r="Z277" t="s">
        <v>50</v>
      </c>
    </row>
    <row r="278" spans="1:26">
      <c r="A278" t="s">
        <v>626</v>
      </c>
      <c r="B278" t="s">
        <v>81</v>
      </c>
      <c r="C278" t="s">
        <v>53</v>
      </c>
      <c r="D278" t="s">
        <v>29</v>
      </c>
      <c r="E278">
        <v>23</v>
      </c>
      <c r="F278" t="s">
        <v>40</v>
      </c>
      <c r="G278" t="s">
        <v>73</v>
      </c>
      <c r="H278" t="s">
        <v>86</v>
      </c>
      <c r="I278" t="e">
        <f ca="1">_xludf.XLOOKUP(H278,Base_Planos!$A:$A,Base_Planos!$B:$B,"Não encontrado")</f>
        <v>#NAME?</v>
      </c>
      <c r="J278" s="2">
        <f>VLOOKUP(H278,Base_Planos!$A:$G,4,FALSE)</f>
        <v>119.9</v>
      </c>
      <c r="K278" s="4">
        <v>46078</v>
      </c>
      <c r="L278" t="s">
        <v>74</v>
      </c>
      <c r="M278" t="s">
        <v>44</v>
      </c>
      <c r="N278" s="4"/>
      <c r="O278" s="10">
        <f t="shared" ca="1" si="28"/>
        <v>91</v>
      </c>
      <c r="P278" s="10" t="str">
        <f t="shared" ca="1" si="25"/>
        <v>91 a 180 dias</v>
      </c>
      <c r="Q278">
        <f t="shared" si="24"/>
        <v>0</v>
      </c>
      <c r="R278">
        <v>3</v>
      </c>
      <c r="S278" s="11">
        <f t="shared" si="29"/>
        <v>0</v>
      </c>
      <c r="T278" s="11" t="str">
        <f t="shared" si="26"/>
        <v>Detrator</v>
      </c>
      <c r="U278" s="11" t="str">
        <f t="shared" si="27"/>
        <v>Alto risco</v>
      </c>
      <c r="V278">
        <v>0</v>
      </c>
      <c r="W278">
        <v>31</v>
      </c>
      <c r="X278" s="2">
        <v>121.5</v>
      </c>
      <c r="Y278">
        <v>3</v>
      </c>
      <c r="Z278" t="s">
        <v>35</v>
      </c>
    </row>
    <row r="279" spans="1:26">
      <c r="A279" t="s">
        <v>627</v>
      </c>
      <c r="B279" t="s">
        <v>238</v>
      </c>
      <c r="C279" t="s">
        <v>108</v>
      </c>
      <c r="D279" t="s">
        <v>109</v>
      </c>
      <c r="E279">
        <v>53</v>
      </c>
      <c r="F279" t="s">
        <v>40</v>
      </c>
      <c r="G279" t="s">
        <v>104</v>
      </c>
      <c r="H279" t="s">
        <v>82</v>
      </c>
      <c r="I279" t="e">
        <f ca="1">_xludf.XLOOKUP(H279,Base_Planos!$A:$A,Base_Planos!$B:$B,"Não encontrado")</f>
        <v>#NAME?</v>
      </c>
      <c r="J279" s="2">
        <f>VLOOKUP(H279,Base_Planos!$A:$G,4,FALSE)</f>
        <v>149.9</v>
      </c>
      <c r="K279" s="4">
        <v>45671</v>
      </c>
      <c r="L279" t="s">
        <v>261</v>
      </c>
      <c r="M279" t="s">
        <v>44</v>
      </c>
      <c r="N279" s="4"/>
      <c r="O279" s="10">
        <f t="shared" ca="1" si="28"/>
        <v>498</v>
      </c>
      <c r="P279" s="10" t="str">
        <f t="shared" ca="1" si="25"/>
        <v>Mais de 1 ano</v>
      </c>
      <c r="Q279">
        <f t="shared" si="24"/>
        <v>0</v>
      </c>
      <c r="R279">
        <v>7</v>
      </c>
      <c r="S279" s="11">
        <f t="shared" si="29"/>
        <v>0</v>
      </c>
      <c r="T279" s="11" t="str">
        <f t="shared" si="26"/>
        <v>Neutro</v>
      </c>
      <c r="U279" s="11" t="str">
        <f t="shared" si="27"/>
        <v>Médio risco</v>
      </c>
      <c r="V279">
        <v>0</v>
      </c>
      <c r="W279">
        <v>88</v>
      </c>
      <c r="X279" s="2">
        <v>152.29</v>
      </c>
      <c r="Y279">
        <v>16</v>
      </c>
      <c r="Z279" t="s">
        <v>50</v>
      </c>
    </row>
    <row r="280" spans="1:26">
      <c r="A280" t="s">
        <v>628</v>
      </c>
      <c r="B280" t="s">
        <v>629</v>
      </c>
      <c r="C280" t="s">
        <v>38</v>
      </c>
      <c r="D280" t="s">
        <v>39</v>
      </c>
      <c r="E280">
        <v>51</v>
      </c>
      <c r="F280" t="s">
        <v>54</v>
      </c>
      <c r="G280" t="s">
        <v>55</v>
      </c>
      <c r="H280" t="s">
        <v>32</v>
      </c>
      <c r="I280" t="e">
        <f ca="1">_xludf.XLOOKUP(H280,Base_Planos!$A:$A,Base_Planos!$B:$B,"Não encontrado")</f>
        <v>#NAME?</v>
      </c>
      <c r="J280" s="2">
        <f>VLOOKUP(H280,Base_Planos!$A:$G,4,FALSE)</f>
        <v>39.9</v>
      </c>
      <c r="K280" s="4">
        <v>45263</v>
      </c>
      <c r="L280" t="s">
        <v>62</v>
      </c>
      <c r="M280" t="s">
        <v>34</v>
      </c>
      <c r="N280" s="4">
        <v>45918</v>
      </c>
      <c r="O280" s="10">
        <f t="shared" ca="1" si="28"/>
        <v>655</v>
      </c>
      <c r="P280" s="10" t="str">
        <f t="shared" ca="1" si="25"/>
        <v>Mais de 1 ano</v>
      </c>
      <c r="Q280">
        <f t="shared" si="24"/>
        <v>1</v>
      </c>
      <c r="R280">
        <v>7</v>
      </c>
      <c r="S280" s="11">
        <f t="shared" si="29"/>
        <v>39.9</v>
      </c>
      <c r="T280" s="11" t="str">
        <f t="shared" si="26"/>
        <v>Neutro</v>
      </c>
      <c r="U280" s="11" t="str">
        <f t="shared" si="27"/>
        <v>Alto risco</v>
      </c>
      <c r="V280">
        <v>1</v>
      </c>
      <c r="W280">
        <v>91</v>
      </c>
      <c r="X280" s="2">
        <v>35.409999999999997</v>
      </c>
      <c r="Y280">
        <v>21</v>
      </c>
      <c r="Z280" t="s">
        <v>35</v>
      </c>
    </row>
    <row r="281" spans="1:26">
      <c r="A281" t="s">
        <v>630</v>
      </c>
      <c r="B281" t="s">
        <v>631</v>
      </c>
      <c r="C281" t="s">
        <v>59</v>
      </c>
      <c r="D281" t="s">
        <v>60</v>
      </c>
      <c r="E281">
        <v>47</v>
      </c>
      <c r="F281" t="s">
        <v>66</v>
      </c>
      <c r="G281" t="s">
        <v>31</v>
      </c>
      <c r="H281" t="s">
        <v>82</v>
      </c>
      <c r="I281" t="e">
        <f ca="1">_xludf.XLOOKUP(H281,Base_Planos!$A:$A,Base_Planos!$B:$B,"Não encontrado")</f>
        <v>#NAME?</v>
      </c>
      <c r="J281" s="2">
        <f>VLOOKUP(H281,Base_Planos!$A:$G,4,FALSE)</f>
        <v>149.9</v>
      </c>
      <c r="K281" s="4">
        <v>45147</v>
      </c>
      <c r="L281" t="s">
        <v>162</v>
      </c>
      <c r="M281" t="s">
        <v>34</v>
      </c>
      <c r="N281" s="4">
        <v>46090</v>
      </c>
      <c r="O281" s="10">
        <f t="shared" ca="1" si="28"/>
        <v>943</v>
      </c>
      <c r="P281" s="10" t="str">
        <f t="shared" ca="1" si="25"/>
        <v>Mais de 1 ano</v>
      </c>
      <c r="Q281">
        <f t="shared" si="24"/>
        <v>1</v>
      </c>
      <c r="R281">
        <v>6</v>
      </c>
      <c r="S281" s="11">
        <f t="shared" si="29"/>
        <v>149.9</v>
      </c>
      <c r="T281" s="11" t="str">
        <f t="shared" si="26"/>
        <v>Detrator</v>
      </c>
      <c r="U281" s="11" t="str">
        <f t="shared" si="27"/>
        <v>Alto risco</v>
      </c>
      <c r="V281">
        <v>1</v>
      </c>
      <c r="W281">
        <v>68</v>
      </c>
      <c r="X281" s="2">
        <v>141.13</v>
      </c>
      <c r="Y281">
        <v>31</v>
      </c>
      <c r="Z281" t="s">
        <v>35</v>
      </c>
    </row>
    <row r="282" spans="1:26">
      <c r="A282" t="s">
        <v>632</v>
      </c>
      <c r="B282" t="s">
        <v>633</v>
      </c>
      <c r="C282" t="s">
        <v>94</v>
      </c>
      <c r="D282" t="s">
        <v>95</v>
      </c>
      <c r="E282">
        <v>49</v>
      </c>
      <c r="F282" t="s">
        <v>30</v>
      </c>
      <c r="G282" t="s">
        <v>67</v>
      </c>
      <c r="H282" t="s">
        <v>61</v>
      </c>
      <c r="I282" t="e">
        <f ca="1">_xludf.XLOOKUP(H282,Base_Planos!$A:$A,Base_Planos!$B:$B,"Não encontrado")</f>
        <v>#NAME?</v>
      </c>
      <c r="J282" s="2">
        <f>VLOOKUP(H282,Base_Planos!$A:$G,4,FALSE)</f>
        <v>59.9</v>
      </c>
      <c r="K282" s="4">
        <v>45813</v>
      </c>
      <c r="L282" t="s">
        <v>167</v>
      </c>
      <c r="M282" t="s">
        <v>34</v>
      </c>
      <c r="N282" s="4">
        <v>46139</v>
      </c>
      <c r="O282" s="10">
        <f t="shared" ca="1" si="28"/>
        <v>326</v>
      </c>
      <c r="P282" s="10" t="str">
        <f t="shared" ca="1" si="25"/>
        <v>181 a 365 dias</v>
      </c>
      <c r="Q282">
        <f t="shared" si="24"/>
        <v>1</v>
      </c>
      <c r="R282">
        <v>9</v>
      </c>
      <c r="S282" s="11">
        <f t="shared" si="29"/>
        <v>59.9</v>
      </c>
      <c r="T282" s="11" t="str">
        <f t="shared" si="26"/>
        <v>Promotor</v>
      </c>
      <c r="U282" s="11" t="str">
        <f t="shared" si="27"/>
        <v>Alto risco</v>
      </c>
      <c r="V282">
        <v>3</v>
      </c>
      <c r="W282">
        <v>60</v>
      </c>
      <c r="X282" s="2">
        <v>59.67</v>
      </c>
      <c r="Y282">
        <v>10</v>
      </c>
      <c r="Z282" t="s">
        <v>50</v>
      </c>
    </row>
    <row r="283" spans="1:26">
      <c r="A283" t="s">
        <v>634</v>
      </c>
      <c r="B283" t="s">
        <v>635</v>
      </c>
      <c r="C283" t="s">
        <v>71</v>
      </c>
      <c r="D283" t="s">
        <v>72</v>
      </c>
      <c r="E283">
        <v>60</v>
      </c>
      <c r="F283" t="s">
        <v>40</v>
      </c>
      <c r="G283" t="s">
        <v>165</v>
      </c>
      <c r="H283" t="s">
        <v>112</v>
      </c>
      <c r="I283" t="e">
        <f ca="1">_xludf.XLOOKUP(H283,Base_Planos!$A:$A,Base_Planos!$B:$B,"Não encontrado")</f>
        <v>#NAME?</v>
      </c>
      <c r="J283" s="2">
        <f>VLOOKUP(H283,Base_Planos!$A:$G,4,FALSE)</f>
        <v>79.900000000000006</v>
      </c>
      <c r="K283" s="4">
        <v>45714</v>
      </c>
      <c r="L283" t="s">
        <v>289</v>
      </c>
      <c r="M283" t="s">
        <v>44</v>
      </c>
      <c r="N283" s="4"/>
      <c r="O283" s="10">
        <f t="shared" ca="1" si="28"/>
        <v>455</v>
      </c>
      <c r="P283" s="10" t="str">
        <f t="shared" ca="1" si="25"/>
        <v>Mais de 1 ano</v>
      </c>
      <c r="Q283">
        <f t="shared" si="24"/>
        <v>0</v>
      </c>
      <c r="R283">
        <v>6</v>
      </c>
      <c r="S283" s="11">
        <f t="shared" si="29"/>
        <v>0</v>
      </c>
      <c r="T283" s="11" t="str">
        <f t="shared" si="26"/>
        <v>Detrator</v>
      </c>
      <c r="U283" s="11" t="str">
        <f t="shared" si="27"/>
        <v>Alto risco</v>
      </c>
      <c r="V283">
        <v>1</v>
      </c>
      <c r="W283">
        <v>48</v>
      </c>
      <c r="X283" s="2">
        <v>83.31</v>
      </c>
      <c r="Y283">
        <v>15</v>
      </c>
      <c r="Z283" t="s">
        <v>35</v>
      </c>
    </row>
    <row r="284" spans="1:26">
      <c r="A284" t="s">
        <v>636</v>
      </c>
      <c r="B284" t="s">
        <v>637</v>
      </c>
      <c r="C284" t="s">
        <v>48</v>
      </c>
      <c r="D284" t="s">
        <v>29</v>
      </c>
      <c r="E284">
        <v>26</v>
      </c>
      <c r="F284" t="s">
        <v>30</v>
      </c>
      <c r="G284" t="s">
        <v>73</v>
      </c>
      <c r="H284" t="s">
        <v>86</v>
      </c>
      <c r="I284" t="e">
        <f ca="1">_xludf.XLOOKUP(H284,Base_Planos!$A:$A,Base_Planos!$B:$B,"Não encontrado")</f>
        <v>#NAME?</v>
      </c>
      <c r="J284" s="2">
        <f>VLOOKUP(H284,Base_Planos!$A:$G,4,FALSE)</f>
        <v>119.9</v>
      </c>
      <c r="K284" s="4">
        <v>46048</v>
      </c>
      <c r="L284" t="s">
        <v>148</v>
      </c>
      <c r="M284" t="s">
        <v>34</v>
      </c>
      <c r="N284" s="4">
        <v>46157</v>
      </c>
      <c r="O284" s="10">
        <f t="shared" ca="1" si="28"/>
        <v>109</v>
      </c>
      <c r="P284" s="10" t="str">
        <f t="shared" ca="1" si="25"/>
        <v>91 a 180 dias</v>
      </c>
      <c r="Q284">
        <f t="shared" si="24"/>
        <v>1</v>
      </c>
      <c r="R284">
        <v>5</v>
      </c>
      <c r="S284" s="11">
        <f t="shared" si="29"/>
        <v>119.9</v>
      </c>
      <c r="T284" s="11" t="str">
        <f t="shared" si="26"/>
        <v>Detrator</v>
      </c>
      <c r="U284" s="11" t="str">
        <f t="shared" si="27"/>
        <v>Alto risco</v>
      </c>
      <c r="V284">
        <v>1</v>
      </c>
      <c r="W284">
        <v>0</v>
      </c>
      <c r="X284" s="2">
        <v>118.38</v>
      </c>
      <c r="Y284">
        <v>3</v>
      </c>
      <c r="Z284" t="s">
        <v>35</v>
      </c>
    </row>
    <row r="285" spans="1:26">
      <c r="A285" t="s">
        <v>638</v>
      </c>
      <c r="B285" t="s">
        <v>639</v>
      </c>
      <c r="C285" t="s">
        <v>137</v>
      </c>
      <c r="D285" t="s">
        <v>29</v>
      </c>
      <c r="E285">
        <v>59</v>
      </c>
      <c r="F285" t="s">
        <v>201</v>
      </c>
      <c r="G285" t="s">
        <v>96</v>
      </c>
      <c r="H285" t="s">
        <v>112</v>
      </c>
      <c r="I285" t="e">
        <f ca="1">_xludf.XLOOKUP(H285,Base_Planos!$A:$A,Base_Planos!$B:$B,"Não encontrado")</f>
        <v>#NAME?</v>
      </c>
      <c r="J285" s="2">
        <f>VLOOKUP(H285,Base_Planos!$A:$G,4,FALSE)</f>
        <v>79.900000000000006</v>
      </c>
      <c r="K285" s="4">
        <v>45587</v>
      </c>
      <c r="L285" t="s">
        <v>123</v>
      </c>
      <c r="M285" t="s">
        <v>44</v>
      </c>
      <c r="N285" s="4"/>
      <c r="O285" s="10">
        <f t="shared" ca="1" si="28"/>
        <v>582</v>
      </c>
      <c r="P285" s="10" t="str">
        <f t="shared" ca="1" si="25"/>
        <v>Mais de 1 ano</v>
      </c>
      <c r="Q285">
        <f t="shared" si="24"/>
        <v>0</v>
      </c>
      <c r="R285">
        <v>1</v>
      </c>
      <c r="S285" s="11">
        <f t="shared" si="29"/>
        <v>0</v>
      </c>
      <c r="T285" s="11" t="str">
        <f t="shared" si="26"/>
        <v>Detrator</v>
      </c>
      <c r="U285" s="11" t="str">
        <f t="shared" si="27"/>
        <v>Alto risco</v>
      </c>
      <c r="V285">
        <v>1</v>
      </c>
      <c r="W285">
        <v>21</v>
      </c>
      <c r="X285" s="2">
        <v>79.260000000000005</v>
      </c>
      <c r="Y285">
        <v>19</v>
      </c>
      <c r="Z285" t="s">
        <v>45</v>
      </c>
    </row>
    <row r="286" spans="1:26">
      <c r="A286" t="s">
        <v>640</v>
      </c>
      <c r="B286" t="s">
        <v>641</v>
      </c>
      <c r="C286" t="s">
        <v>140</v>
      </c>
      <c r="D286" t="s">
        <v>141</v>
      </c>
      <c r="E286">
        <v>45</v>
      </c>
      <c r="F286" t="s">
        <v>40</v>
      </c>
      <c r="G286" t="s">
        <v>55</v>
      </c>
      <c r="H286" t="s">
        <v>32</v>
      </c>
      <c r="I286" t="e">
        <f ca="1">_xludf.XLOOKUP(H286,Base_Planos!$A:$A,Base_Planos!$B:$B,"Não encontrado")</f>
        <v>#NAME?</v>
      </c>
      <c r="J286" s="2">
        <f>VLOOKUP(H286,Base_Planos!$A:$G,4,FALSE)</f>
        <v>39.9</v>
      </c>
      <c r="K286" s="4">
        <v>45224</v>
      </c>
      <c r="L286" t="s">
        <v>215</v>
      </c>
      <c r="M286" t="s">
        <v>34</v>
      </c>
      <c r="N286" s="4">
        <v>45547</v>
      </c>
      <c r="O286" s="10">
        <f t="shared" ca="1" si="28"/>
        <v>323</v>
      </c>
      <c r="P286" s="10" t="str">
        <f t="shared" ca="1" si="25"/>
        <v>181 a 365 dias</v>
      </c>
      <c r="Q286">
        <f t="shared" si="24"/>
        <v>1</v>
      </c>
      <c r="R286">
        <v>0</v>
      </c>
      <c r="S286" s="11">
        <f t="shared" si="29"/>
        <v>39.9</v>
      </c>
      <c r="T286" s="11" t="str">
        <f t="shared" si="26"/>
        <v>Detrator</v>
      </c>
      <c r="U286" s="11" t="str">
        <f t="shared" si="27"/>
        <v>Alto risco</v>
      </c>
      <c r="V286">
        <v>1</v>
      </c>
      <c r="W286">
        <v>40</v>
      </c>
      <c r="X286" s="2">
        <v>35.08</v>
      </c>
      <c r="Y286">
        <v>10</v>
      </c>
      <c r="Z286" t="s">
        <v>35</v>
      </c>
    </row>
    <row r="287" spans="1:26">
      <c r="A287" t="s">
        <v>642</v>
      </c>
      <c r="B287" t="s">
        <v>260</v>
      </c>
      <c r="C287" t="s">
        <v>59</v>
      </c>
      <c r="D287" t="s">
        <v>60</v>
      </c>
      <c r="E287">
        <v>52</v>
      </c>
      <c r="F287" t="s">
        <v>30</v>
      </c>
      <c r="G287" t="s">
        <v>104</v>
      </c>
      <c r="H287" t="s">
        <v>32</v>
      </c>
      <c r="I287" t="e">
        <f ca="1">_xludf.XLOOKUP(H287,Base_Planos!$A:$A,Base_Planos!$B:$B,"Não encontrado")</f>
        <v>#NAME?</v>
      </c>
      <c r="J287" s="2">
        <f>VLOOKUP(H287,Base_Planos!$A:$G,4,FALSE)</f>
        <v>39.9</v>
      </c>
      <c r="K287" s="4">
        <v>46077</v>
      </c>
      <c r="L287" t="s">
        <v>74</v>
      </c>
      <c r="M287" t="s">
        <v>44</v>
      </c>
      <c r="N287" s="4"/>
      <c r="O287" s="10">
        <f t="shared" ca="1" si="28"/>
        <v>92</v>
      </c>
      <c r="P287" s="10" t="str">
        <f t="shared" ca="1" si="25"/>
        <v>91 a 180 dias</v>
      </c>
      <c r="Q287">
        <f t="shared" si="24"/>
        <v>0</v>
      </c>
      <c r="R287">
        <v>3</v>
      </c>
      <c r="S287" s="11">
        <f t="shared" si="29"/>
        <v>0</v>
      </c>
      <c r="T287" s="11" t="str">
        <f t="shared" si="26"/>
        <v>Detrator</v>
      </c>
      <c r="U287" s="11" t="str">
        <f t="shared" si="27"/>
        <v>Alto risco</v>
      </c>
      <c r="V287">
        <v>0</v>
      </c>
      <c r="W287">
        <v>21</v>
      </c>
      <c r="X287" s="2">
        <v>40.29</v>
      </c>
      <c r="Y287">
        <v>3</v>
      </c>
      <c r="Z287" t="s">
        <v>45</v>
      </c>
    </row>
    <row r="288" spans="1:26">
      <c r="A288" t="s">
        <v>643</v>
      </c>
      <c r="B288" t="s">
        <v>465</v>
      </c>
      <c r="C288" t="s">
        <v>71</v>
      </c>
      <c r="D288" t="s">
        <v>72</v>
      </c>
      <c r="E288">
        <v>42</v>
      </c>
      <c r="F288" t="s">
        <v>54</v>
      </c>
      <c r="G288" t="s">
        <v>165</v>
      </c>
      <c r="H288" t="s">
        <v>166</v>
      </c>
      <c r="I288" t="e">
        <f ca="1">_xludf.XLOOKUP(H288,Base_Planos!$A:$A,Base_Planos!$B:$B,"Não encontrado")</f>
        <v>#NAME?</v>
      </c>
      <c r="J288" s="2">
        <f>VLOOKUP(H288,Base_Planos!$A:$G,4,FALSE)</f>
        <v>399.9</v>
      </c>
      <c r="K288" s="4">
        <v>45037</v>
      </c>
      <c r="L288" t="s">
        <v>118</v>
      </c>
      <c r="M288" t="s">
        <v>44</v>
      </c>
      <c r="N288" s="4"/>
      <c r="O288" s="10">
        <f t="shared" ca="1" si="28"/>
        <v>1132</v>
      </c>
      <c r="P288" s="10" t="str">
        <f t="shared" ca="1" si="25"/>
        <v>Mais de 1 ano</v>
      </c>
      <c r="Q288">
        <f t="shared" si="24"/>
        <v>0</v>
      </c>
      <c r="R288">
        <v>0</v>
      </c>
      <c r="S288" s="11">
        <f t="shared" si="29"/>
        <v>0</v>
      </c>
      <c r="T288" s="11" t="str">
        <f t="shared" si="26"/>
        <v>Detrator</v>
      </c>
      <c r="U288" s="11" t="str">
        <f t="shared" si="27"/>
        <v>Alto risco</v>
      </c>
      <c r="V288">
        <v>2</v>
      </c>
      <c r="W288">
        <v>38</v>
      </c>
      <c r="X288" s="2">
        <v>375.35</v>
      </c>
      <c r="Y288">
        <v>37</v>
      </c>
      <c r="Z288" t="s">
        <v>45</v>
      </c>
    </row>
    <row r="289" spans="1:26">
      <c r="A289" t="s">
        <v>644</v>
      </c>
      <c r="B289" t="s">
        <v>459</v>
      </c>
      <c r="C289" t="s">
        <v>48</v>
      </c>
      <c r="D289" t="s">
        <v>29</v>
      </c>
      <c r="E289">
        <v>55</v>
      </c>
      <c r="F289" t="s">
        <v>54</v>
      </c>
      <c r="G289" t="s">
        <v>31</v>
      </c>
      <c r="H289" t="s">
        <v>82</v>
      </c>
      <c r="I289" t="e">
        <f ca="1">_xludf.XLOOKUP(H289,Base_Planos!$A:$A,Base_Planos!$B:$B,"Não encontrado")</f>
        <v>#NAME?</v>
      </c>
      <c r="J289" s="2">
        <f>VLOOKUP(H289,Base_Planos!$A:$G,4,FALSE)</f>
        <v>149.9</v>
      </c>
      <c r="K289" s="4">
        <v>45323</v>
      </c>
      <c r="L289" t="s">
        <v>297</v>
      </c>
      <c r="M289" t="s">
        <v>44</v>
      </c>
      <c r="N289" s="4"/>
      <c r="O289" s="10">
        <f t="shared" ca="1" si="28"/>
        <v>846</v>
      </c>
      <c r="P289" s="10" t="str">
        <f t="shared" ca="1" si="25"/>
        <v>Mais de 1 ano</v>
      </c>
      <c r="Q289">
        <f t="shared" si="24"/>
        <v>0</v>
      </c>
      <c r="R289">
        <v>4</v>
      </c>
      <c r="S289" s="11">
        <f t="shared" si="29"/>
        <v>0</v>
      </c>
      <c r="T289" s="11" t="str">
        <f t="shared" si="26"/>
        <v>Detrator</v>
      </c>
      <c r="U289" s="11" t="str">
        <f t="shared" si="27"/>
        <v>Alto risco</v>
      </c>
      <c r="V289">
        <v>0</v>
      </c>
      <c r="W289">
        <v>82</v>
      </c>
      <c r="X289" s="2">
        <v>149.44999999999999</v>
      </c>
      <c r="Y289">
        <v>28</v>
      </c>
      <c r="Z289" t="s">
        <v>35</v>
      </c>
    </row>
    <row r="290" spans="1:26">
      <c r="A290" t="s">
        <v>645</v>
      </c>
      <c r="B290" t="s">
        <v>646</v>
      </c>
      <c r="C290" t="s">
        <v>28</v>
      </c>
      <c r="D290" t="s">
        <v>29</v>
      </c>
      <c r="E290">
        <v>45</v>
      </c>
      <c r="F290" t="s">
        <v>30</v>
      </c>
      <c r="G290" t="s">
        <v>73</v>
      </c>
      <c r="H290" t="s">
        <v>32</v>
      </c>
      <c r="I290" t="e">
        <f ca="1">_xludf.XLOOKUP(H290,Base_Planos!$A:$A,Base_Planos!$B:$B,"Não encontrado")</f>
        <v>#NAME?</v>
      </c>
      <c r="J290" s="2">
        <f>VLOOKUP(H290,Base_Planos!$A:$G,4,FALSE)</f>
        <v>39.9</v>
      </c>
      <c r="K290" s="4">
        <v>46123</v>
      </c>
      <c r="L290" t="s">
        <v>43</v>
      </c>
      <c r="M290" t="s">
        <v>34</v>
      </c>
      <c r="N290" s="4">
        <v>46163</v>
      </c>
      <c r="O290" s="10">
        <f t="shared" ca="1" si="28"/>
        <v>40</v>
      </c>
      <c r="P290" s="10" t="str">
        <f t="shared" ca="1" si="25"/>
        <v>31 a 90 dias</v>
      </c>
      <c r="Q290">
        <f t="shared" si="24"/>
        <v>1</v>
      </c>
      <c r="R290">
        <v>4</v>
      </c>
      <c r="S290" s="11">
        <f t="shared" si="29"/>
        <v>39.9</v>
      </c>
      <c r="T290" s="11" t="str">
        <f t="shared" si="26"/>
        <v>Detrator</v>
      </c>
      <c r="U290" s="11" t="str">
        <f t="shared" si="27"/>
        <v>Alto risco</v>
      </c>
      <c r="V290">
        <v>3</v>
      </c>
      <c r="W290">
        <v>58</v>
      </c>
      <c r="X290" s="2">
        <v>40.090000000000003</v>
      </c>
      <c r="Y290">
        <v>1</v>
      </c>
      <c r="Z290" t="s">
        <v>45</v>
      </c>
    </row>
    <row r="291" spans="1:26">
      <c r="A291" t="s">
        <v>647</v>
      </c>
      <c r="B291" t="s">
        <v>648</v>
      </c>
      <c r="C291" t="s">
        <v>53</v>
      </c>
      <c r="D291" t="s">
        <v>29</v>
      </c>
      <c r="E291">
        <v>60</v>
      </c>
      <c r="F291" t="s">
        <v>30</v>
      </c>
      <c r="G291" t="s">
        <v>165</v>
      </c>
      <c r="H291" t="s">
        <v>32</v>
      </c>
      <c r="I291" t="e">
        <f ca="1">_xludf.XLOOKUP(H291,Base_Planos!$A:$A,Base_Planos!$B:$B,"Não encontrado")</f>
        <v>#NAME?</v>
      </c>
      <c r="J291" s="2">
        <f>VLOOKUP(H291,Base_Planos!$A:$G,4,FALSE)</f>
        <v>39.9</v>
      </c>
      <c r="K291" s="4">
        <v>45577</v>
      </c>
      <c r="L291" t="s">
        <v>123</v>
      </c>
      <c r="M291" t="s">
        <v>44</v>
      </c>
      <c r="N291" s="4"/>
      <c r="O291" s="10">
        <f t="shared" ca="1" si="28"/>
        <v>592</v>
      </c>
      <c r="P291" s="10" t="str">
        <f t="shared" ca="1" si="25"/>
        <v>Mais de 1 ano</v>
      </c>
      <c r="Q291">
        <f t="shared" si="24"/>
        <v>0</v>
      </c>
      <c r="R291">
        <v>8</v>
      </c>
      <c r="S291" s="11">
        <f t="shared" si="29"/>
        <v>0</v>
      </c>
      <c r="T291" s="11" t="str">
        <f t="shared" si="26"/>
        <v>Neutro</v>
      </c>
      <c r="U291" s="11" t="str">
        <f t="shared" si="27"/>
        <v>Médio risco</v>
      </c>
      <c r="V291">
        <v>0</v>
      </c>
      <c r="W291">
        <v>74</v>
      </c>
      <c r="X291" s="2">
        <v>37.229999999999997</v>
      </c>
      <c r="Y291">
        <v>19</v>
      </c>
      <c r="Z291" t="s">
        <v>50</v>
      </c>
    </row>
    <row r="292" spans="1:26">
      <c r="A292" t="s">
        <v>649</v>
      </c>
      <c r="B292" t="s">
        <v>565</v>
      </c>
      <c r="C292" t="s">
        <v>102</v>
      </c>
      <c r="D292" t="s">
        <v>103</v>
      </c>
      <c r="E292">
        <v>40</v>
      </c>
      <c r="F292" t="s">
        <v>30</v>
      </c>
      <c r="G292" t="s">
        <v>31</v>
      </c>
      <c r="H292" t="s">
        <v>61</v>
      </c>
      <c r="I292" t="e">
        <f ca="1">_xludf.XLOOKUP(H292,Base_Planos!$A:$A,Base_Planos!$B:$B,"Não encontrado")</f>
        <v>#NAME?</v>
      </c>
      <c r="J292" s="2">
        <f>VLOOKUP(H292,Base_Planos!$A:$G,4,FALSE)</f>
        <v>59.9</v>
      </c>
      <c r="K292" s="4">
        <v>45605</v>
      </c>
      <c r="L292" t="s">
        <v>83</v>
      </c>
      <c r="M292" t="s">
        <v>44</v>
      </c>
      <c r="N292" s="4"/>
      <c r="O292" s="10">
        <f t="shared" ca="1" si="28"/>
        <v>564</v>
      </c>
      <c r="P292" s="10" t="str">
        <f t="shared" ca="1" si="25"/>
        <v>Mais de 1 ano</v>
      </c>
      <c r="Q292">
        <f t="shared" si="24"/>
        <v>0</v>
      </c>
      <c r="R292">
        <v>5</v>
      </c>
      <c r="S292" s="11">
        <f t="shared" si="29"/>
        <v>0</v>
      </c>
      <c r="T292" s="11" t="str">
        <f t="shared" si="26"/>
        <v>Detrator</v>
      </c>
      <c r="U292" s="11" t="str">
        <f t="shared" si="27"/>
        <v>Alto risco</v>
      </c>
      <c r="V292">
        <v>1</v>
      </c>
      <c r="W292">
        <v>100</v>
      </c>
      <c r="X292" s="2">
        <v>57.64</v>
      </c>
      <c r="Y292">
        <v>18</v>
      </c>
      <c r="Z292" t="s">
        <v>50</v>
      </c>
    </row>
    <row r="293" spans="1:26">
      <c r="A293" t="s">
        <v>650</v>
      </c>
      <c r="B293" t="s">
        <v>182</v>
      </c>
      <c r="C293" t="s">
        <v>102</v>
      </c>
      <c r="D293" t="s">
        <v>103</v>
      </c>
      <c r="E293">
        <v>60</v>
      </c>
      <c r="F293" t="s">
        <v>30</v>
      </c>
      <c r="G293" t="s">
        <v>31</v>
      </c>
      <c r="H293" t="s">
        <v>86</v>
      </c>
      <c r="I293" t="e">
        <f ca="1">_xludf.XLOOKUP(H293,Base_Planos!$A:$A,Base_Planos!$B:$B,"Não encontrado")</f>
        <v>#NAME?</v>
      </c>
      <c r="J293" s="2">
        <f>VLOOKUP(H293,Base_Planos!$A:$G,4,FALSE)</f>
        <v>119.9</v>
      </c>
      <c r="K293" s="4">
        <v>45426</v>
      </c>
      <c r="L293" t="s">
        <v>130</v>
      </c>
      <c r="M293" t="s">
        <v>44</v>
      </c>
      <c r="N293" s="4"/>
      <c r="O293" s="10">
        <f t="shared" ca="1" si="28"/>
        <v>743</v>
      </c>
      <c r="P293" s="10" t="str">
        <f t="shared" ca="1" si="25"/>
        <v>Mais de 1 ano</v>
      </c>
      <c r="Q293">
        <f t="shared" si="24"/>
        <v>0</v>
      </c>
      <c r="R293">
        <v>0</v>
      </c>
      <c r="S293" s="11">
        <f t="shared" si="29"/>
        <v>0</v>
      </c>
      <c r="T293" s="11" t="str">
        <f t="shared" si="26"/>
        <v>Detrator</v>
      </c>
      <c r="U293" s="11" t="str">
        <f t="shared" si="27"/>
        <v>Alto risco</v>
      </c>
      <c r="V293">
        <v>3</v>
      </c>
      <c r="W293">
        <v>34</v>
      </c>
      <c r="X293" s="2">
        <v>111.17</v>
      </c>
      <c r="Y293">
        <v>24</v>
      </c>
      <c r="Z293" t="s">
        <v>45</v>
      </c>
    </row>
    <row r="294" spans="1:26">
      <c r="A294" t="s">
        <v>651</v>
      </c>
      <c r="B294" t="s">
        <v>652</v>
      </c>
      <c r="C294" t="s">
        <v>28</v>
      </c>
      <c r="D294" t="s">
        <v>29</v>
      </c>
      <c r="E294">
        <v>51</v>
      </c>
      <c r="F294" t="s">
        <v>66</v>
      </c>
      <c r="G294" t="s">
        <v>165</v>
      </c>
      <c r="H294" t="s">
        <v>112</v>
      </c>
      <c r="I294" t="e">
        <f ca="1">_xludf.XLOOKUP(H294,Base_Planos!$A:$A,Base_Planos!$B:$B,"Não encontrado")</f>
        <v>#NAME?</v>
      </c>
      <c r="J294" s="2">
        <f>VLOOKUP(H294,Base_Planos!$A:$G,4,FALSE)</f>
        <v>79.900000000000006</v>
      </c>
      <c r="K294" s="4">
        <v>45968</v>
      </c>
      <c r="L294" t="s">
        <v>87</v>
      </c>
      <c r="M294" t="s">
        <v>44</v>
      </c>
      <c r="N294" s="4"/>
      <c r="O294" s="10">
        <f t="shared" ca="1" si="28"/>
        <v>201</v>
      </c>
      <c r="P294" s="10" t="str">
        <f t="shared" ca="1" si="25"/>
        <v>181 a 365 dias</v>
      </c>
      <c r="Q294">
        <f t="shared" si="24"/>
        <v>0</v>
      </c>
      <c r="R294">
        <v>7</v>
      </c>
      <c r="S294" s="11">
        <f t="shared" si="29"/>
        <v>0</v>
      </c>
      <c r="T294" s="11" t="str">
        <f t="shared" si="26"/>
        <v>Neutro</v>
      </c>
      <c r="U294" s="11" t="str">
        <f t="shared" si="27"/>
        <v>Médio risco</v>
      </c>
      <c r="V294">
        <v>1</v>
      </c>
      <c r="W294">
        <v>58</v>
      </c>
      <c r="X294" s="2">
        <v>69.23</v>
      </c>
      <c r="Y294">
        <v>6</v>
      </c>
      <c r="Z294" t="s">
        <v>50</v>
      </c>
    </row>
    <row r="295" spans="1:26">
      <c r="A295" t="s">
        <v>653</v>
      </c>
      <c r="B295" t="s">
        <v>654</v>
      </c>
      <c r="C295" t="s">
        <v>48</v>
      </c>
      <c r="D295" t="s">
        <v>29</v>
      </c>
      <c r="E295">
        <v>52</v>
      </c>
      <c r="F295" t="s">
        <v>54</v>
      </c>
      <c r="G295" t="s">
        <v>55</v>
      </c>
      <c r="H295" t="s">
        <v>42</v>
      </c>
      <c r="I295" t="e">
        <f ca="1">_xludf.XLOOKUP(H295,Base_Planos!$A:$A,Base_Planos!$B:$B,"Não encontrado")</f>
        <v>#NAME?</v>
      </c>
      <c r="J295" s="2">
        <f>VLOOKUP(H295,Base_Planos!$A:$G,4,FALSE)</f>
        <v>29.9</v>
      </c>
      <c r="K295" s="4">
        <v>45363</v>
      </c>
      <c r="L295" t="s">
        <v>126</v>
      </c>
      <c r="M295" t="s">
        <v>44</v>
      </c>
      <c r="N295" s="4"/>
      <c r="O295" s="10">
        <f t="shared" ca="1" si="28"/>
        <v>806</v>
      </c>
      <c r="P295" s="10" t="str">
        <f t="shared" ca="1" si="25"/>
        <v>Mais de 1 ano</v>
      </c>
      <c r="Q295">
        <f t="shared" si="24"/>
        <v>0</v>
      </c>
      <c r="R295">
        <v>10</v>
      </c>
      <c r="S295" s="11">
        <f t="shared" si="29"/>
        <v>0</v>
      </c>
      <c r="T295" s="11" t="str">
        <f t="shared" si="26"/>
        <v>Promotor</v>
      </c>
      <c r="U295" s="11" t="str">
        <f t="shared" si="27"/>
        <v>Baixo risco</v>
      </c>
      <c r="V295">
        <v>0</v>
      </c>
      <c r="W295">
        <v>63</v>
      </c>
      <c r="X295" s="2">
        <v>31.25</v>
      </c>
      <c r="Y295">
        <v>26</v>
      </c>
      <c r="Z295" t="s">
        <v>50</v>
      </c>
    </row>
    <row r="296" spans="1:26">
      <c r="A296" t="s">
        <v>655</v>
      </c>
      <c r="B296" t="s">
        <v>656</v>
      </c>
      <c r="C296" t="s">
        <v>65</v>
      </c>
      <c r="D296" t="s">
        <v>29</v>
      </c>
      <c r="E296">
        <v>22</v>
      </c>
      <c r="F296" t="s">
        <v>40</v>
      </c>
      <c r="G296" t="s">
        <v>96</v>
      </c>
      <c r="H296" t="s">
        <v>32</v>
      </c>
      <c r="I296" t="e">
        <f ca="1">_xludf.XLOOKUP(H296,Base_Planos!$A:$A,Base_Planos!$B:$B,"Não encontrado")</f>
        <v>#NAME?</v>
      </c>
      <c r="J296" s="2">
        <f>VLOOKUP(H296,Base_Planos!$A:$G,4,FALSE)</f>
        <v>39.9</v>
      </c>
      <c r="K296" s="4">
        <v>45606</v>
      </c>
      <c r="L296" t="s">
        <v>83</v>
      </c>
      <c r="M296" t="s">
        <v>44</v>
      </c>
      <c r="N296" s="4"/>
      <c r="O296" s="10">
        <f t="shared" ca="1" si="28"/>
        <v>563</v>
      </c>
      <c r="P296" s="10" t="str">
        <f t="shared" ca="1" si="25"/>
        <v>Mais de 1 ano</v>
      </c>
      <c r="Q296">
        <f t="shared" si="24"/>
        <v>0</v>
      </c>
      <c r="R296">
        <v>0</v>
      </c>
      <c r="S296" s="11">
        <f t="shared" si="29"/>
        <v>0</v>
      </c>
      <c r="T296" s="11" t="str">
        <f t="shared" si="26"/>
        <v>Detrator</v>
      </c>
      <c r="U296" s="11" t="str">
        <f t="shared" si="27"/>
        <v>Alto risco</v>
      </c>
      <c r="V296">
        <v>1</v>
      </c>
      <c r="W296">
        <v>61</v>
      </c>
      <c r="X296" s="2">
        <v>38.5</v>
      </c>
      <c r="Y296">
        <v>18</v>
      </c>
      <c r="Z296" t="s">
        <v>35</v>
      </c>
    </row>
    <row r="297" spans="1:26">
      <c r="A297" t="s">
        <v>657</v>
      </c>
      <c r="B297" t="s">
        <v>658</v>
      </c>
      <c r="C297" t="s">
        <v>71</v>
      </c>
      <c r="D297" t="s">
        <v>72</v>
      </c>
      <c r="E297">
        <v>42</v>
      </c>
      <c r="F297" t="s">
        <v>54</v>
      </c>
      <c r="G297" t="s">
        <v>41</v>
      </c>
      <c r="H297" t="s">
        <v>112</v>
      </c>
      <c r="I297" t="e">
        <f ca="1">_xludf.XLOOKUP(H297,Base_Planos!$A:$A,Base_Planos!$B:$B,"Não encontrado")</f>
        <v>#NAME?</v>
      </c>
      <c r="J297" s="2">
        <f>VLOOKUP(H297,Base_Planos!$A:$G,4,FALSE)</f>
        <v>79.900000000000006</v>
      </c>
      <c r="K297" s="4">
        <v>44961</v>
      </c>
      <c r="L297" t="s">
        <v>425</v>
      </c>
      <c r="M297" t="s">
        <v>44</v>
      </c>
      <c r="N297" s="4"/>
      <c r="O297" s="10">
        <f t="shared" ca="1" si="28"/>
        <v>1208</v>
      </c>
      <c r="P297" s="10" t="str">
        <f t="shared" ca="1" si="25"/>
        <v>Mais de 1 ano</v>
      </c>
      <c r="Q297">
        <f t="shared" si="24"/>
        <v>0</v>
      </c>
      <c r="R297">
        <v>6</v>
      </c>
      <c r="S297" s="11">
        <f t="shared" si="29"/>
        <v>0</v>
      </c>
      <c r="T297" s="11" t="str">
        <f t="shared" si="26"/>
        <v>Detrator</v>
      </c>
      <c r="U297" s="11" t="str">
        <f t="shared" si="27"/>
        <v>Alto risco</v>
      </c>
      <c r="V297">
        <v>1</v>
      </c>
      <c r="W297">
        <v>26</v>
      </c>
      <c r="X297" s="2">
        <v>80</v>
      </c>
      <c r="Y297">
        <v>40</v>
      </c>
      <c r="Z297" t="s">
        <v>35</v>
      </c>
    </row>
    <row r="298" spans="1:26">
      <c r="A298" t="s">
        <v>659</v>
      </c>
      <c r="B298" t="s">
        <v>660</v>
      </c>
      <c r="C298" t="s">
        <v>137</v>
      </c>
      <c r="D298" t="s">
        <v>29</v>
      </c>
      <c r="E298">
        <v>22</v>
      </c>
      <c r="F298" t="s">
        <v>54</v>
      </c>
      <c r="G298" t="s">
        <v>55</v>
      </c>
      <c r="H298" t="s">
        <v>42</v>
      </c>
      <c r="I298" t="e">
        <f ca="1">_xludf.XLOOKUP(H298,Base_Planos!$A:$A,Base_Planos!$B:$B,"Não encontrado")</f>
        <v>#NAME?</v>
      </c>
      <c r="J298" s="2">
        <f>VLOOKUP(H298,Base_Planos!$A:$G,4,FALSE)</f>
        <v>29.9</v>
      </c>
      <c r="K298" s="4">
        <v>45544</v>
      </c>
      <c r="L298" t="s">
        <v>91</v>
      </c>
      <c r="M298" t="s">
        <v>44</v>
      </c>
      <c r="N298" s="4"/>
      <c r="O298" s="10">
        <f t="shared" ca="1" si="28"/>
        <v>625</v>
      </c>
      <c r="P298" s="10" t="str">
        <f t="shared" ca="1" si="25"/>
        <v>Mais de 1 ano</v>
      </c>
      <c r="Q298">
        <f t="shared" si="24"/>
        <v>0</v>
      </c>
      <c r="R298">
        <v>9</v>
      </c>
      <c r="S298" s="11">
        <f t="shared" si="29"/>
        <v>0</v>
      </c>
      <c r="T298" s="11" t="str">
        <f t="shared" si="26"/>
        <v>Promotor</v>
      </c>
      <c r="U298" s="11" t="str">
        <f t="shared" si="27"/>
        <v>Baixo risco</v>
      </c>
      <c r="V298">
        <v>0</v>
      </c>
      <c r="W298">
        <v>81</v>
      </c>
      <c r="X298" s="2">
        <v>29.37</v>
      </c>
      <c r="Y298">
        <v>20</v>
      </c>
      <c r="Z298" t="s">
        <v>50</v>
      </c>
    </row>
    <row r="299" spans="1:26">
      <c r="A299" t="s">
        <v>661</v>
      </c>
      <c r="B299" t="s">
        <v>388</v>
      </c>
      <c r="C299" t="s">
        <v>38</v>
      </c>
      <c r="D299" t="s">
        <v>39</v>
      </c>
      <c r="E299">
        <v>32</v>
      </c>
      <c r="F299" t="s">
        <v>30</v>
      </c>
      <c r="G299" t="s">
        <v>41</v>
      </c>
      <c r="H299" t="s">
        <v>82</v>
      </c>
      <c r="I299" t="e">
        <f ca="1">_xludf.XLOOKUP(H299,Base_Planos!$A:$A,Base_Planos!$B:$B,"Não encontrado")</f>
        <v>#NAME?</v>
      </c>
      <c r="J299" s="2">
        <f>VLOOKUP(H299,Base_Planos!$A:$G,4,FALSE)</f>
        <v>149.9</v>
      </c>
      <c r="K299" s="4">
        <v>46044</v>
      </c>
      <c r="L299" t="s">
        <v>148</v>
      </c>
      <c r="M299" t="s">
        <v>44</v>
      </c>
      <c r="N299" s="4"/>
      <c r="O299" s="10">
        <f t="shared" ca="1" si="28"/>
        <v>125</v>
      </c>
      <c r="P299" s="10" t="str">
        <f t="shared" ca="1" si="25"/>
        <v>91 a 180 dias</v>
      </c>
      <c r="Q299">
        <f t="shared" si="24"/>
        <v>0</v>
      </c>
      <c r="R299">
        <v>4</v>
      </c>
      <c r="S299" s="11">
        <f t="shared" si="29"/>
        <v>0</v>
      </c>
      <c r="T299" s="11" t="str">
        <f t="shared" si="26"/>
        <v>Detrator</v>
      </c>
      <c r="U299" s="11" t="str">
        <f t="shared" si="27"/>
        <v>Alto risco</v>
      </c>
      <c r="V299">
        <v>1</v>
      </c>
      <c r="W299">
        <v>53</v>
      </c>
      <c r="X299" s="2">
        <v>151.25</v>
      </c>
      <c r="Y299">
        <v>4</v>
      </c>
      <c r="Z299" t="s">
        <v>35</v>
      </c>
    </row>
    <row r="300" spans="1:26">
      <c r="A300" t="s">
        <v>662</v>
      </c>
      <c r="B300" t="s">
        <v>277</v>
      </c>
      <c r="C300" t="s">
        <v>28</v>
      </c>
      <c r="D300" t="s">
        <v>29</v>
      </c>
      <c r="E300">
        <v>53</v>
      </c>
      <c r="F300" t="s">
        <v>66</v>
      </c>
      <c r="G300" t="s">
        <v>96</v>
      </c>
      <c r="H300" t="s">
        <v>32</v>
      </c>
      <c r="I300" t="e">
        <f ca="1">_xludf.XLOOKUP(H300,Base_Planos!$A:$A,Base_Planos!$B:$B,"Não encontrado")</f>
        <v>#NAME?</v>
      </c>
      <c r="J300" s="2">
        <f>VLOOKUP(H300,Base_Planos!$A:$G,4,FALSE)</f>
        <v>39.9</v>
      </c>
      <c r="K300" s="4">
        <v>44937</v>
      </c>
      <c r="L300" t="s">
        <v>153</v>
      </c>
      <c r="M300" t="s">
        <v>44</v>
      </c>
      <c r="N300" s="4"/>
      <c r="O300" s="10">
        <f t="shared" ca="1" si="28"/>
        <v>1232</v>
      </c>
      <c r="P300" s="10" t="str">
        <f t="shared" ca="1" si="25"/>
        <v>Mais de 1 ano</v>
      </c>
      <c r="Q300">
        <f t="shared" si="24"/>
        <v>0</v>
      </c>
      <c r="R300">
        <v>9</v>
      </c>
      <c r="S300" s="11">
        <f t="shared" si="29"/>
        <v>0</v>
      </c>
      <c r="T300" s="11" t="str">
        <f t="shared" si="26"/>
        <v>Promotor</v>
      </c>
      <c r="U300" s="11" t="str">
        <f t="shared" si="27"/>
        <v>Baixo risco</v>
      </c>
      <c r="V300">
        <v>3</v>
      </c>
      <c r="W300">
        <v>37</v>
      </c>
      <c r="X300" s="2">
        <v>39.89</v>
      </c>
      <c r="Y300">
        <v>41</v>
      </c>
      <c r="Z300" t="s">
        <v>35</v>
      </c>
    </row>
    <row r="301" spans="1:26">
      <c r="A301" t="s">
        <v>663</v>
      </c>
      <c r="B301" t="s">
        <v>664</v>
      </c>
      <c r="C301" t="s">
        <v>59</v>
      </c>
      <c r="D301" t="s">
        <v>60</v>
      </c>
      <c r="E301">
        <v>44</v>
      </c>
      <c r="F301" t="s">
        <v>66</v>
      </c>
      <c r="G301" t="s">
        <v>96</v>
      </c>
      <c r="H301" t="s">
        <v>32</v>
      </c>
      <c r="I301" t="e">
        <f ca="1">_xludf.XLOOKUP(H301,Base_Planos!$A:$A,Base_Planos!$B:$B,"Não encontrado")</f>
        <v>#NAME?</v>
      </c>
      <c r="J301" s="2">
        <f>VLOOKUP(H301,Base_Planos!$A:$G,4,FALSE)</f>
        <v>39.9</v>
      </c>
      <c r="K301" s="4">
        <v>45379</v>
      </c>
      <c r="L301" t="s">
        <v>126</v>
      </c>
      <c r="M301" t="s">
        <v>44</v>
      </c>
      <c r="N301" s="4"/>
      <c r="O301" s="10">
        <f t="shared" ca="1" si="28"/>
        <v>790</v>
      </c>
      <c r="P301" s="10" t="str">
        <f t="shared" ca="1" si="25"/>
        <v>Mais de 1 ano</v>
      </c>
      <c r="Q301">
        <f t="shared" ref="Q301:Q364" si="30">IF(M301="Cancelado",1,0)</f>
        <v>0</v>
      </c>
      <c r="R301">
        <v>9</v>
      </c>
      <c r="S301" s="11">
        <f t="shared" si="29"/>
        <v>0</v>
      </c>
      <c r="T301" s="11" t="str">
        <f t="shared" si="26"/>
        <v>Promotor</v>
      </c>
      <c r="U301" s="11" t="str">
        <f t="shared" si="27"/>
        <v>Baixo risco</v>
      </c>
      <c r="V301">
        <v>0</v>
      </c>
      <c r="W301">
        <v>41</v>
      </c>
      <c r="X301" s="2">
        <v>40.72</v>
      </c>
      <c r="Y301">
        <v>26</v>
      </c>
      <c r="Z301" t="s">
        <v>50</v>
      </c>
    </row>
    <row r="302" spans="1:26">
      <c r="A302" t="s">
        <v>665</v>
      </c>
      <c r="B302" t="s">
        <v>280</v>
      </c>
      <c r="C302" t="s">
        <v>77</v>
      </c>
      <c r="D302" t="s">
        <v>78</v>
      </c>
      <c r="E302">
        <v>59</v>
      </c>
      <c r="F302" t="s">
        <v>54</v>
      </c>
      <c r="G302" t="s">
        <v>73</v>
      </c>
      <c r="H302" t="s">
        <v>61</v>
      </c>
      <c r="I302" t="e">
        <f ca="1">_xludf.XLOOKUP(H302,Base_Planos!$A:$A,Base_Planos!$B:$B,"Não encontrado")</f>
        <v>#NAME?</v>
      </c>
      <c r="J302" s="2">
        <f>VLOOKUP(H302,Base_Planos!$A:$G,4,FALSE)</f>
        <v>59.9</v>
      </c>
      <c r="K302" s="4">
        <v>45440</v>
      </c>
      <c r="L302" t="s">
        <v>130</v>
      </c>
      <c r="M302" t="s">
        <v>34</v>
      </c>
      <c r="N302" s="4">
        <v>46157</v>
      </c>
      <c r="O302" s="10">
        <f t="shared" ca="1" si="28"/>
        <v>717</v>
      </c>
      <c r="P302" s="10" t="str">
        <f t="shared" ca="1" si="25"/>
        <v>Mais de 1 ano</v>
      </c>
      <c r="Q302">
        <f t="shared" si="30"/>
        <v>1</v>
      </c>
      <c r="R302">
        <v>1</v>
      </c>
      <c r="S302" s="11">
        <f t="shared" si="29"/>
        <v>59.9</v>
      </c>
      <c r="T302" s="11" t="str">
        <f t="shared" si="26"/>
        <v>Detrator</v>
      </c>
      <c r="U302" s="11" t="str">
        <f t="shared" si="27"/>
        <v>Alto risco</v>
      </c>
      <c r="V302">
        <v>3</v>
      </c>
      <c r="W302">
        <v>91</v>
      </c>
      <c r="X302" s="2">
        <v>52.11</v>
      </c>
      <c r="Y302">
        <v>23</v>
      </c>
      <c r="Z302" t="s">
        <v>45</v>
      </c>
    </row>
    <row r="303" spans="1:26">
      <c r="A303" t="s">
        <v>666</v>
      </c>
      <c r="B303" t="s">
        <v>667</v>
      </c>
      <c r="C303" t="s">
        <v>59</v>
      </c>
      <c r="D303" t="s">
        <v>60</v>
      </c>
      <c r="E303">
        <v>38</v>
      </c>
      <c r="F303" t="s">
        <v>54</v>
      </c>
      <c r="G303" t="s">
        <v>165</v>
      </c>
      <c r="H303" t="s">
        <v>61</v>
      </c>
      <c r="I303" t="e">
        <f ca="1">_xludf.XLOOKUP(H303,Base_Planos!$A:$A,Base_Planos!$B:$B,"Não encontrado")</f>
        <v>#NAME?</v>
      </c>
      <c r="J303" s="2">
        <f>VLOOKUP(H303,Base_Planos!$A:$G,4,FALSE)</f>
        <v>59.9</v>
      </c>
      <c r="K303" s="4">
        <v>45553</v>
      </c>
      <c r="L303" t="s">
        <v>91</v>
      </c>
      <c r="M303" t="s">
        <v>44</v>
      </c>
      <c r="N303" s="4"/>
      <c r="O303" s="10">
        <f t="shared" ca="1" si="28"/>
        <v>616</v>
      </c>
      <c r="P303" s="10" t="str">
        <f t="shared" ca="1" si="25"/>
        <v>Mais de 1 ano</v>
      </c>
      <c r="Q303">
        <f t="shared" si="30"/>
        <v>0</v>
      </c>
      <c r="R303">
        <v>9</v>
      </c>
      <c r="S303" s="11">
        <f t="shared" si="29"/>
        <v>0</v>
      </c>
      <c r="T303" s="11" t="str">
        <f t="shared" si="26"/>
        <v>Promotor</v>
      </c>
      <c r="U303" s="11" t="str">
        <f t="shared" si="27"/>
        <v>Baixo risco</v>
      </c>
      <c r="V303">
        <v>2</v>
      </c>
      <c r="W303">
        <v>86</v>
      </c>
      <c r="X303" s="2">
        <v>52.94</v>
      </c>
      <c r="Y303">
        <v>20</v>
      </c>
      <c r="Z303" t="s">
        <v>50</v>
      </c>
    </row>
    <row r="304" spans="1:26">
      <c r="A304" t="s">
        <v>668</v>
      </c>
      <c r="B304" t="s">
        <v>413</v>
      </c>
      <c r="C304" t="s">
        <v>48</v>
      </c>
      <c r="D304" t="s">
        <v>29</v>
      </c>
      <c r="E304">
        <v>32</v>
      </c>
      <c r="F304" t="s">
        <v>40</v>
      </c>
      <c r="G304" t="s">
        <v>41</v>
      </c>
      <c r="H304" t="s">
        <v>42</v>
      </c>
      <c r="I304" t="e">
        <f ca="1">_xludf.XLOOKUP(H304,Base_Planos!$A:$A,Base_Planos!$B:$B,"Não encontrado")</f>
        <v>#NAME?</v>
      </c>
      <c r="J304" s="2">
        <f>VLOOKUP(H304,Base_Planos!$A:$G,4,FALSE)</f>
        <v>29.9</v>
      </c>
      <c r="K304" s="4">
        <v>45663</v>
      </c>
      <c r="L304" t="s">
        <v>261</v>
      </c>
      <c r="M304" t="s">
        <v>44</v>
      </c>
      <c r="N304" s="4"/>
      <c r="O304" s="10">
        <f t="shared" ca="1" si="28"/>
        <v>506</v>
      </c>
      <c r="P304" s="10" t="str">
        <f t="shared" ca="1" si="25"/>
        <v>Mais de 1 ano</v>
      </c>
      <c r="Q304">
        <f t="shared" si="30"/>
        <v>0</v>
      </c>
      <c r="R304">
        <v>2</v>
      </c>
      <c r="S304" s="11">
        <f t="shared" si="29"/>
        <v>0</v>
      </c>
      <c r="T304" s="11" t="str">
        <f t="shared" si="26"/>
        <v>Detrator</v>
      </c>
      <c r="U304" s="11" t="str">
        <f t="shared" si="27"/>
        <v>Alto risco</v>
      </c>
      <c r="V304">
        <v>0</v>
      </c>
      <c r="W304">
        <v>34</v>
      </c>
      <c r="X304" s="2">
        <v>30.05</v>
      </c>
      <c r="Y304">
        <v>16</v>
      </c>
      <c r="Z304" t="s">
        <v>35</v>
      </c>
    </row>
    <row r="305" spans="1:26">
      <c r="A305" t="s">
        <v>669</v>
      </c>
      <c r="B305" t="s">
        <v>670</v>
      </c>
      <c r="C305" t="s">
        <v>102</v>
      </c>
      <c r="D305" t="s">
        <v>103</v>
      </c>
      <c r="E305">
        <v>29</v>
      </c>
      <c r="F305" t="s">
        <v>40</v>
      </c>
      <c r="G305" t="s">
        <v>55</v>
      </c>
      <c r="H305" t="s">
        <v>86</v>
      </c>
      <c r="I305" t="e">
        <f ca="1">_xludf.XLOOKUP(H305,Base_Planos!$A:$A,Base_Planos!$B:$B,"Não encontrado")</f>
        <v>#NAME?</v>
      </c>
      <c r="J305" s="2">
        <f>VLOOKUP(H305,Base_Planos!$A:$G,4,FALSE)</f>
        <v>119.9</v>
      </c>
      <c r="K305" s="4">
        <v>45213</v>
      </c>
      <c r="L305" t="s">
        <v>215</v>
      </c>
      <c r="M305" t="s">
        <v>44</v>
      </c>
      <c r="N305" s="4"/>
      <c r="O305" s="10">
        <f t="shared" ca="1" si="28"/>
        <v>956</v>
      </c>
      <c r="P305" s="10" t="str">
        <f t="shared" ca="1" si="25"/>
        <v>Mais de 1 ano</v>
      </c>
      <c r="Q305">
        <f t="shared" si="30"/>
        <v>0</v>
      </c>
      <c r="R305">
        <v>8</v>
      </c>
      <c r="S305" s="11">
        <f t="shared" si="29"/>
        <v>0</v>
      </c>
      <c r="T305" s="11" t="str">
        <f t="shared" si="26"/>
        <v>Neutro</v>
      </c>
      <c r="U305" s="11" t="str">
        <f t="shared" si="27"/>
        <v>Médio risco</v>
      </c>
      <c r="V305">
        <v>1</v>
      </c>
      <c r="W305">
        <v>99</v>
      </c>
      <c r="X305" s="2">
        <v>123.31</v>
      </c>
      <c r="Y305">
        <v>31</v>
      </c>
      <c r="Z305" t="s">
        <v>50</v>
      </c>
    </row>
    <row r="306" spans="1:26">
      <c r="A306" t="s">
        <v>671</v>
      </c>
      <c r="B306" t="s">
        <v>390</v>
      </c>
      <c r="C306" t="s">
        <v>65</v>
      </c>
      <c r="D306" t="s">
        <v>29</v>
      </c>
      <c r="E306">
        <v>19</v>
      </c>
      <c r="F306" t="s">
        <v>40</v>
      </c>
      <c r="G306" t="s">
        <v>41</v>
      </c>
      <c r="H306" t="s">
        <v>82</v>
      </c>
      <c r="I306" t="e">
        <f ca="1">_xludf.XLOOKUP(H306,Base_Planos!$A:$A,Base_Planos!$B:$B,"Não encontrado")</f>
        <v>#NAME?</v>
      </c>
      <c r="J306" s="2">
        <f>VLOOKUP(H306,Base_Planos!$A:$G,4,FALSE)</f>
        <v>149.9</v>
      </c>
      <c r="K306" s="4">
        <v>45362</v>
      </c>
      <c r="L306" t="s">
        <v>126</v>
      </c>
      <c r="M306" t="s">
        <v>34</v>
      </c>
      <c r="N306" s="4">
        <v>45544</v>
      </c>
      <c r="O306" s="10">
        <f t="shared" ca="1" si="28"/>
        <v>182</v>
      </c>
      <c r="P306" s="10" t="str">
        <f t="shared" ca="1" si="25"/>
        <v>181 a 365 dias</v>
      </c>
      <c r="Q306">
        <f t="shared" si="30"/>
        <v>1</v>
      </c>
      <c r="R306">
        <v>0</v>
      </c>
      <c r="S306" s="11">
        <f t="shared" si="29"/>
        <v>149.9</v>
      </c>
      <c r="T306" s="11" t="str">
        <f t="shared" si="26"/>
        <v>Detrator</v>
      </c>
      <c r="U306" s="11" t="str">
        <f t="shared" si="27"/>
        <v>Alto risco</v>
      </c>
      <c r="V306">
        <v>4</v>
      </c>
      <c r="W306">
        <v>45</v>
      </c>
      <c r="X306" s="2">
        <v>134.11000000000001</v>
      </c>
      <c r="Y306">
        <v>6</v>
      </c>
      <c r="Z306" t="s">
        <v>35</v>
      </c>
    </row>
    <row r="307" spans="1:26">
      <c r="A307" t="s">
        <v>672</v>
      </c>
      <c r="B307" t="s">
        <v>673</v>
      </c>
      <c r="C307" t="s">
        <v>137</v>
      </c>
      <c r="D307" t="s">
        <v>29</v>
      </c>
      <c r="E307">
        <v>36</v>
      </c>
      <c r="F307" t="s">
        <v>30</v>
      </c>
      <c r="G307" t="s">
        <v>55</v>
      </c>
      <c r="H307" t="s">
        <v>112</v>
      </c>
      <c r="I307" t="e">
        <f ca="1">_xludf.XLOOKUP(H307,Base_Planos!$A:$A,Base_Planos!$B:$B,"Não encontrado")</f>
        <v>#NAME?</v>
      </c>
      <c r="J307" s="2">
        <f>VLOOKUP(H307,Base_Planos!$A:$G,4,FALSE)</f>
        <v>79.900000000000006</v>
      </c>
      <c r="K307" s="4">
        <v>45955</v>
      </c>
      <c r="L307" t="s">
        <v>196</v>
      </c>
      <c r="M307" t="s">
        <v>34</v>
      </c>
      <c r="N307" s="4">
        <v>46027</v>
      </c>
      <c r="O307" s="10">
        <f t="shared" ca="1" si="28"/>
        <v>72</v>
      </c>
      <c r="P307" s="10" t="str">
        <f t="shared" ca="1" si="25"/>
        <v>31 a 90 dias</v>
      </c>
      <c r="Q307">
        <f t="shared" si="30"/>
        <v>1</v>
      </c>
      <c r="R307">
        <v>0</v>
      </c>
      <c r="S307" s="11">
        <f t="shared" si="29"/>
        <v>79.900000000000006</v>
      </c>
      <c r="T307" s="11" t="str">
        <f t="shared" si="26"/>
        <v>Detrator</v>
      </c>
      <c r="U307" s="11" t="str">
        <f t="shared" si="27"/>
        <v>Alto risco</v>
      </c>
      <c r="V307">
        <v>2</v>
      </c>
      <c r="W307">
        <v>10</v>
      </c>
      <c r="X307" s="2">
        <v>70.16</v>
      </c>
      <c r="Y307">
        <v>2</v>
      </c>
      <c r="Z307" t="s">
        <v>45</v>
      </c>
    </row>
    <row r="308" spans="1:26">
      <c r="A308" t="s">
        <v>674</v>
      </c>
      <c r="B308" t="s">
        <v>675</v>
      </c>
      <c r="C308" t="s">
        <v>90</v>
      </c>
      <c r="D308" t="s">
        <v>29</v>
      </c>
      <c r="E308">
        <v>54</v>
      </c>
      <c r="F308" t="s">
        <v>40</v>
      </c>
      <c r="G308" t="s">
        <v>96</v>
      </c>
      <c r="H308" t="s">
        <v>82</v>
      </c>
      <c r="I308" t="e">
        <f ca="1">_xludf.XLOOKUP(H308,Base_Planos!$A:$A,Base_Planos!$B:$B,"Não encontrado")</f>
        <v>#NAME?</v>
      </c>
      <c r="J308" s="2">
        <f>VLOOKUP(H308,Base_Planos!$A:$G,4,FALSE)</f>
        <v>149.9</v>
      </c>
      <c r="K308" s="4">
        <v>45917</v>
      </c>
      <c r="L308" t="s">
        <v>189</v>
      </c>
      <c r="M308" t="s">
        <v>34</v>
      </c>
      <c r="N308" s="4">
        <v>46006</v>
      </c>
      <c r="O308" s="10">
        <f t="shared" ca="1" si="28"/>
        <v>89</v>
      </c>
      <c r="P308" s="10" t="str">
        <f t="shared" ca="1" si="25"/>
        <v>31 a 90 dias</v>
      </c>
      <c r="Q308">
        <f t="shared" si="30"/>
        <v>1</v>
      </c>
      <c r="R308">
        <v>5</v>
      </c>
      <c r="S308" s="11">
        <f t="shared" si="29"/>
        <v>149.9</v>
      </c>
      <c r="T308" s="11" t="str">
        <f t="shared" si="26"/>
        <v>Detrator</v>
      </c>
      <c r="U308" s="11" t="str">
        <f t="shared" si="27"/>
        <v>Alto risco</v>
      </c>
      <c r="V308">
        <v>0</v>
      </c>
      <c r="W308">
        <v>68</v>
      </c>
      <c r="X308" s="2">
        <v>147.46</v>
      </c>
      <c r="Y308">
        <v>2</v>
      </c>
      <c r="Z308" t="s">
        <v>35</v>
      </c>
    </row>
    <row r="309" spans="1:26">
      <c r="A309" t="s">
        <v>676</v>
      </c>
      <c r="B309" t="s">
        <v>513</v>
      </c>
      <c r="C309" t="s">
        <v>71</v>
      </c>
      <c r="D309" t="s">
        <v>72</v>
      </c>
      <c r="E309">
        <v>48</v>
      </c>
      <c r="F309" t="s">
        <v>66</v>
      </c>
      <c r="G309" t="s">
        <v>67</v>
      </c>
      <c r="H309" t="s">
        <v>32</v>
      </c>
      <c r="I309" t="e">
        <f ca="1">_xludf.XLOOKUP(H309,Base_Planos!$A:$A,Base_Planos!$B:$B,"Não encontrado")</f>
        <v>#NAME?</v>
      </c>
      <c r="J309" s="2">
        <f>VLOOKUP(H309,Base_Planos!$A:$G,4,FALSE)</f>
        <v>39.9</v>
      </c>
      <c r="K309" s="4">
        <v>45590</v>
      </c>
      <c r="L309" t="s">
        <v>123</v>
      </c>
      <c r="M309" t="s">
        <v>44</v>
      </c>
      <c r="N309" s="4"/>
      <c r="O309" s="10">
        <f t="shared" ca="1" si="28"/>
        <v>579</v>
      </c>
      <c r="P309" s="10" t="str">
        <f t="shared" ca="1" si="25"/>
        <v>Mais de 1 ano</v>
      </c>
      <c r="Q309">
        <f t="shared" si="30"/>
        <v>0</v>
      </c>
      <c r="R309">
        <v>1</v>
      </c>
      <c r="S309" s="11">
        <f t="shared" si="29"/>
        <v>0</v>
      </c>
      <c r="T309" s="11" t="str">
        <f t="shared" si="26"/>
        <v>Detrator</v>
      </c>
      <c r="U309" s="11" t="str">
        <f t="shared" si="27"/>
        <v>Alto risco</v>
      </c>
      <c r="V309">
        <v>2</v>
      </c>
      <c r="W309">
        <v>24</v>
      </c>
      <c r="X309" s="2">
        <v>36.020000000000003</v>
      </c>
      <c r="Y309">
        <v>19</v>
      </c>
      <c r="Z309" t="s">
        <v>45</v>
      </c>
    </row>
    <row r="310" spans="1:26">
      <c r="A310" t="s">
        <v>677</v>
      </c>
      <c r="B310" t="s">
        <v>678</v>
      </c>
      <c r="C310" t="s">
        <v>94</v>
      </c>
      <c r="D310" t="s">
        <v>95</v>
      </c>
      <c r="E310">
        <v>42</v>
      </c>
      <c r="F310" t="s">
        <v>40</v>
      </c>
      <c r="G310" t="s">
        <v>165</v>
      </c>
      <c r="H310" t="s">
        <v>61</v>
      </c>
      <c r="I310" t="e">
        <f ca="1">_xludf.XLOOKUP(H310,Base_Planos!$A:$A,Base_Planos!$B:$B,"Não encontrado")</f>
        <v>#NAME?</v>
      </c>
      <c r="J310" s="2">
        <f>VLOOKUP(H310,Base_Planos!$A:$G,4,FALSE)</f>
        <v>59.9</v>
      </c>
      <c r="K310" s="4">
        <v>45086</v>
      </c>
      <c r="L310" t="s">
        <v>328</v>
      </c>
      <c r="M310" t="s">
        <v>44</v>
      </c>
      <c r="N310" s="4"/>
      <c r="O310" s="10">
        <f t="shared" ca="1" si="28"/>
        <v>1083</v>
      </c>
      <c r="P310" s="10" t="str">
        <f t="shared" ca="1" si="25"/>
        <v>Mais de 1 ano</v>
      </c>
      <c r="Q310">
        <f t="shared" si="30"/>
        <v>0</v>
      </c>
      <c r="R310">
        <v>8</v>
      </c>
      <c r="S310" s="11">
        <f t="shared" si="29"/>
        <v>0</v>
      </c>
      <c r="T310" s="11" t="str">
        <f t="shared" si="26"/>
        <v>Neutro</v>
      </c>
      <c r="U310" s="11" t="str">
        <f t="shared" si="27"/>
        <v>Médio risco</v>
      </c>
      <c r="V310">
        <v>0</v>
      </c>
      <c r="W310">
        <v>100</v>
      </c>
      <c r="X310" s="2">
        <v>60.71</v>
      </c>
      <c r="Y310">
        <v>36</v>
      </c>
      <c r="Z310" t="s">
        <v>50</v>
      </c>
    </row>
    <row r="311" spans="1:26">
      <c r="A311" t="s">
        <v>679</v>
      </c>
      <c r="B311" t="s">
        <v>680</v>
      </c>
      <c r="C311" t="s">
        <v>48</v>
      </c>
      <c r="D311" t="s">
        <v>29</v>
      </c>
      <c r="E311">
        <v>48</v>
      </c>
      <c r="F311" t="s">
        <v>66</v>
      </c>
      <c r="G311" t="s">
        <v>67</v>
      </c>
      <c r="H311" t="s">
        <v>112</v>
      </c>
      <c r="I311" t="e">
        <f ca="1">_xludf.XLOOKUP(H311,Base_Planos!$A:$A,Base_Planos!$B:$B,"Não encontrado")</f>
        <v>#NAME?</v>
      </c>
      <c r="J311" s="2">
        <f>VLOOKUP(H311,Base_Planos!$A:$G,4,FALSE)</f>
        <v>79.900000000000006</v>
      </c>
      <c r="K311" s="4">
        <v>45211</v>
      </c>
      <c r="L311" t="s">
        <v>215</v>
      </c>
      <c r="M311" t="s">
        <v>44</v>
      </c>
      <c r="N311" s="4"/>
      <c r="O311" s="10">
        <f t="shared" ca="1" si="28"/>
        <v>958</v>
      </c>
      <c r="P311" s="10" t="str">
        <f t="shared" ca="1" si="25"/>
        <v>Mais de 1 ano</v>
      </c>
      <c r="Q311">
        <f t="shared" si="30"/>
        <v>0</v>
      </c>
      <c r="R311">
        <v>7</v>
      </c>
      <c r="S311" s="11">
        <f t="shared" si="29"/>
        <v>0</v>
      </c>
      <c r="T311" s="11" t="str">
        <f t="shared" si="26"/>
        <v>Neutro</v>
      </c>
      <c r="U311" s="11" t="str">
        <f t="shared" si="27"/>
        <v>Médio risco</v>
      </c>
      <c r="V311">
        <v>1</v>
      </c>
      <c r="W311">
        <v>66</v>
      </c>
      <c r="X311" s="2">
        <v>70.900000000000006</v>
      </c>
      <c r="Y311">
        <v>31</v>
      </c>
      <c r="Z311" t="s">
        <v>50</v>
      </c>
    </row>
    <row r="312" spans="1:26">
      <c r="A312" t="s">
        <v>681</v>
      </c>
      <c r="B312" t="s">
        <v>682</v>
      </c>
      <c r="C312" t="s">
        <v>137</v>
      </c>
      <c r="D312" t="s">
        <v>29</v>
      </c>
      <c r="E312">
        <v>25</v>
      </c>
      <c r="F312" t="s">
        <v>40</v>
      </c>
      <c r="G312" t="s">
        <v>41</v>
      </c>
      <c r="H312" t="s">
        <v>82</v>
      </c>
      <c r="I312" t="e">
        <f ca="1">_xludf.XLOOKUP(H312,Base_Planos!$A:$A,Base_Planos!$B:$B,"Não encontrado")</f>
        <v>#NAME?</v>
      </c>
      <c r="J312" s="2">
        <f>VLOOKUP(H312,Base_Planos!$A:$G,4,FALSE)</f>
        <v>149.9</v>
      </c>
      <c r="K312" s="4">
        <v>45159</v>
      </c>
      <c r="L312" t="s">
        <v>162</v>
      </c>
      <c r="M312" t="s">
        <v>44</v>
      </c>
      <c r="N312" s="4"/>
      <c r="O312" s="10">
        <f t="shared" ca="1" si="28"/>
        <v>1010</v>
      </c>
      <c r="P312" s="10" t="str">
        <f t="shared" ca="1" si="25"/>
        <v>Mais de 1 ano</v>
      </c>
      <c r="Q312">
        <f t="shared" si="30"/>
        <v>0</v>
      </c>
      <c r="R312">
        <v>7</v>
      </c>
      <c r="S312" s="11">
        <f t="shared" si="29"/>
        <v>0</v>
      </c>
      <c r="T312" s="11" t="str">
        <f t="shared" si="26"/>
        <v>Neutro</v>
      </c>
      <c r="U312" s="11" t="str">
        <f t="shared" si="27"/>
        <v>Médio risco</v>
      </c>
      <c r="V312">
        <v>1</v>
      </c>
      <c r="W312">
        <v>28</v>
      </c>
      <c r="X312" s="2">
        <v>139.72999999999999</v>
      </c>
      <c r="Y312">
        <v>33</v>
      </c>
      <c r="Z312" t="s">
        <v>50</v>
      </c>
    </row>
    <row r="313" spans="1:26">
      <c r="A313" t="s">
        <v>683</v>
      </c>
      <c r="B313" t="s">
        <v>684</v>
      </c>
      <c r="C313" t="s">
        <v>94</v>
      </c>
      <c r="D313" t="s">
        <v>95</v>
      </c>
      <c r="E313">
        <v>54</v>
      </c>
      <c r="F313" t="s">
        <v>54</v>
      </c>
      <c r="G313" t="s">
        <v>96</v>
      </c>
      <c r="H313" t="s">
        <v>61</v>
      </c>
      <c r="I313" t="e">
        <f ca="1">_xludf.XLOOKUP(H313,Base_Planos!$A:$A,Base_Planos!$B:$B,"Não encontrado")</f>
        <v>#NAME?</v>
      </c>
      <c r="J313" s="2">
        <f>VLOOKUP(H313,Base_Planos!$A:$G,4,FALSE)</f>
        <v>59.9</v>
      </c>
      <c r="K313" s="4">
        <v>45007</v>
      </c>
      <c r="L313" t="s">
        <v>68</v>
      </c>
      <c r="M313" t="s">
        <v>44</v>
      </c>
      <c r="N313" s="4"/>
      <c r="O313" s="10">
        <f t="shared" ca="1" si="28"/>
        <v>1162</v>
      </c>
      <c r="P313" s="10" t="str">
        <f t="shared" ca="1" si="25"/>
        <v>Mais de 1 ano</v>
      </c>
      <c r="Q313">
        <f t="shared" si="30"/>
        <v>0</v>
      </c>
      <c r="R313">
        <v>9</v>
      </c>
      <c r="S313" s="11">
        <f t="shared" si="29"/>
        <v>0</v>
      </c>
      <c r="T313" s="11" t="str">
        <f t="shared" si="26"/>
        <v>Promotor</v>
      </c>
      <c r="U313" s="11" t="str">
        <f t="shared" si="27"/>
        <v>Baixo risco</v>
      </c>
      <c r="V313">
        <v>3</v>
      </c>
      <c r="W313">
        <v>70</v>
      </c>
      <c r="X313" s="2">
        <v>55.77</v>
      </c>
      <c r="Y313">
        <v>38</v>
      </c>
      <c r="Z313" t="s">
        <v>50</v>
      </c>
    </row>
    <row r="314" spans="1:26">
      <c r="A314" t="s">
        <v>685</v>
      </c>
      <c r="B314" t="s">
        <v>580</v>
      </c>
      <c r="C314" t="s">
        <v>137</v>
      </c>
      <c r="D314" t="s">
        <v>29</v>
      </c>
      <c r="E314">
        <v>64</v>
      </c>
      <c r="F314" t="s">
        <v>40</v>
      </c>
      <c r="G314" t="s">
        <v>73</v>
      </c>
      <c r="H314" t="s">
        <v>166</v>
      </c>
      <c r="I314" t="e">
        <f ca="1">_xludf.XLOOKUP(H314,Base_Planos!$A:$A,Base_Planos!$B:$B,"Não encontrado")</f>
        <v>#NAME?</v>
      </c>
      <c r="J314" s="2">
        <f>VLOOKUP(H314,Base_Planos!$A:$G,4,FALSE)</f>
        <v>399.9</v>
      </c>
      <c r="K314" s="4">
        <v>45370</v>
      </c>
      <c r="L314" t="s">
        <v>126</v>
      </c>
      <c r="M314" t="s">
        <v>44</v>
      </c>
      <c r="N314" s="4"/>
      <c r="O314" s="10">
        <f t="shared" ca="1" si="28"/>
        <v>799</v>
      </c>
      <c r="P314" s="10" t="str">
        <f t="shared" ca="1" si="25"/>
        <v>Mais de 1 ano</v>
      </c>
      <c r="Q314">
        <f t="shared" si="30"/>
        <v>0</v>
      </c>
      <c r="R314">
        <v>7</v>
      </c>
      <c r="S314" s="11">
        <f t="shared" si="29"/>
        <v>0</v>
      </c>
      <c r="T314" s="11" t="str">
        <f t="shared" si="26"/>
        <v>Neutro</v>
      </c>
      <c r="U314" s="11" t="str">
        <f t="shared" si="27"/>
        <v>Médio risco</v>
      </c>
      <c r="V314">
        <v>0</v>
      </c>
      <c r="W314">
        <v>37</v>
      </c>
      <c r="X314" s="2">
        <v>372.77</v>
      </c>
      <c r="Y314">
        <v>26</v>
      </c>
      <c r="Z314" t="s">
        <v>50</v>
      </c>
    </row>
    <row r="315" spans="1:26">
      <c r="A315" t="s">
        <v>686</v>
      </c>
      <c r="B315" t="s">
        <v>687</v>
      </c>
      <c r="C315" t="s">
        <v>53</v>
      </c>
      <c r="D315" t="s">
        <v>29</v>
      </c>
      <c r="E315">
        <v>29</v>
      </c>
      <c r="F315" t="s">
        <v>40</v>
      </c>
      <c r="G315" t="s">
        <v>73</v>
      </c>
      <c r="H315" t="s">
        <v>32</v>
      </c>
      <c r="I315" t="e">
        <f ca="1">_xludf.XLOOKUP(H315,Base_Planos!$A:$A,Base_Planos!$B:$B,"Não encontrado")</f>
        <v>#NAME?</v>
      </c>
      <c r="J315" s="2">
        <f>VLOOKUP(H315,Base_Planos!$A:$G,4,FALSE)</f>
        <v>39.9</v>
      </c>
      <c r="K315" s="4">
        <v>45628</v>
      </c>
      <c r="L315" t="s">
        <v>49</v>
      </c>
      <c r="M315" t="s">
        <v>34</v>
      </c>
      <c r="N315" s="4">
        <v>45674</v>
      </c>
      <c r="O315" s="10">
        <f t="shared" ca="1" si="28"/>
        <v>46</v>
      </c>
      <c r="P315" s="10" t="str">
        <f t="shared" ca="1" si="25"/>
        <v>31 a 90 dias</v>
      </c>
      <c r="Q315">
        <f t="shared" si="30"/>
        <v>1</v>
      </c>
      <c r="R315">
        <v>7</v>
      </c>
      <c r="S315" s="11">
        <f t="shared" si="29"/>
        <v>39.9</v>
      </c>
      <c r="T315" s="11" t="str">
        <f t="shared" si="26"/>
        <v>Neutro</v>
      </c>
      <c r="U315" s="11" t="str">
        <f t="shared" si="27"/>
        <v>Alto risco</v>
      </c>
      <c r="V315">
        <v>0</v>
      </c>
      <c r="W315">
        <v>50</v>
      </c>
      <c r="X315" s="2">
        <v>38.090000000000003</v>
      </c>
      <c r="Y315">
        <v>1</v>
      </c>
      <c r="Z315" t="s">
        <v>50</v>
      </c>
    </row>
    <row r="316" spans="1:26">
      <c r="A316" t="s">
        <v>688</v>
      </c>
      <c r="B316" t="s">
        <v>689</v>
      </c>
      <c r="C316" t="s">
        <v>65</v>
      </c>
      <c r="D316" t="s">
        <v>29</v>
      </c>
      <c r="E316">
        <v>44</v>
      </c>
      <c r="F316" t="s">
        <v>66</v>
      </c>
      <c r="G316" t="s">
        <v>55</v>
      </c>
      <c r="H316" t="s">
        <v>32</v>
      </c>
      <c r="I316" t="e">
        <f ca="1">_xludf.XLOOKUP(H316,Base_Planos!$A:$A,Base_Planos!$B:$B,"Não encontrado")</f>
        <v>#NAME?</v>
      </c>
      <c r="J316" s="2">
        <f>VLOOKUP(H316,Base_Planos!$A:$G,4,FALSE)</f>
        <v>39.9</v>
      </c>
      <c r="K316" s="4">
        <v>45006</v>
      </c>
      <c r="L316" t="s">
        <v>68</v>
      </c>
      <c r="M316" t="s">
        <v>34</v>
      </c>
      <c r="N316" s="4">
        <v>46140</v>
      </c>
      <c r="O316" s="10">
        <f t="shared" ca="1" si="28"/>
        <v>1134</v>
      </c>
      <c r="P316" s="10" t="str">
        <f t="shared" ca="1" si="25"/>
        <v>Mais de 1 ano</v>
      </c>
      <c r="Q316">
        <f t="shared" si="30"/>
        <v>1</v>
      </c>
      <c r="R316">
        <v>8</v>
      </c>
      <c r="S316" s="11">
        <f t="shared" si="29"/>
        <v>39.9</v>
      </c>
      <c r="T316" s="11" t="str">
        <f t="shared" si="26"/>
        <v>Neutro</v>
      </c>
      <c r="U316" s="11" t="str">
        <f t="shared" si="27"/>
        <v>Alto risco</v>
      </c>
      <c r="V316">
        <v>0</v>
      </c>
      <c r="W316">
        <v>56</v>
      </c>
      <c r="X316" s="2">
        <v>41.07</v>
      </c>
      <c r="Y316">
        <v>37</v>
      </c>
      <c r="Z316" t="s">
        <v>50</v>
      </c>
    </row>
    <row r="317" spans="1:26">
      <c r="A317" t="s">
        <v>690</v>
      </c>
      <c r="B317" t="s">
        <v>656</v>
      </c>
      <c r="C317" t="s">
        <v>38</v>
      </c>
      <c r="D317" t="s">
        <v>39</v>
      </c>
      <c r="E317">
        <v>44</v>
      </c>
      <c r="F317" t="s">
        <v>54</v>
      </c>
      <c r="G317" t="s">
        <v>67</v>
      </c>
      <c r="H317" t="s">
        <v>61</v>
      </c>
      <c r="I317" t="e">
        <f ca="1">_xludf.XLOOKUP(H317,Base_Planos!$A:$A,Base_Planos!$B:$B,"Não encontrado")</f>
        <v>#NAME?</v>
      </c>
      <c r="J317" s="2">
        <f>VLOOKUP(H317,Base_Planos!$A:$G,4,FALSE)</f>
        <v>59.9</v>
      </c>
      <c r="K317" s="4">
        <v>45805</v>
      </c>
      <c r="L317" t="s">
        <v>97</v>
      </c>
      <c r="M317" t="s">
        <v>34</v>
      </c>
      <c r="N317" s="4">
        <v>46129</v>
      </c>
      <c r="O317" s="10">
        <f t="shared" ca="1" si="28"/>
        <v>324</v>
      </c>
      <c r="P317" s="10" t="str">
        <f t="shared" ca="1" si="25"/>
        <v>181 a 365 dias</v>
      </c>
      <c r="Q317">
        <f t="shared" si="30"/>
        <v>1</v>
      </c>
      <c r="R317">
        <v>3</v>
      </c>
      <c r="S317" s="11">
        <f t="shared" si="29"/>
        <v>59.9</v>
      </c>
      <c r="T317" s="11" t="str">
        <f t="shared" si="26"/>
        <v>Detrator</v>
      </c>
      <c r="U317" s="11" t="str">
        <f t="shared" si="27"/>
        <v>Alto risco</v>
      </c>
      <c r="V317">
        <v>1</v>
      </c>
      <c r="W317">
        <v>44</v>
      </c>
      <c r="X317" s="2">
        <v>52.52</v>
      </c>
      <c r="Y317">
        <v>10</v>
      </c>
      <c r="Z317" t="s">
        <v>45</v>
      </c>
    </row>
    <row r="318" spans="1:26">
      <c r="A318" t="s">
        <v>691</v>
      </c>
      <c r="B318" t="s">
        <v>692</v>
      </c>
      <c r="C318" t="s">
        <v>53</v>
      </c>
      <c r="D318" t="s">
        <v>29</v>
      </c>
      <c r="E318">
        <v>23</v>
      </c>
      <c r="F318" t="s">
        <v>30</v>
      </c>
      <c r="G318" t="s">
        <v>41</v>
      </c>
      <c r="H318" t="s">
        <v>42</v>
      </c>
      <c r="I318" t="e">
        <f ca="1">_xludf.XLOOKUP(H318,Base_Planos!$A:$A,Base_Planos!$B:$B,"Não encontrado")</f>
        <v>#NAME?</v>
      </c>
      <c r="J318" s="2">
        <f>VLOOKUP(H318,Base_Planos!$A:$G,4,FALSE)</f>
        <v>29.9</v>
      </c>
      <c r="K318" s="4">
        <v>44938</v>
      </c>
      <c r="L318" t="s">
        <v>153</v>
      </c>
      <c r="M318" t="s">
        <v>44</v>
      </c>
      <c r="N318" s="4"/>
      <c r="O318" s="10">
        <f t="shared" ca="1" si="28"/>
        <v>1231</v>
      </c>
      <c r="P318" s="10" t="str">
        <f t="shared" ca="1" si="25"/>
        <v>Mais de 1 ano</v>
      </c>
      <c r="Q318">
        <f t="shared" si="30"/>
        <v>0</v>
      </c>
      <c r="R318">
        <v>0</v>
      </c>
      <c r="S318" s="11">
        <f t="shared" si="29"/>
        <v>0</v>
      </c>
      <c r="T318" s="11" t="str">
        <f t="shared" si="26"/>
        <v>Detrator</v>
      </c>
      <c r="U318" s="11" t="str">
        <f t="shared" si="27"/>
        <v>Alto risco</v>
      </c>
      <c r="V318">
        <v>0</v>
      </c>
      <c r="W318">
        <v>50</v>
      </c>
      <c r="X318" s="2">
        <v>29.53</v>
      </c>
      <c r="Y318">
        <v>41</v>
      </c>
      <c r="Z318" t="s">
        <v>35</v>
      </c>
    </row>
    <row r="319" spans="1:26">
      <c r="A319" t="s">
        <v>693</v>
      </c>
      <c r="B319" t="s">
        <v>694</v>
      </c>
      <c r="C319" t="s">
        <v>108</v>
      </c>
      <c r="D319" t="s">
        <v>109</v>
      </c>
      <c r="E319">
        <v>24</v>
      </c>
      <c r="F319" t="s">
        <v>30</v>
      </c>
      <c r="G319" t="s">
        <v>73</v>
      </c>
      <c r="H319" t="s">
        <v>42</v>
      </c>
      <c r="I319" t="e">
        <f ca="1">_xludf.XLOOKUP(H319,Base_Planos!$A:$A,Base_Planos!$B:$B,"Não encontrado")</f>
        <v>#NAME?</v>
      </c>
      <c r="J319" s="2">
        <f>VLOOKUP(H319,Base_Planos!$A:$G,4,FALSE)</f>
        <v>29.9</v>
      </c>
      <c r="K319" s="4">
        <v>46024</v>
      </c>
      <c r="L319" t="s">
        <v>148</v>
      </c>
      <c r="M319" t="s">
        <v>44</v>
      </c>
      <c r="N319" s="4"/>
      <c r="O319" s="10">
        <f t="shared" ca="1" si="28"/>
        <v>145</v>
      </c>
      <c r="P319" s="10" t="str">
        <f t="shared" ca="1" si="25"/>
        <v>91 a 180 dias</v>
      </c>
      <c r="Q319">
        <f t="shared" si="30"/>
        <v>0</v>
      </c>
      <c r="R319">
        <v>6</v>
      </c>
      <c r="S319" s="11">
        <f t="shared" si="29"/>
        <v>0</v>
      </c>
      <c r="T319" s="11" t="str">
        <f t="shared" si="26"/>
        <v>Detrator</v>
      </c>
      <c r="U319" s="11" t="str">
        <f t="shared" si="27"/>
        <v>Alto risco</v>
      </c>
      <c r="V319">
        <v>4</v>
      </c>
      <c r="W319">
        <v>41</v>
      </c>
      <c r="X319" s="2">
        <v>26.63</v>
      </c>
      <c r="Y319">
        <v>4</v>
      </c>
      <c r="Z319" t="s">
        <v>35</v>
      </c>
    </row>
    <row r="320" spans="1:26">
      <c r="A320" t="s">
        <v>695</v>
      </c>
      <c r="B320" t="s">
        <v>696</v>
      </c>
      <c r="C320" t="s">
        <v>77</v>
      </c>
      <c r="D320" t="s">
        <v>78</v>
      </c>
      <c r="E320">
        <v>29</v>
      </c>
      <c r="F320" t="s">
        <v>54</v>
      </c>
      <c r="G320" t="s">
        <v>104</v>
      </c>
      <c r="H320" t="s">
        <v>42</v>
      </c>
      <c r="I320" t="e">
        <f ca="1">_xludf.XLOOKUP(H320,Base_Planos!$A:$A,Base_Planos!$B:$B,"Não encontrado")</f>
        <v>#NAME?</v>
      </c>
      <c r="J320" s="2">
        <f>VLOOKUP(H320,Base_Planos!$A:$G,4,FALSE)</f>
        <v>29.9</v>
      </c>
      <c r="K320" s="4">
        <v>45555</v>
      </c>
      <c r="L320" t="s">
        <v>91</v>
      </c>
      <c r="M320" t="s">
        <v>44</v>
      </c>
      <c r="N320" s="4"/>
      <c r="O320" s="10">
        <f t="shared" ca="1" si="28"/>
        <v>614</v>
      </c>
      <c r="P320" s="10" t="str">
        <f t="shared" ca="1" si="25"/>
        <v>Mais de 1 ano</v>
      </c>
      <c r="Q320">
        <f t="shared" si="30"/>
        <v>0</v>
      </c>
      <c r="R320">
        <v>9</v>
      </c>
      <c r="S320" s="11">
        <f t="shared" si="29"/>
        <v>0</v>
      </c>
      <c r="T320" s="11" t="str">
        <f t="shared" si="26"/>
        <v>Promotor</v>
      </c>
      <c r="U320" s="11" t="str">
        <f t="shared" si="27"/>
        <v>Baixo risco</v>
      </c>
      <c r="V320">
        <v>1</v>
      </c>
      <c r="W320">
        <v>93</v>
      </c>
      <c r="X320" s="2">
        <v>29.36</v>
      </c>
      <c r="Y320">
        <v>20</v>
      </c>
      <c r="Z320" t="s">
        <v>50</v>
      </c>
    </row>
    <row r="321" spans="1:26">
      <c r="A321" t="s">
        <v>697</v>
      </c>
      <c r="B321" t="s">
        <v>408</v>
      </c>
      <c r="C321" t="s">
        <v>77</v>
      </c>
      <c r="D321" t="s">
        <v>78</v>
      </c>
      <c r="E321">
        <v>62</v>
      </c>
      <c r="F321" t="s">
        <v>66</v>
      </c>
      <c r="G321" t="s">
        <v>55</v>
      </c>
      <c r="H321" t="s">
        <v>42</v>
      </c>
      <c r="I321" t="e">
        <f ca="1">_xludf.XLOOKUP(H321,Base_Planos!$A:$A,Base_Planos!$B:$B,"Não encontrado")</f>
        <v>#NAME?</v>
      </c>
      <c r="J321" s="2">
        <f>VLOOKUP(H321,Base_Planos!$A:$G,4,FALSE)</f>
        <v>29.9</v>
      </c>
      <c r="K321" s="4">
        <v>45747</v>
      </c>
      <c r="L321" t="s">
        <v>454</v>
      </c>
      <c r="M321" t="s">
        <v>34</v>
      </c>
      <c r="N321" s="4">
        <v>45976</v>
      </c>
      <c r="O321" s="10">
        <f t="shared" ca="1" si="28"/>
        <v>229</v>
      </c>
      <c r="P321" s="10" t="str">
        <f t="shared" ca="1" si="25"/>
        <v>181 a 365 dias</v>
      </c>
      <c r="Q321">
        <f t="shared" si="30"/>
        <v>1</v>
      </c>
      <c r="R321">
        <v>5</v>
      </c>
      <c r="S321" s="11">
        <f t="shared" si="29"/>
        <v>29.9</v>
      </c>
      <c r="T321" s="11" t="str">
        <f t="shared" si="26"/>
        <v>Detrator</v>
      </c>
      <c r="U321" s="11" t="str">
        <f t="shared" si="27"/>
        <v>Alto risco</v>
      </c>
      <c r="V321">
        <v>1</v>
      </c>
      <c r="W321">
        <v>20</v>
      </c>
      <c r="X321" s="2">
        <v>30.23</v>
      </c>
      <c r="Y321">
        <v>7</v>
      </c>
      <c r="Z321" t="s">
        <v>35</v>
      </c>
    </row>
    <row r="322" spans="1:26">
      <c r="A322" t="s">
        <v>698</v>
      </c>
      <c r="B322" t="s">
        <v>699</v>
      </c>
      <c r="C322" t="s">
        <v>77</v>
      </c>
      <c r="D322" t="s">
        <v>78</v>
      </c>
      <c r="E322">
        <v>56</v>
      </c>
      <c r="F322" t="s">
        <v>54</v>
      </c>
      <c r="G322" t="s">
        <v>55</v>
      </c>
      <c r="H322" t="s">
        <v>42</v>
      </c>
      <c r="I322" t="e">
        <f ca="1">_xludf.XLOOKUP(H322,Base_Planos!$A:$A,Base_Planos!$B:$B,"Não encontrado")</f>
        <v>#NAME?</v>
      </c>
      <c r="J322" s="2">
        <f>VLOOKUP(H322,Base_Planos!$A:$G,4,FALSE)</f>
        <v>29.9</v>
      </c>
      <c r="K322" s="4">
        <v>45686</v>
      </c>
      <c r="L322" t="s">
        <v>261</v>
      </c>
      <c r="M322" t="s">
        <v>34</v>
      </c>
      <c r="N322" s="4">
        <v>46051</v>
      </c>
      <c r="O322" s="10">
        <f t="shared" ca="1" si="28"/>
        <v>365</v>
      </c>
      <c r="P322" s="10" t="str">
        <f t="shared" ref="P322:P385" ca="1" si="31">IF(O322&lt;=30,"Até 30 dias",IF(O322&lt;=90,"31 a 90 dias",IF(O322&lt;=180,"91 a 180 dias",IF(O322&lt;=365,"181 a 365 dias","Mais de 1 ano"))))</f>
        <v>181 a 365 dias</v>
      </c>
      <c r="Q322">
        <f t="shared" si="30"/>
        <v>1</v>
      </c>
      <c r="R322">
        <v>1</v>
      </c>
      <c r="S322" s="11">
        <f t="shared" si="29"/>
        <v>29.9</v>
      </c>
      <c r="T322" s="11" t="str">
        <f t="shared" ref="T322:T385" si="32">IF(R322&lt;=6,"Detrator",IF(R322&lt;=8,"Neutro","Promotor"))</f>
        <v>Detrator</v>
      </c>
      <c r="U322" s="11" t="str">
        <f t="shared" ref="U322:U385" si="33">IF(Q322=1,"Alto risco",IF(R322&lt;=6,"Alto risco",IF(R322&lt;=8,"Médio risco","Baixo risco")))</f>
        <v>Alto risco</v>
      </c>
      <c r="V322">
        <v>3</v>
      </c>
      <c r="W322">
        <v>28</v>
      </c>
      <c r="X322" s="2">
        <v>29.67</v>
      </c>
      <c r="Y322">
        <v>12</v>
      </c>
      <c r="Z322" t="s">
        <v>45</v>
      </c>
    </row>
    <row r="323" spans="1:26">
      <c r="A323" t="s">
        <v>700</v>
      </c>
      <c r="B323" t="s">
        <v>624</v>
      </c>
      <c r="C323" t="s">
        <v>48</v>
      </c>
      <c r="D323" t="s">
        <v>29</v>
      </c>
      <c r="E323">
        <v>29</v>
      </c>
      <c r="F323" t="s">
        <v>40</v>
      </c>
      <c r="G323" t="s">
        <v>104</v>
      </c>
      <c r="H323" t="s">
        <v>32</v>
      </c>
      <c r="I323" t="e">
        <f ca="1">_xludf.XLOOKUP(H323,Base_Planos!$A:$A,Base_Planos!$B:$B,"Não encontrado")</f>
        <v>#NAME?</v>
      </c>
      <c r="J323" s="2">
        <f>VLOOKUP(H323,Base_Planos!$A:$G,4,FALSE)</f>
        <v>39.9</v>
      </c>
      <c r="K323" s="4">
        <v>45988</v>
      </c>
      <c r="L323" t="s">
        <v>87</v>
      </c>
      <c r="M323" t="s">
        <v>44</v>
      </c>
      <c r="N323" s="4"/>
      <c r="O323" s="10">
        <f t="shared" ref="O323:O386" ca="1" si="34">IF(M323="Cancelado",N323-K323,TODAY()-K323)</f>
        <v>181</v>
      </c>
      <c r="P323" s="10" t="str">
        <f t="shared" ca="1" si="31"/>
        <v>181 a 365 dias</v>
      </c>
      <c r="Q323">
        <f t="shared" si="30"/>
        <v>0</v>
      </c>
      <c r="R323">
        <v>4</v>
      </c>
      <c r="S323" s="11">
        <f t="shared" ref="S323:S386" si="35">IF(Q323=1,J323,0)</f>
        <v>0</v>
      </c>
      <c r="T323" s="11" t="str">
        <f t="shared" si="32"/>
        <v>Detrator</v>
      </c>
      <c r="U323" s="11" t="str">
        <f t="shared" si="33"/>
        <v>Alto risco</v>
      </c>
      <c r="V323">
        <v>0</v>
      </c>
      <c r="W323">
        <v>100</v>
      </c>
      <c r="X323" s="2">
        <v>38.82</v>
      </c>
      <c r="Y323">
        <v>6</v>
      </c>
      <c r="Z323" t="s">
        <v>35</v>
      </c>
    </row>
    <row r="324" spans="1:26">
      <c r="A324" t="s">
        <v>701</v>
      </c>
      <c r="B324" t="s">
        <v>702</v>
      </c>
      <c r="C324" t="s">
        <v>108</v>
      </c>
      <c r="D324" t="s">
        <v>109</v>
      </c>
      <c r="E324">
        <v>33</v>
      </c>
      <c r="F324" t="s">
        <v>40</v>
      </c>
      <c r="G324" t="s">
        <v>96</v>
      </c>
      <c r="H324" t="s">
        <v>32</v>
      </c>
      <c r="I324" t="e">
        <f ca="1">_xludf.XLOOKUP(H324,Base_Planos!$A:$A,Base_Planos!$B:$B,"Não encontrado")</f>
        <v>#NAME?</v>
      </c>
      <c r="J324" s="2">
        <f>VLOOKUP(H324,Base_Planos!$A:$G,4,FALSE)</f>
        <v>39.9</v>
      </c>
      <c r="K324" s="4">
        <v>45492</v>
      </c>
      <c r="L324" t="s">
        <v>142</v>
      </c>
      <c r="M324" t="s">
        <v>44</v>
      </c>
      <c r="N324" s="4"/>
      <c r="O324" s="10">
        <f t="shared" ca="1" si="34"/>
        <v>677</v>
      </c>
      <c r="P324" s="10" t="str">
        <f t="shared" ca="1" si="31"/>
        <v>Mais de 1 ano</v>
      </c>
      <c r="Q324">
        <f t="shared" si="30"/>
        <v>0</v>
      </c>
      <c r="R324">
        <v>6</v>
      </c>
      <c r="S324" s="11">
        <f t="shared" si="35"/>
        <v>0</v>
      </c>
      <c r="T324" s="11" t="str">
        <f t="shared" si="32"/>
        <v>Detrator</v>
      </c>
      <c r="U324" s="11" t="str">
        <f t="shared" si="33"/>
        <v>Alto risco</v>
      </c>
      <c r="V324">
        <v>1</v>
      </c>
      <c r="W324">
        <v>79</v>
      </c>
      <c r="X324" s="2">
        <v>39.799999999999997</v>
      </c>
      <c r="Y324">
        <v>22</v>
      </c>
      <c r="Z324" t="s">
        <v>50</v>
      </c>
    </row>
    <row r="325" spans="1:26">
      <c r="A325" t="s">
        <v>703</v>
      </c>
      <c r="B325" t="s">
        <v>704</v>
      </c>
      <c r="C325" t="s">
        <v>38</v>
      </c>
      <c r="D325" t="s">
        <v>39</v>
      </c>
      <c r="E325">
        <v>36</v>
      </c>
      <c r="F325" t="s">
        <v>40</v>
      </c>
      <c r="G325" t="s">
        <v>165</v>
      </c>
      <c r="H325" t="s">
        <v>112</v>
      </c>
      <c r="I325" t="e">
        <f ca="1">_xludf.XLOOKUP(H325,Base_Planos!$A:$A,Base_Planos!$B:$B,"Não encontrado")</f>
        <v>#NAME?</v>
      </c>
      <c r="J325" s="2">
        <f>VLOOKUP(H325,Base_Planos!$A:$G,4,FALSE)</f>
        <v>79.900000000000006</v>
      </c>
      <c r="K325" s="4">
        <v>45493</v>
      </c>
      <c r="L325" t="s">
        <v>142</v>
      </c>
      <c r="M325" t="s">
        <v>44</v>
      </c>
      <c r="N325" s="4"/>
      <c r="O325" s="10">
        <f t="shared" ca="1" si="34"/>
        <v>676</v>
      </c>
      <c r="P325" s="10" t="str">
        <f t="shared" ca="1" si="31"/>
        <v>Mais de 1 ano</v>
      </c>
      <c r="Q325">
        <f t="shared" si="30"/>
        <v>0</v>
      </c>
      <c r="R325">
        <v>3</v>
      </c>
      <c r="S325" s="11">
        <f t="shared" si="35"/>
        <v>0</v>
      </c>
      <c r="T325" s="11" t="str">
        <f t="shared" si="32"/>
        <v>Detrator</v>
      </c>
      <c r="U325" s="11" t="str">
        <f t="shared" si="33"/>
        <v>Alto risco</v>
      </c>
      <c r="V325">
        <v>3</v>
      </c>
      <c r="W325">
        <v>45</v>
      </c>
      <c r="X325" s="2">
        <v>72.09</v>
      </c>
      <c r="Y325">
        <v>22</v>
      </c>
      <c r="Z325" t="s">
        <v>35</v>
      </c>
    </row>
    <row r="326" spans="1:26">
      <c r="A326" t="s">
        <v>705</v>
      </c>
      <c r="B326" t="s">
        <v>706</v>
      </c>
      <c r="C326" t="s">
        <v>102</v>
      </c>
      <c r="D326" t="s">
        <v>103</v>
      </c>
      <c r="E326">
        <v>53</v>
      </c>
      <c r="F326" t="s">
        <v>30</v>
      </c>
      <c r="G326" t="s">
        <v>73</v>
      </c>
      <c r="H326" t="s">
        <v>42</v>
      </c>
      <c r="I326" t="e">
        <f ca="1">_xludf.XLOOKUP(H326,Base_Planos!$A:$A,Base_Planos!$B:$B,"Não encontrado")</f>
        <v>#NAME?</v>
      </c>
      <c r="J326" s="2">
        <f>VLOOKUP(H326,Base_Planos!$A:$G,4,FALSE)</f>
        <v>29.9</v>
      </c>
      <c r="K326" s="4">
        <v>45166</v>
      </c>
      <c r="L326" t="s">
        <v>162</v>
      </c>
      <c r="M326" t="s">
        <v>44</v>
      </c>
      <c r="N326" s="4"/>
      <c r="O326" s="10">
        <f t="shared" ca="1" si="34"/>
        <v>1003</v>
      </c>
      <c r="P326" s="10" t="str">
        <f t="shared" ca="1" si="31"/>
        <v>Mais de 1 ano</v>
      </c>
      <c r="Q326">
        <f t="shared" si="30"/>
        <v>0</v>
      </c>
      <c r="R326">
        <v>8</v>
      </c>
      <c r="S326" s="11">
        <f t="shared" si="35"/>
        <v>0</v>
      </c>
      <c r="T326" s="11" t="str">
        <f t="shared" si="32"/>
        <v>Neutro</v>
      </c>
      <c r="U326" s="11" t="str">
        <f t="shared" si="33"/>
        <v>Médio risco</v>
      </c>
      <c r="V326">
        <v>2</v>
      </c>
      <c r="W326">
        <v>41</v>
      </c>
      <c r="X326" s="2">
        <v>29.57</v>
      </c>
      <c r="Y326">
        <v>33</v>
      </c>
      <c r="Z326" t="s">
        <v>35</v>
      </c>
    </row>
    <row r="327" spans="1:26">
      <c r="A327" t="s">
        <v>707</v>
      </c>
      <c r="B327" t="s">
        <v>552</v>
      </c>
      <c r="C327" t="s">
        <v>77</v>
      </c>
      <c r="D327" t="s">
        <v>78</v>
      </c>
      <c r="E327">
        <v>33</v>
      </c>
      <c r="F327" t="s">
        <v>40</v>
      </c>
      <c r="G327" t="s">
        <v>104</v>
      </c>
      <c r="H327" t="s">
        <v>61</v>
      </c>
      <c r="I327" t="e">
        <f ca="1">_xludf.XLOOKUP(H327,Base_Planos!$A:$A,Base_Planos!$B:$B,"Não encontrado")</f>
        <v>#NAME?</v>
      </c>
      <c r="J327" s="2">
        <f>VLOOKUP(H327,Base_Planos!$A:$G,4,FALSE)</f>
        <v>59.9</v>
      </c>
      <c r="K327" s="4">
        <v>46128</v>
      </c>
      <c r="L327" t="s">
        <v>43</v>
      </c>
      <c r="M327" t="s">
        <v>44</v>
      </c>
      <c r="N327" s="4"/>
      <c r="O327" s="10">
        <f t="shared" ca="1" si="34"/>
        <v>41</v>
      </c>
      <c r="P327" s="10" t="str">
        <f t="shared" ca="1" si="31"/>
        <v>31 a 90 dias</v>
      </c>
      <c r="Q327">
        <f t="shared" si="30"/>
        <v>0</v>
      </c>
      <c r="R327">
        <v>0</v>
      </c>
      <c r="S327" s="11">
        <f t="shared" si="35"/>
        <v>0</v>
      </c>
      <c r="T327" s="11" t="str">
        <f t="shared" si="32"/>
        <v>Detrator</v>
      </c>
      <c r="U327" s="11" t="str">
        <f t="shared" si="33"/>
        <v>Alto risco</v>
      </c>
      <c r="V327">
        <v>0</v>
      </c>
      <c r="W327">
        <v>59</v>
      </c>
      <c r="X327" s="2">
        <v>53.56</v>
      </c>
      <c r="Y327">
        <v>1</v>
      </c>
      <c r="Z327" t="s">
        <v>35</v>
      </c>
    </row>
    <row r="328" spans="1:26">
      <c r="A328" t="s">
        <v>708</v>
      </c>
      <c r="B328" t="s">
        <v>709</v>
      </c>
      <c r="C328" t="s">
        <v>48</v>
      </c>
      <c r="D328" t="s">
        <v>29</v>
      </c>
      <c r="E328">
        <v>38</v>
      </c>
      <c r="F328" t="s">
        <v>54</v>
      </c>
      <c r="G328" t="s">
        <v>165</v>
      </c>
      <c r="H328" t="s">
        <v>112</v>
      </c>
      <c r="I328" t="e">
        <f ca="1">_xludf.XLOOKUP(H328,Base_Planos!$A:$A,Base_Planos!$B:$B,"Não encontrado")</f>
        <v>#NAME?</v>
      </c>
      <c r="J328" s="2">
        <f>VLOOKUP(H328,Base_Planos!$A:$G,4,FALSE)</f>
        <v>79.900000000000006</v>
      </c>
      <c r="K328" s="4">
        <v>44946</v>
      </c>
      <c r="L328" t="s">
        <v>153</v>
      </c>
      <c r="M328" t="s">
        <v>44</v>
      </c>
      <c r="N328" s="4"/>
      <c r="O328" s="10">
        <f t="shared" ca="1" si="34"/>
        <v>1223</v>
      </c>
      <c r="P328" s="10" t="str">
        <f t="shared" ca="1" si="31"/>
        <v>Mais de 1 ano</v>
      </c>
      <c r="Q328">
        <f t="shared" si="30"/>
        <v>0</v>
      </c>
      <c r="R328">
        <v>4</v>
      </c>
      <c r="S328" s="11">
        <f t="shared" si="35"/>
        <v>0</v>
      </c>
      <c r="T328" s="11" t="str">
        <f t="shared" si="32"/>
        <v>Detrator</v>
      </c>
      <c r="U328" s="11" t="str">
        <f t="shared" si="33"/>
        <v>Alto risco</v>
      </c>
      <c r="V328">
        <v>1</v>
      </c>
      <c r="W328">
        <v>69</v>
      </c>
      <c r="X328" s="2">
        <v>69.13</v>
      </c>
      <c r="Y328">
        <v>40</v>
      </c>
      <c r="Z328" t="s">
        <v>35</v>
      </c>
    </row>
    <row r="329" spans="1:26">
      <c r="A329" t="s">
        <v>710</v>
      </c>
      <c r="B329" t="s">
        <v>711</v>
      </c>
      <c r="C329" t="s">
        <v>77</v>
      </c>
      <c r="D329" t="s">
        <v>78</v>
      </c>
      <c r="E329">
        <v>38</v>
      </c>
      <c r="F329" t="s">
        <v>54</v>
      </c>
      <c r="G329" t="s">
        <v>73</v>
      </c>
      <c r="H329" t="s">
        <v>42</v>
      </c>
      <c r="I329" t="e">
        <f ca="1">_xludf.XLOOKUP(H329,Base_Planos!$A:$A,Base_Planos!$B:$B,"Não encontrado")</f>
        <v>#NAME?</v>
      </c>
      <c r="J329" s="2">
        <f>VLOOKUP(H329,Base_Planos!$A:$G,4,FALSE)</f>
        <v>29.9</v>
      </c>
      <c r="K329" s="4">
        <v>45316</v>
      </c>
      <c r="L329" t="s">
        <v>516</v>
      </c>
      <c r="M329" t="s">
        <v>44</v>
      </c>
      <c r="N329" s="4"/>
      <c r="O329" s="10">
        <f t="shared" ca="1" si="34"/>
        <v>853</v>
      </c>
      <c r="P329" s="10" t="str">
        <f t="shared" ca="1" si="31"/>
        <v>Mais de 1 ano</v>
      </c>
      <c r="Q329">
        <f t="shared" si="30"/>
        <v>0</v>
      </c>
      <c r="R329">
        <v>7</v>
      </c>
      <c r="S329" s="11">
        <f t="shared" si="35"/>
        <v>0</v>
      </c>
      <c r="T329" s="11" t="str">
        <f t="shared" si="32"/>
        <v>Neutro</v>
      </c>
      <c r="U329" s="11" t="str">
        <f t="shared" si="33"/>
        <v>Médio risco</v>
      </c>
      <c r="V329">
        <v>0</v>
      </c>
      <c r="W329">
        <v>36</v>
      </c>
      <c r="X329" s="2">
        <v>26.79</v>
      </c>
      <c r="Y329">
        <v>28</v>
      </c>
      <c r="Z329" t="s">
        <v>50</v>
      </c>
    </row>
    <row r="330" spans="1:26">
      <c r="A330" t="s">
        <v>712</v>
      </c>
      <c r="B330" t="s">
        <v>427</v>
      </c>
      <c r="C330" t="s">
        <v>53</v>
      </c>
      <c r="D330" t="s">
        <v>29</v>
      </c>
      <c r="E330">
        <v>57</v>
      </c>
      <c r="F330" t="s">
        <v>54</v>
      </c>
      <c r="G330" t="s">
        <v>55</v>
      </c>
      <c r="H330" t="s">
        <v>32</v>
      </c>
      <c r="I330" t="e">
        <f ca="1">_xludf.XLOOKUP(H330,Base_Planos!$A:$A,Base_Planos!$B:$B,"Não encontrado")</f>
        <v>#NAME?</v>
      </c>
      <c r="J330" s="2">
        <f>VLOOKUP(H330,Base_Planos!$A:$G,4,FALSE)</f>
        <v>39.9</v>
      </c>
      <c r="K330" s="4">
        <v>45087</v>
      </c>
      <c r="L330" t="s">
        <v>328</v>
      </c>
      <c r="M330" t="s">
        <v>44</v>
      </c>
      <c r="N330" s="4"/>
      <c r="O330" s="10">
        <f t="shared" ca="1" si="34"/>
        <v>1082</v>
      </c>
      <c r="P330" s="10" t="str">
        <f t="shared" ca="1" si="31"/>
        <v>Mais de 1 ano</v>
      </c>
      <c r="Q330">
        <f t="shared" si="30"/>
        <v>0</v>
      </c>
      <c r="R330">
        <v>10</v>
      </c>
      <c r="S330" s="11">
        <f t="shared" si="35"/>
        <v>0</v>
      </c>
      <c r="T330" s="11" t="str">
        <f t="shared" si="32"/>
        <v>Promotor</v>
      </c>
      <c r="U330" s="11" t="str">
        <f t="shared" si="33"/>
        <v>Baixo risco</v>
      </c>
      <c r="V330">
        <v>0</v>
      </c>
      <c r="W330">
        <v>48</v>
      </c>
      <c r="X330" s="2">
        <v>41.56</v>
      </c>
      <c r="Y330">
        <v>36</v>
      </c>
      <c r="Z330" t="s">
        <v>50</v>
      </c>
    </row>
    <row r="331" spans="1:26">
      <c r="A331" t="s">
        <v>713</v>
      </c>
      <c r="B331" t="s">
        <v>714</v>
      </c>
      <c r="C331" t="s">
        <v>108</v>
      </c>
      <c r="D331" t="s">
        <v>109</v>
      </c>
      <c r="E331">
        <v>57</v>
      </c>
      <c r="F331" t="s">
        <v>30</v>
      </c>
      <c r="G331" t="s">
        <v>73</v>
      </c>
      <c r="H331" t="s">
        <v>112</v>
      </c>
      <c r="I331" t="e">
        <f ca="1">_xludf.XLOOKUP(H331,Base_Planos!$A:$A,Base_Planos!$B:$B,"Não encontrado")</f>
        <v>#NAME?</v>
      </c>
      <c r="J331" s="2">
        <f>VLOOKUP(H331,Base_Planos!$A:$G,4,FALSE)</f>
        <v>79.900000000000006</v>
      </c>
      <c r="K331" s="4">
        <v>45973</v>
      </c>
      <c r="L331" t="s">
        <v>87</v>
      </c>
      <c r="M331" t="s">
        <v>44</v>
      </c>
      <c r="N331" s="4"/>
      <c r="O331" s="10">
        <f t="shared" ca="1" si="34"/>
        <v>196</v>
      </c>
      <c r="P331" s="10" t="str">
        <f t="shared" ca="1" si="31"/>
        <v>181 a 365 dias</v>
      </c>
      <c r="Q331">
        <f t="shared" si="30"/>
        <v>0</v>
      </c>
      <c r="R331">
        <v>4</v>
      </c>
      <c r="S331" s="11">
        <f t="shared" si="35"/>
        <v>0</v>
      </c>
      <c r="T331" s="11" t="str">
        <f t="shared" si="32"/>
        <v>Detrator</v>
      </c>
      <c r="U331" s="11" t="str">
        <f t="shared" si="33"/>
        <v>Alto risco</v>
      </c>
      <c r="V331">
        <v>0</v>
      </c>
      <c r="W331">
        <v>84</v>
      </c>
      <c r="X331" s="2">
        <v>74.680000000000007</v>
      </c>
      <c r="Y331">
        <v>6</v>
      </c>
      <c r="Z331" t="s">
        <v>35</v>
      </c>
    </row>
    <row r="332" spans="1:26">
      <c r="A332" t="s">
        <v>715</v>
      </c>
      <c r="B332" t="s">
        <v>716</v>
      </c>
      <c r="C332" t="s">
        <v>38</v>
      </c>
      <c r="D332" t="s">
        <v>39</v>
      </c>
      <c r="E332">
        <v>40</v>
      </c>
      <c r="F332" t="s">
        <v>54</v>
      </c>
      <c r="G332" t="s">
        <v>96</v>
      </c>
      <c r="H332" t="s">
        <v>112</v>
      </c>
      <c r="I332" t="e">
        <f ca="1">_xludf.XLOOKUP(H332,Base_Planos!$A:$A,Base_Planos!$B:$B,"Não encontrado")</f>
        <v>#NAME?</v>
      </c>
      <c r="J332" s="2">
        <f>VLOOKUP(H332,Base_Planos!$A:$G,4,FALSE)</f>
        <v>79.900000000000006</v>
      </c>
      <c r="K332" s="4">
        <v>45173</v>
      </c>
      <c r="L332" t="s">
        <v>105</v>
      </c>
      <c r="M332" t="s">
        <v>44</v>
      </c>
      <c r="N332" s="4"/>
      <c r="O332" s="10">
        <f t="shared" ca="1" si="34"/>
        <v>996</v>
      </c>
      <c r="P332" s="10" t="str">
        <f t="shared" ca="1" si="31"/>
        <v>Mais de 1 ano</v>
      </c>
      <c r="Q332">
        <f t="shared" si="30"/>
        <v>0</v>
      </c>
      <c r="R332">
        <v>8</v>
      </c>
      <c r="S332" s="11">
        <f t="shared" si="35"/>
        <v>0</v>
      </c>
      <c r="T332" s="11" t="str">
        <f t="shared" si="32"/>
        <v>Neutro</v>
      </c>
      <c r="U332" s="11" t="str">
        <f t="shared" si="33"/>
        <v>Médio risco</v>
      </c>
      <c r="V332">
        <v>0</v>
      </c>
      <c r="W332">
        <v>67</v>
      </c>
      <c r="X332" s="2">
        <v>77.2</v>
      </c>
      <c r="Y332">
        <v>33</v>
      </c>
      <c r="Z332" t="s">
        <v>50</v>
      </c>
    </row>
    <row r="333" spans="1:26">
      <c r="A333" t="s">
        <v>717</v>
      </c>
      <c r="B333" t="s">
        <v>596</v>
      </c>
      <c r="C333" t="s">
        <v>90</v>
      </c>
      <c r="D333" t="s">
        <v>29</v>
      </c>
      <c r="E333">
        <v>34</v>
      </c>
      <c r="F333" t="s">
        <v>30</v>
      </c>
      <c r="G333" t="s">
        <v>73</v>
      </c>
      <c r="H333" t="s">
        <v>42</v>
      </c>
      <c r="I333" t="e">
        <f ca="1">_xludf.XLOOKUP(H333,Base_Planos!$A:$A,Base_Planos!$B:$B,"Não encontrado")</f>
        <v>#NAME?</v>
      </c>
      <c r="J333" s="2">
        <f>VLOOKUP(H333,Base_Planos!$A:$G,4,FALSE)</f>
        <v>29.9</v>
      </c>
      <c r="K333" s="4">
        <v>45892</v>
      </c>
      <c r="L333" t="s">
        <v>159</v>
      </c>
      <c r="M333" t="s">
        <v>44</v>
      </c>
      <c r="N333" s="4"/>
      <c r="O333" s="10">
        <f t="shared" ca="1" si="34"/>
        <v>277</v>
      </c>
      <c r="P333" s="10" t="str">
        <f t="shared" ca="1" si="31"/>
        <v>181 a 365 dias</v>
      </c>
      <c r="Q333">
        <f t="shared" si="30"/>
        <v>0</v>
      </c>
      <c r="R333">
        <v>9</v>
      </c>
      <c r="S333" s="11">
        <f t="shared" si="35"/>
        <v>0</v>
      </c>
      <c r="T333" s="11" t="str">
        <f t="shared" si="32"/>
        <v>Promotor</v>
      </c>
      <c r="U333" s="11" t="str">
        <f t="shared" si="33"/>
        <v>Baixo risco</v>
      </c>
      <c r="V333">
        <v>0</v>
      </c>
      <c r="W333">
        <v>71</v>
      </c>
      <c r="X333" s="2">
        <v>29.91</v>
      </c>
      <c r="Y333">
        <v>9</v>
      </c>
      <c r="Z333" t="s">
        <v>50</v>
      </c>
    </row>
    <row r="334" spans="1:26">
      <c r="A334" t="s">
        <v>718</v>
      </c>
      <c r="B334" t="s">
        <v>415</v>
      </c>
      <c r="C334" t="s">
        <v>140</v>
      </c>
      <c r="D334" t="s">
        <v>141</v>
      </c>
      <c r="E334">
        <v>46</v>
      </c>
      <c r="F334" t="s">
        <v>30</v>
      </c>
      <c r="G334" t="s">
        <v>96</v>
      </c>
      <c r="H334" t="s">
        <v>166</v>
      </c>
      <c r="I334" t="e">
        <f ca="1">_xludf.XLOOKUP(H334,Base_Planos!$A:$A,Base_Planos!$B:$B,"Não encontrado")</f>
        <v>#NAME?</v>
      </c>
      <c r="J334" s="2">
        <f>VLOOKUP(H334,Base_Planos!$A:$G,4,FALSE)</f>
        <v>399.9</v>
      </c>
      <c r="K334" s="4">
        <v>45395</v>
      </c>
      <c r="L334" t="s">
        <v>56</v>
      </c>
      <c r="M334" t="s">
        <v>44</v>
      </c>
      <c r="N334" s="4"/>
      <c r="O334" s="10">
        <f t="shared" ca="1" si="34"/>
        <v>774</v>
      </c>
      <c r="P334" s="10" t="str">
        <f t="shared" ca="1" si="31"/>
        <v>Mais de 1 ano</v>
      </c>
      <c r="Q334">
        <f t="shared" si="30"/>
        <v>0</v>
      </c>
      <c r="R334">
        <v>1</v>
      </c>
      <c r="S334" s="11">
        <f t="shared" si="35"/>
        <v>0</v>
      </c>
      <c r="T334" s="11" t="str">
        <f t="shared" si="32"/>
        <v>Detrator</v>
      </c>
      <c r="U334" s="11" t="str">
        <f t="shared" si="33"/>
        <v>Alto risco</v>
      </c>
      <c r="V334">
        <v>0</v>
      </c>
      <c r="W334">
        <v>7</v>
      </c>
      <c r="X334" s="2">
        <v>355.6</v>
      </c>
      <c r="Y334">
        <v>25</v>
      </c>
      <c r="Z334" t="s">
        <v>45</v>
      </c>
    </row>
    <row r="335" spans="1:26">
      <c r="A335" t="s">
        <v>719</v>
      </c>
      <c r="B335" t="s">
        <v>507</v>
      </c>
      <c r="C335" t="s">
        <v>77</v>
      </c>
      <c r="D335" t="s">
        <v>78</v>
      </c>
      <c r="E335">
        <v>18</v>
      </c>
      <c r="F335" t="s">
        <v>30</v>
      </c>
      <c r="G335" t="s">
        <v>104</v>
      </c>
      <c r="H335" t="s">
        <v>32</v>
      </c>
      <c r="I335" t="e">
        <f ca="1">_xludf.XLOOKUP(H335,Base_Planos!$A:$A,Base_Planos!$B:$B,"Não encontrado")</f>
        <v>#NAME?</v>
      </c>
      <c r="J335" s="2">
        <f>VLOOKUP(H335,Base_Planos!$A:$G,4,FALSE)</f>
        <v>39.9</v>
      </c>
      <c r="K335" s="4">
        <v>45985</v>
      </c>
      <c r="L335" t="s">
        <v>87</v>
      </c>
      <c r="M335" t="s">
        <v>44</v>
      </c>
      <c r="N335" s="4"/>
      <c r="O335" s="10">
        <f t="shared" ca="1" si="34"/>
        <v>184</v>
      </c>
      <c r="P335" s="10" t="str">
        <f t="shared" ca="1" si="31"/>
        <v>181 a 365 dias</v>
      </c>
      <c r="Q335">
        <f t="shared" si="30"/>
        <v>0</v>
      </c>
      <c r="R335">
        <v>8</v>
      </c>
      <c r="S335" s="11">
        <f t="shared" si="35"/>
        <v>0</v>
      </c>
      <c r="T335" s="11" t="str">
        <f t="shared" si="32"/>
        <v>Neutro</v>
      </c>
      <c r="U335" s="11" t="str">
        <f t="shared" si="33"/>
        <v>Médio risco</v>
      </c>
      <c r="V335">
        <v>0</v>
      </c>
      <c r="W335">
        <v>8</v>
      </c>
      <c r="X335" s="2">
        <v>38.450000000000003</v>
      </c>
      <c r="Y335">
        <v>6</v>
      </c>
      <c r="Z335" t="s">
        <v>35</v>
      </c>
    </row>
    <row r="336" spans="1:26">
      <c r="A336" t="s">
        <v>720</v>
      </c>
      <c r="B336" t="s">
        <v>721</v>
      </c>
      <c r="C336" t="s">
        <v>137</v>
      </c>
      <c r="D336" t="s">
        <v>29</v>
      </c>
      <c r="E336">
        <v>28</v>
      </c>
      <c r="F336" t="s">
        <v>30</v>
      </c>
      <c r="G336" t="s">
        <v>73</v>
      </c>
      <c r="H336" t="s">
        <v>112</v>
      </c>
      <c r="I336" t="e">
        <f ca="1">_xludf.XLOOKUP(H336,Base_Planos!$A:$A,Base_Planos!$B:$B,"Não encontrado")</f>
        <v>#NAME?</v>
      </c>
      <c r="J336" s="2">
        <f>VLOOKUP(H336,Base_Planos!$A:$G,4,FALSE)</f>
        <v>79.900000000000006</v>
      </c>
      <c r="K336" s="4">
        <v>45124</v>
      </c>
      <c r="L336" t="s">
        <v>33</v>
      </c>
      <c r="M336" t="s">
        <v>44</v>
      </c>
      <c r="N336" s="4"/>
      <c r="O336" s="10">
        <f t="shared" ca="1" si="34"/>
        <v>1045</v>
      </c>
      <c r="P336" s="10" t="str">
        <f t="shared" ca="1" si="31"/>
        <v>Mais de 1 ano</v>
      </c>
      <c r="Q336">
        <f t="shared" si="30"/>
        <v>0</v>
      </c>
      <c r="R336">
        <v>7</v>
      </c>
      <c r="S336" s="11">
        <f t="shared" si="35"/>
        <v>0</v>
      </c>
      <c r="T336" s="11" t="str">
        <f t="shared" si="32"/>
        <v>Neutro</v>
      </c>
      <c r="U336" s="11" t="str">
        <f t="shared" si="33"/>
        <v>Médio risco</v>
      </c>
      <c r="V336">
        <v>0</v>
      </c>
      <c r="W336">
        <v>35</v>
      </c>
      <c r="X336" s="2">
        <v>80.86</v>
      </c>
      <c r="Y336">
        <v>34</v>
      </c>
      <c r="Z336" t="s">
        <v>50</v>
      </c>
    </row>
    <row r="337" spans="1:26">
      <c r="A337" t="s">
        <v>722</v>
      </c>
      <c r="B337" t="s">
        <v>723</v>
      </c>
      <c r="C337" t="s">
        <v>71</v>
      </c>
      <c r="D337" t="s">
        <v>72</v>
      </c>
      <c r="E337">
        <v>25</v>
      </c>
      <c r="F337" t="s">
        <v>54</v>
      </c>
      <c r="G337" t="s">
        <v>31</v>
      </c>
      <c r="H337" t="s">
        <v>61</v>
      </c>
      <c r="I337" t="e">
        <f ca="1">_xludf.XLOOKUP(H337,Base_Planos!$A:$A,Base_Planos!$B:$B,"Não encontrado")</f>
        <v>#NAME?</v>
      </c>
      <c r="J337" s="2">
        <f>VLOOKUP(H337,Base_Planos!$A:$G,4,FALSE)</f>
        <v>59.9</v>
      </c>
      <c r="K337" s="4">
        <v>46029</v>
      </c>
      <c r="L337" t="s">
        <v>148</v>
      </c>
      <c r="M337" t="s">
        <v>44</v>
      </c>
      <c r="N337" s="4"/>
      <c r="O337" s="10">
        <f t="shared" ca="1" si="34"/>
        <v>140</v>
      </c>
      <c r="P337" s="10" t="str">
        <f t="shared" ca="1" si="31"/>
        <v>91 a 180 dias</v>
      </c>
      <c r="Q337">
        <f t="shared" si="30"/>
        <v>0</v>
      </c>
      <c r="R337">
        <v>2</v>
      </c>
      <c r="S337" s="11">
        <f t="shared" si="35"/>
        <v>0</v>
      </c>
      <c r="T337" s="11" t="str">
        <f t="shared" si="32"/>
        <v>Detrator</v>
      </c>
      <c r="U337" s="11" t="str">
        <f t="shared" si="33"/>
        <v>Alto risco</v>
      </c>
      <c r="V337">
        <v>0</v>
      </c>
      <c r="W337">
        <v>54</v>
      </c>
      <c r="X337" s="2">
        <v>60.2</v>
      </c>
      <c r="Y337">
        <v>4</v>
      </c>
      <c r="Z337" t="s">
        <v>35</v>
      </c>
    </row>
    <row r="338" spans="1:26">
      <c r="A338" t="s">
        <v>724</v>
      </c>
      <c r="B338" t="s">
        <v>725</v>
      </c>
      <c r="C338" t="s">
        <v>71</v>
      </c>
      <c r="D338" t="s">
        <v>72</v>
      </c>
      <c r="E338">
        <v>57</v>
      </c>
      <c r="F338" t="s">
        <v>30</v>
      </c>
      <c r="G338" t="s">
        <v>96</v>
      </c>
      <c r="H338" t="s">
        <v>86</v>
      </c>
      <c r="I338" t="e">
        <f ca="1">_xludf.XLOOKUP(H338,Base_Planos!$A:$A,Base_Planos!$B:$B,"Não encontrado")</f>
        <v>#NAME?</v>
      </c>
      <c r="J338" s="2">
        <f>VLOOKUP(H338,Base_Planos!$A:$G,4,FALSE)</f>
        <v>119.9</v>
      </c>
      <c r="K338" s="4">
        <v>45617</v>
      </c>
      <c r="L338" t="s">
        <v>83</v>
      </c>
      <c r="M338" t="s">
        <v>34</v>
      </c>
      <c r="N338" s="4">
        <v>45812</v>
      </c>
      <c r="O338" s="10">
        <f t="shared" ca="1" si="34"/>
        <v>195</v>
      </c>
      <c r="P338" s="10" t="str">
        <f t="shared" ca="1" si="31"/>
        <v>181 a 365 dias</v>
      </c>
      <c r="Q338">
        <f t="shared" si="30"/>
        <v>1</v>
      </c>
      <c r="R338">
        <v>6</v>
      </c>
      <c r="S338" s="11">
        <f t="shared" si="35"/>
        <v>119.9</v>
      </c>
      <c r="T338" s="11" t="str">
        <f t="shared" si="32"/>
        <v>Detrator</v>
      </c>
      <c r="U338" s="11" t="str">
        <f t="shared" si="33"/>
        <v>Alto risco</v>
      </c>
      <c r="V338">
        <v>2</v>
      </c>
      <c r="W338">
        <v>30</v>
      </c>
      <c r="X338" s="2">
        <v>107.39</v>
      </c>
      <c r="Y338">
        <v>6</v>
      </c>
      <c r="Z338" t="s">
        <v>35</v>
      </c>
    </row>
    <row r="339" spans="1:26">
      <c r="A339" t="s">
        <v>726</v>
      </c>
      <c r="B339" t="s">
        <v>422</v>
      </c>
      <c r="C339" t="s">
        <v>137</v>
      </c>
      <c r="D339" t="s">
        <v>29</v>
      </c>
      <c r="E339">
        <v>35</v>
      </c>
      <c r="F339" t="s">
        <v>40</v>
      </c>
      <c r="G339" t="s">
        <v>41</v>
      </c>
      <c r="H339" t="s">
        <v>42</v>
      </c>
      <c r="I339" t="e">
        <f ca="1">_xludf.XLOOKUP(H339,Base_Planos!$A:$A,Base_Planos!$B:$B,"Não encontrado")</f>
        <v>#NAME?</v>
      </c>
      <c r="J339" s="2">
        <f>VLOOKUP(H339,Base_Planos!$A:$G,4,FALSE)</f>
        <v>29.9</v>
      </c>
      <c r="K339" s="4">
        <v>45838</v>
      </c>
      <c r="L339" t="s">
        <v>167</v>
      </c>
      <c r="M339" t="s">
        <v>44</v>
      </c>
      <c r="N339" s="4"/>
      <c r="O339" s="10">
        <f t="shared" ca="1" si="34"/>
        <v>331</v>
      </c>
      <c r="P339" s="10" t="str">
        <f t="shared" ca="1" si="31"/>
        <v>181 a 365 dias</v>
      </c>
      <c r="Q339">
        <f t="shared" si="30"/>
        <v>0</v>
      </c>
      <c r="R339">
        <v>5</v>
      </c>
      <c r="S339" s="11">
        <f t="shared" si="35"/>
        <v>0</v>
      </c>
      <c r="T339" s="11" t="str">
        <f t="shared" si="32"/>
        <v>Detrator</v>
      </c>
      <c r="U339" s="11" t="str">
        <f t="shared" si="33"/>
        <v>Alto risco</v>
      </c>
      <c r="V339">
        <v>0</v>
      </c>
      <c r="W339">
        <v>23</v>
      </c>
      <c r="X339" s="2">
        <v>30.52</v>
      </c>
      <c r="Y339">
        <v>11</v>
      </c>
      <c r="Z339" t="s">
        <v>35</v>
      </c>
    </row>
    <row r="340" spans="1:26">
      <c r="A340" t="s">
        <v>727</v>
      </c>
      <c r="B340" t="s">
        <v>528</v>
      </c>
      <c r="C340" t="s">
        <v>65</v>
      </c>
      <c r="D340" t="s">
        <v>29</v>
      </c>
      <c r="E340">
        <v>34</v>
      </c>
      <c r="F340" t="s">
        <v>66</v>
      </c>
      <c r="G340" t="s">
        <v>55</v>
      </c>
      <c r="H340" t="s">
        <v>42</v>
      </c>
      <c r="I340" t="e">
        <f ca="1">_xludf.XLOOKUP(H340,Base_Planos!$A:$A,Base_Planos!$B:$B,"Não encontrado")</f>
        <v>#NAME?</v>
      </c>
      <c r="J340" s="2">
        <f>VLOOKUP(H340,Base_Planos!$A:$G,4,FALSE)</f>
        <v>29.9</v>
      </c>
      <c r="K340" s="4">
        <v>45740</v>
      </c>
      <c r="L340" t="s">
        <v>454</v>
      </c>
      <c r="M340" t="s">
        <v>34</v>
      </c>
      <c r="N340" s="4">
        <v>46164</v>
      </c>
      <c r="O340" s="10">
        <f t="shared" ca="1" si="34"/>
        <v>424</v>
      </c>
      <c r="P340" s="10" t="str">
        <f t="shared" ca="1" si="31"/>
        <v>Mais de 1 ano</v>
      </c>
      <c r="Q340">
        <f t="shared" si="30"/>
        <v>1</v>
      </c>
      <c r="R340">
        <v>1</v>
      </c>
      <c r="S340" s="11">
        <f t="shared" si="35"/>
        <v>29.9</v>
      </c>
      <c r="T340" s="11" t="str">
        <f t="shared" si="32"/>
        <v>Detrator</v>
      </c>
      <c r="U340" s="11" t="str">
        <f t="shared" si="33"/>
        <v>Alto risco</v>
      </c>
      <c r="V340">
        <v>0</v>
      </c>
      <c r="W340">
        <v>94</v>
      </c>
      <c r="X340" s="2">
        <v>29.99</v>
      </c>
      <c r="Y340">
        <v>14</v>
      </c>
      <c r="Z340" t="s">
        <v>45</v>
      </c>
    </row>
    <row r="341" spans="1:26">
      <c r="A341" t="s">
        <v>728</v>
      </c>
      <c r="B341" t="s">
        <v>463</v>
      </c>
      <c r="C341" t="s">
        <v>140</v>
      </c>
      <c r="D341" t="s">
        <v>141</v>
      </c>
      <c r="E341">
        <v>57</v>
      </c>
      <c r="F341" t="s">
        <v>30</v>
      </c>
      <c r="G341" t="s">
        <v>41</v>
      </c>
      <c r="H341" t="s">
        <v>42</v>
      </c>
      <c r="I341" t="e">
        <f ca="1">_xludf.XLOOKUP(H341,Base_Planos!$A:$A,Base_Planos!$B:$B,"Não encontrado")</f>
        <v>#NAME?</v>
      </c>
      <c r="J341" s="2">
        <f>VLOOKUP(H341,Base_Planos!$A:$G,4,FALSE)</f>
        <v>29.9</v>
      </c>
      <c r="K341" s="4">
        <v>45433</v>
      </c>
      <c r="L341" t="s">
        <v>130</v>
      </c>
      <c r="M341" t="s">
        <v>34</v>
      </c>
      <c r="N341" s="4">
        <v>45498</v>
      </c>
      <c r="O341" s="10">
        <f t="shared" ca="1" si="34"/>
        <v>65</v>
      </c>
      <c r="P341" s="10" t="str">
        <f t="shared" ca="1" si="31"/>
        <v>31 a 90 dias</v>
      </c>
      <c r="Q341">
        <f t="shared" si="30"/>
        <v>1</v>
      </c>
      <c r="R341">
        <v>4</v>
      </c>
      <c r="S341" s="11">
        <f t="shared" si="35"/>
        <v>29.9</v>
      </c>
      <c r="T341" s="11" t="str">
        <f t="shared" si="32"/>
        <v>Detrator</v>
      </c>
      <c r="U341" s="11" t="str">
        <f t="shared" si="33"/>
        <v>Alto risco</v>
      </c>
      <c r="V341">
        <v>0</v>
      </c>
      <c r="W341">
        <v>62</v>
      </c>
      <c r="X341" s="2">
        <v>30.56</v>
      </c>
      <c r="Y341">
        <v>2</v>
      </c>
      <c r="Z341" t="s">
        <v>35</v>
      </c>
    </row>
    <row r="342" spans="1:26">
      <c r="A342" t="s">
        <v>729</v>
      </c>
      <c r="B342" t="s">
        <v>730</v>
      </c>
      <c r="C342" t="s">
        <v>77</v>
      </c>
      <c r="D342" t="s">
        <v>78</v>
      </c>
      <c r="E342">
        <v>52</v>
      </c>
      <c r="F342" t="s">
        <v>66</v>
      </c>
      <c r="G342" t="s">
        <v>104</v>
      </c>
      <c r="H342" t="s">
        <v>32</v>
      </c>
      <c r="I342" t="e">
        <f ca="1">_xludf.XLOOKUP(H342,Base_Planos!$A:$A,Base_Planos!$B:$B,"Não encontrado")</f>
        <v>#NAME?</v>
      </c>
      <c r="J342" s="2">
        <f>VLOOKUP(H342,Base_Planos!$A:$G,4,FALSE)</f>
        <v>39.9</v>
      </c>
      <c r="K342" s="4">
        <v>46031</v>
      </c>
      <c r="L342" t="s">
        <v>148</v>
      </c>
      <c r="M342" t="s">
        <v>44</v>
      </c>
      <c r="N342" s="4"/>
      <c r="O342" s="10">
        <f t="shared" ca="1" si="34"/>
        <v>138</v>
      </c>
      <c r="P342" s="10" t="str">
        <f t="shared" ca="1" si="31"/>
        <v>91 a 180 dias</v>
      </c>
      <c r="Q342">
        <f t="shared" si="30"/>
        <v>0</v>
      </c>
      <c r="R342">
        <v>2</v>
      </c>
      <c r="S342" s="11">
        <f t="shared" si="35"/>
        <v>0</v>
      </c>
      <c r="T342" s="11" t="str">
        <f t="shared" si="32"/>
        <v>Detrator</v>
      </c>
      <c r="U342" s="11" t="str">
        <f t="shared" si="33"/>
        <v>Alto risco</v>
      </c>
      <c r="V342">
        <v>1</v>
      </c>
      <c r="W342">
        <v>40</v>
      </c>
      <c r="X342" s="2">
        <v>37.39</v>
      </c>
      <c r="Y342">
        <v>4</v>
      </c>
      <c r="Z342" t="s">
        <v>35</v>
      </c>
    </row>
    <row r="343" spans="1:26">
      <c r="A343" t="s">
        <v>731</v>
      </c>
      <c r="B343" t="s">
        <v>354</v>
      </c>
      <c r="C343" t="s">
        <v>140</v>
      </c>
      <c r="D343" t="s">
        <v>141</v>
      </c>
      <c r="E343">
        <v>40</v>
      </c>
      <c r="F343" t="s">
        <v>54</v>
      </c>
      <c r="G343" t="s">
        <v>31</v>
      </c>
      <c r="H343" t="s">
        <v>82</v>
      </c>
      <c r="I343" t="e">
        <f ca="1">_xludf.XLOOKUP(H343,Base_Planos!$A:$A,Base_Planos!$B:$B,"Não encontrado")</f>
        <v>#NAME?</v>
      </c>
      <c r="J343" s="2">
        <f>VLOOKUP(H343,Base_Planos!$A:$G,4,FALSE)</f>
        <v>149.9</v>
      </c>
      <c r="K343" s="4">
        <v>45831</v>
      </c>
      <c r="L343" t="s">
        <v>167</v>
      </c>
      <c r="M343" t="s">
        <v>34</v>
      </c>
      <c r="N343" s="4">
        <v>45930</v>
      </c>
      <c r="O343" s="10">
        <f t="shared" ca="1" si="34"/>
        <v>99</v>
      </c>
      <c r="P343" s="10" t="str">
        <f t="shared" ca="1" si="31"/>
        <v>91 a 180 dias</v>
      </c>
      <c r="Q343">
        <f t="shared" si="30"/>
        <v>1</v>
      </c>
      <c r="R343">
        <v>4</v>
      </c>
      <c r="S343" s="11">
        <f t="shared" si="35"/>
        <v>149.9</v>
      </c>
      <c r="T343" s="11" t="str">
        <f t="shared" si="32"/>
        <v>Detrator</v>
      </c>
      <c r="U343" s="11" t="str">
        <f t="shared" si="33"/>
        <v>Alto risco</v>
      </c>
      <c r="V343">
        <v>0</v>
      </c>
      <c r="W343">
        <v>73</v>
      </c>
      <c r="X343" s="2">
        <v>141.47999999999999</v>
      </c>
      <c r="Y343">
        <v>3</v>
      </c>
      <c r="Z343" t="s">
        <v>35</v>
      </c>
    </row>
    <row r="344" spans="1:26">
      <c r="A344" t="s">
        <v>732</v>
      </c>
      <c r="B344" t="s">
        <v>733</v>
      </c>
      <c r="C344" t="s">
        <v>48</v>
      </c>
      <c r="D344" t="s">
        <v>29</v>
      </c>
      <c r="E344">
        <v>48</v>
      </c>
      <c r="F344" t="s">
        <v>30</v>
      </c>
      <c r="G344" t="s">
        <v>41</v>
      </c>
      <c r="H344" t="s">
        <v>82</v>
      </c>
      <c r="I344" t="e">
        <f ca="1">_xludf.XLOOKUP(H344,Base_Planos!$A:$A,Base_Planos!$B:$B,"Não encontrado")</f>
        <v>#NAME?</v>
      </c>
      <c r="J344" s="2">
        <f>VLOOKUP(H344,Base_Planos!$A:$G,4,FALSE)</f>
        <v>149.9</v>
      </c>
      <c r="K344" s="4">
        <v>45400</v>
      </c>
      <c r="L344" t="s">
        <v>56</v>
      </c>
      <c r="M344" t="s">
        <v>34</v>
      </c>
      <c r="N344" s="4">
        <v>45685</v>
      </c>
      <c r="O344" s="10">
        <f t="shared" ca="1" si="34"/>
        <v>285</v>
      </c>
      <c r="P344" s="10" t="str">
        <f t="shared" ca="1" si="31"/>
        <v>181 a 365 dias</v>
      </c>
      <c r="Q344">
        <f t="shared" si="30"/>
        <v>1</v>
      </c>
      <c r="R344">
        <v>0</v>
      </c>
      <c r="S344" s="11">
        <f t="shared" si="35"/>
        <v>149.9</v>
      </c>
      <c r="T344" s="11" t="str">
        <f t="shared" si="32"/>
        <v>Detrator</v>
      </c>
      <c r="U344" s="11" t="str">
        <f t="shared" si="33"/>
        <v>Alto risco</v>
      </c>
      <c r="V344">
        <v>2</v>
      </c>
      <c r="W344">
        <v>51</v>
      </c>
      <c r="X344" s="2">
        <v>149.51</v>
      </c>
      <c r="Y344">
        <v>9</v>
      </c>
      <c r="Z344" t="s">
        <v>35</v>
      </c>
    </row>
    <row r="345" spans="1:26">
      <c r="A345" t="s">
        <v>734</v>
      </c>
      <c r="B345" t="s">
        <v>735</v>
      </c>
      <c r="C345" t="s">
        <v>59</v>
      </c>
      <c r="D345" t="s">
        <v>60</v>
      </c>
      <c r="E345">
        <v>34</v>
      </c>
      <c r="F345" t="s">
        <v>30</v>
      </c>
      <c r="G345" t="s">
        <v>31</v>
      </c>
      <c r="H345" t="s">
        <v>112</v>
      </c>
      <c r="I345" t="e">
        <f ca="1">_xludf.XLOOKUP(H345,Base_Planos!$A:$A,Base_Planos!$B:$B,"Não encontrado")</f>
        <v>#NAME?</v>
      </c>
      <c r="J345" s="2">
        <f>VLOOKUP(H345,Base_Planos!$A:$G,4,FALSE)</f>
        <v>79.900000000000006</v>
      </c>
      <c r="K345" s="4">
        <v>45483</v>
      </c>
      <c r="L345" t="s">
        <v>142</v>
      </c>
      <c r="M345" t="s">
        <v>34</v>
      </c>
      <c r="N345" s="4">
        <v>45583</v>
      </c>
      <c r="O345" s="10">
        <f t="shared" ca="1" si="34"/>
        <v>100</v>
      </c>
      <c r="P345" s="10" t="str">
        <f t="shared" ca="1" si="31"/>
        <v>91 a 180 dias</v>
      </c>
      <c r="Q345">
        <f t="shared" si="30"/>
        <v>1</v>
      </c>
      <c r="R345">
        <v>4</v>
      </c>
      <c r="S345" s="11">
        <f t="shared" si="35"/>
        <v>79.900000000000006</v>
      </c>
      <c r="T345" s="11" t="str">
        <f t="shared" si="32"/>
        <v>Detrator</v>
      </c>
      <c r="U345" s="11" t="str">
        <f t="shared" si="33"/>
        <v>Alto risco</v>
      </c>
      <c r="V345">
        <v>0</v>
      </c>
      <c r="W345">
        <v>29</v>
      </c>
      <c r="X345" s="2">
        <v>72.540000000000006</v>
      </c>
      <c r="Y345">
        <v>3</v>
      </c>
      <c r="Z345" t="s">
        <v>35</v>
      </c>
    </row>
    <row r="346" spans="1:26">
      <c r="A346" t="s">
        <v>736</v>
      </c>
      <c r="B346" t="s">
        <v>737</v>
      </c>
      <c r="C346" t="s">
        <v>90</v>
      </c>
      <c r="D346" t="s">
        <v>29</v>
      </c>
      <c r="E346">
        <v>46</v>
      </c>
      <c r="F346" t="s">
        <v>30</v>
      </c>
      <c r="G346" t="s">
        <v>104</v>
      </c>
      <c r="H346" t="s">
        <v>42</v>
      </c>
      <c r="I346" t="e">
        <f ca="1">_xludf.XLOOKUP(H346,Base_Planos!$A:$A,Base_Planos!$B:$B,"Não encontrado")</f>
        <v>#NAME?</v>
      </c>
      <c r="J346" s="2">
        <f>VLOOKUP(H346,Base_Planos!$A:$G,4,FALSE)</f>
        <v>29.9</v>
      </c>
      <c r="K346" s="4">
        <v>44966</v>
      </c>
      <c r="L346" t="s">
        <v>425</v>
      </c>
      <c r="M346" t="s">
        <v>34</v>
      </c>
      <c r="N346" s="4">
        <v>45547</v>
      </c>
      <c r="O346" s="10">
        <f t="shared" ca="1" si="34"/>
        <v>581</v>
      </c>
      <c r="P346" s="10" t="str">
        <f t="shared" ca="1" si="31"/>
        <v>Mais de 1 ano</v>
      </c>
      <c r="Q346">
        <f t="shared" si="30"/>
        <v>1</v>
      </c>
      <c r="R346">
        <v>2</v>
      </c>
      <c r="S346" s="11">
        <f t="shared" si="35"/>
        <v>29.9</v>
      </c>
      <c r="T346" s="11" t="str">
        <f t="shared" si="32"/>
        <v>Detrator</v>
      </c>
      <c r="U346" s="11" t="str">
        <f t="shared" si="33"/>
        <v>Alto risco</v>
      </c>
      <c r="V346">
        <v>0</v>
      </c>
      <c r="W346">
        <v>67</v>
      </c>
      <c r="X346" s="2">
        <v>28.04</v>
      </c>
      <c r="Y346">
        <v>19</v>
      </c>
      <c r="Z346" t="s">
        <v>45</v>
      </c>
    </row>
    <row r="347" spans="1:26">
      <c r="A347" t="s">
        <v>738</v>
      </c>
      <c r="B347" t="s">
        <v>739</v>
      </c>
      <c r="C347" t="s">
        <v>102</v>
      </c>
      <c r="D347" t="s">
        <v>103</v>
      </c>
      <c r="E347">
        <v>27</v>
      </c>
      <c r="F347" t="s">
        <v>30</v>
      </c>
      <c r="G347" t="s">
        <v>31</v>
      </c>
      <c r="H347" t="s">
        <v>112</v>
      </c>
      <c r="I347" t="e">
        <f ca="1">_xludf.XLOOKUP(H347,Base_Planos!$A:$A,Base_Planos!$B:$B,"Não encontrado")</f>
        <v>#NAME?</v>
      </c>
      <c r="J347" s="2">
        <f>VLOOKUP(H347,Base_Planos!$A:$G,4,FALSE)</f>
        <v>79.900000000000006</v>
      </c>
      <c r="K347" s="4">
        <v>45565</v>
      </c>
      <c r="L347" t="s">
        <v>91</v>
      </c>
      <c r="M347" t="s">
        <v>44</v>
      </c>
      <c r="N347" s="4"/>
      <c r="O347" s="10">
        <f t="shared" ca="1" si="34"/>
        <v>604</v>
      </c>
      <c r="P347" s="10" t="str">
        <f t="shared" ca="1" si="31"/>
        <v>Mais de 1 ano</v>
      </c>
      <c r="Q347">
        <f t="shared" si="30"/>
        <v>0</v>
      </c>
      <c r="R347">
        <v>7</v>
      </c>
      <c r="S347" s="11">
        <f t="shared" si="35"/>
        <v>0</v>
      </c>
      <c r="T347" s="11" t="str">
        <f t="shared" si="32"/>
        <v>Neutro</v>
      </c>
      <c r="U347" s="11" t="str">
        <f t="shared" si="33"/>
        <v>Médio risco</v>
      </c>
      <c r="V347">
        <v>1</v>
      </c>
      <c r="W347">
        <v>56</v>
      </c>
      <c r="X347" s="2">
        <v>81.39</v>
      </c>
      <c r="Y347">
        <v>20</v>
      </c>
      <c r="Z347" t="s">
        <v>35</v>
      </c>
    </row>
    <row r="348" spans="1:26">
      <c r="A348" t="s">
        <v>740</v>
      </c>
      <c r="B348" t="s">
        <v>741</v>
      </c>
      <c r="C348" t="s">
        <v>140</v>
      </c>
      <c r="D348" t="s">
        <v>141</v>
      </c>
      <c r="E348">
        <v>43</v>
      </c>
      <c r="F348" t="s">
        <v>30</v>
      </c>
      <c r="G348" t="s">
        <v>104</v>
      </c>
      <c r="H348" t="s">
        <v>42</v>
      </c>
      <c r="I348" t="e">
        <f ca="1">_xludf.XLOOKUP(H348,Base_Planos!$A:$A,Base_Planos!$B:$B,"Não encontrado")</f>
        <v>#NAME?</v>
      </c>
      <c r="J348" s="2">
        <f>VLOOKUP(H348,Base_Planos!$A:$G,4,FALSE)</f>
        <v>29.9</v>
      </c>
      <c r="K348" s="4">
        <v>45439</v>
      </c>
      <c r="L348" t="s">
        <v>130</v>
      </c>
      <c r="M348" t="s">
        <v>44</v>
      </c>
      <c r="N348" s="4"/>
      <c r="O348" s="10">
        <f t="shared" ca="1" si="34"/>
        <v>730</v>
      </c>
      <c r="P348" s="10" t="str">
        <f t="shared" ca="1" si="31"/>
        <v>Mais de 1 ano</v>
      </c>
      <c r="Q348">
        <f t="shared" si="30"/>
        <v>0</v>
      </c>
      <c r="R348">
        <v>6</v>
      </c>
      <c r="S348" s="11">
        <f t="shared" si="35"/>
        <v>0</v>
      </c>
      <c r="T348" s="11" t="str">
        <f t="shared" si="32"/>
        <v>Detrator</v>
      </c>
      <c r="U348" s="11" t="str">
        <f t="shared" si="33"/>
        <v>Alto risco</v>
      </c>
      <c r="V348">
        <v>1</v>
      </c>
      <c r="W348">
        <v>44</v>
      </c>
      <c r="X348" s="2">
        <v>30.03</v>
      </c>
      <c r="Y348">
        <v>24</v>
      </c>
      <c r="Z348" t="s">
        <v>35</v>
      </c>
    </row>
    <row r="349" spans="1:26">
      <c r="A349" t="s">
        <v>742</v>
      </c>
      <c r="B349" t="s">
        <v>743</v>
      </c>
      <c r="C349" t="s">
        <v>137</v>
      </c>
      <c r="D349" t="s">
        <v>29</v>
      </c>
      <c r="E349">
        <v>20</v>
      </c>
      <c r="F349" t="s">
        <v>30</v>
      </c>
      <c r="G349" t="s">
        <v>55</v>
      </c>
      <c r="H349" t="s">
        <v>112</v>
      </c>
      <c r="I349" t="e">
        <f ca="1">_xludf.XLOOKUP(H349,Base_Planos!$A:$A,Base_Planos!$B:$B,"Não encontrado")</f>
        <v>#NAME?</v>
      </c>
      <c r="J349" s="2">
        <f>VLOOKUP(H349,Base_Planos!$A:$G,4,FALSE)</f>
        <v>79.900000000000006</v>
      </c>
      <c r="K349" s="4">
        <v>45353</v>
      </c>
      <c r="L349" t="s">
        <v>126</v>
      </c>
      <c r="M349" t="s">
        <v>34</v>
      </c>
      <c r="N349" s="4">
        <v>46128</v>
      </c>
      <c r="O349" s="10">
        <f t="shared" ca="1" si="34"/>
        <v>775</v>
      </c>
      <c r="P349" s="10" t="str">
        <f t="shared" ca="1" si="31"/>
        <v>Mais de 1 ano</v>
      </c>
      <c r="Q349">
        <f t="shared" si="30"/>
        <v>1</v>
      </c>
      <c r="R349">
        <v>7</v>
      </c>
      <c r="S349" s="11">
        <f t="shared" si="35"/>
        <v>79.900000000000006</v>
      </c>
      <c r="T349" s="11" t="str">
        <f t="shared" si="32"/>
        <v>Neutro</v>
      </c>
      <c r="U349" s="11" t="str">
        <f t="shared" si="33"/>
        <v>Alto risco</v>
      </c>
      <c r="V349">
        <v>3</v>
      </c>
      <c r="W349">
        <v>100</v>
      </c>
      <c r="X349" s="2">
        <v>79.819999999999993</v>
      </c>
      <c r="Y349">
        <v>25</v>
      </c>
      <c r="Z349" t="s">
        <v>50</v>
      </c>
    </row>
    <row r="350" spans="1:26">
      <c r="A350" t="s">
        <v>744</v>
      </c>
      <c r="B350" t="s">
        <v>477</v>
      </c>
      <c r="C350" t="s">
        <v>102</v>
      </c>
      <c r="D350" t="s">
        <v>103</v>
      </c>
      <c r="E350">
        <v>34</v>
      </c>
      <c r="F350" t="s">
        <v>54</v>
      </c>
      <c r="G350" t="s">
        <v>73</v>
      </c>
      <c r="H350" t="s">
        <v>42</v>
      </c>
      <c r="I350" t="e">
        <f ca="1">_xludf.XLOOKUP(H350,Base_Planos!$A:$A,Base_Planos!$B:$B,"Não encontrado")</f>
        <v>#NAME?</v>
      </c>
      <c r="J350" s="2">
        <f>VLOOKUP(H350,Base_Planos!$A:$G,4,FALSE)</f>
        <v>29.9</v>
      </c>
      <c r="K350" s="4">
        <v>45033</v>
      </c>
      <c r="L350" t="s">
        <v>118</v>
      </c>
      <c r="M350" t="s">
        <v>44</v>
      </c>
      <c r="N350" s="4"/>
      <c r="O350" s="10">
        <f t="shared" ca="1" si="34"/>
        <v>1136</v>
      </c>
      <c r="P350" s="10" t="str">
        <f t="shared" ca="1" si="31"/>
        <v>Mais de 1 ano</v>
      </c>
      <c r="Q350">
        <f t="shared" si="30"/>
        <v>0</v>
      </c>
      <c r="R350">
        <v>10</v>
      </c>
      <c r="S350" s="11">
        <f t="shared" si="35"/>
        <v>0</v>
      </c>
      <c r="T350" s="11" t="str">
        <f t="shared" si="32"/>
        <v>Promotor</v>
      </c>
      <c r="U350" s="11" t="str">
        <f t="shared" si="33"/>
        <v>Baixo risco</v>
      </c>
      <c r="V350">
        <v>1</v>
      </c>
      <c r="W350">
        <v>70</v>
      </c>
      <c r="X350" s="2">
        <v>26.42</v>
      </c>
      <c r="Y350">
        <v>37</v>
      </c>
      <c r="Z350" t="s">
        <v>50</v>
      </c>
    </row>
    <row r="351" spans="1:26">
      <c r="A351" t="s">
        <v>745</v>
      </c>
      <c r="B351" t="s">
        <v>746</v>
      </c>
      <c r="C351" t="s">
        <v>102</v>
      </c>
      <c r="D351" t="s">
        <v>103</v>
      </c>
      <c r="E351">
        <v>43</v>
      </c>
      <c r="F351" t="s">
        <v>40</v>
      </c>
      <c r="G351" t="s">
        <v>67</v>
      </c>
      <c r="H351" t="s">
        <v>166</v>
      </c>
      <c r="I351" t="e">
        <f ca="1">_xludf.XLOOKUP(H351,Base_Planos!$A:$A,Base_Planos!$B:$B,"Não encontrado")</f>
        <v>#NAME?</v>
      </c>
      <c r="J351" s="2">
        <f>VLOOKUP(H351,Base_Planos!$A:$G,4,FALSE)</f>
        <v>399.9</v>
      </c>
      <c r="K351" s="4">
        <v>46117</v>
      </c>
      <c r="L351" t="s">
        <v>43</v>
      </c>
      <c r="M351" t="s">
        <v>44</v>
      </c>
      <c r="N351" s="4"/>
      <c r="O351" s="10">
        <f t="shared" ca="1" si="34"/>
        <v>52</v>
      </c>
      <c r="P351" s="10" t="str">
        <f t="shared" ca="1" si="31"/>
        <v>31 a 90 dias</v>
      </c>
      <c r="Q351">
        <f t="shared" si="30"/>
        <v>0</v>
      </c>
      <c r="R351">
        <v>7</v>
      </c>
      <c r="S351" s="11">
        <f t="shared" si="35"/>
        <v>0</v>
      </c>
      <c r="T351" s="11" t="str">
        <f t="shared" si="32"/>
        <v>Neutro</v>
      </c>
      <c r="U351" s="11" t="str">
        <f t="shared" si="33"/>
        <v>Médio risco</v>
      </c>
      <c r="V351">
        <v>1</v>
      </c>
      <c r="W351">
        <v>41</v>
      </c>
      <c r="X351" s="2">
        <v>379.9</v>
      </c>
      <c r="Y351">
        <v>1</v>
      </c>
      <c r="Z351" t="s">
        <v>50</v>
      </c>
    </row>
    <row r="352" spans="1:26">
      <c r="A352" t="s">
        <v>747</v>
      </c>
      <c r="B352" t="s">
        <v>748</v>
      </c>
      <c r="C352" t="s">
        <v>108</v>
      </c>
      <c r="D352" t="s">
        <v>109</v>
      </c>
      <c r="E352">
        <v>58</v>
      </c>
      <c r="F352" t="s">
        <v>30</v>
      </c>
      <c r="G352" t="s">
        <v>165</v>
      </c>
      <c r="H352" t="s">
        <v>61</v>
      </c>
      <c r="I352" t="e">
        <f ca="1">_xludf.XLOOKUP(H352,Base_Planos!$A:$A,Base_Planos!$B:$B,"Não encontrado")</f>
        <v>#NAME?</v>
      </c>
      <c r="J352" s="2">
        <f>VLOOKUP(H352,Base_Planos!$A:$G,4,FALSE)</f>
        <v>59.9</v>
      </c>
      <c r="K352" s="4">
        <v>46025</v>
      </c>
      <c r="L352" t="s">
        <v>148</v>
      </c>
      <c r="M352" t="s">
        <v>44</v>
      </c>
      <c r="N352" s="4"/>
      <c r="O352" s="10">
        <f t="shared" ca="1" si="34"/>
        <v>144</v>
      </c>
      <c r="P352" s="10" t="str">
        <f t="shared" ca="1" si="31"/>
        <v>91 a 180 dias</v>
      </c>
      <c r="Q352">
        <f t="shared" si="30"/>
        <v>0</v>
      </c>
      <c r="R352">
        <v>1</v>
      </c>
      <c r="S352" s="11">
        <f t="shared" si="35"/>
        <v>0</v>
      </c>
      <c r="T352" s="11" t="str">
        <f t="shared" si="32"/>
        <v>Detrator</v>
      </c>
      <c r="U352" s="11" t="str">
        <f t="shared" si="33"/>
        <v>Alto risco</v>
      </c>
      <c r="V352">
        <v>4</v>
      </c>
      <c r="W352">
        <v>71</v>
      </c>
      <c r="X352" s="2">
        <v>59.98</v>
      </c>
      <c r="Y352">
        <v>4</v>
      </c>
      <c r="Z352" t="s">
        <v>45</v>
      </c>
    </row>
    <row r="353" spans="1:26">
      <c r="A353" t="s">
        <v>749</v>
      </c>
      <c r="B353" t="s">
        <v>316</v>
      </c>
      <c r="C353" t="s">
        <v>137</v>
      </c>
      <c r="D353" t="s">
        <v>29</v>
      </c>
      <c r="E353">
        <v>30</v>
      </c>
      <c r="F353" t="s">
        <v>30</v>
      </c>
      <c r="G353" t="s">
        <v>41</v>
      </c>
      <c r="H353" t="s">
        <v>112</v>
      </c>
      <c r="I353" t="e">
        <f ca="1">_xludf.XLOOKUP(H353,Base_Planos!$A:$A,Base_Planos!$B:$B,"Não encontrado")</f>
        <v>#NAME?</v>
      </c>
      <c r="J353" s="2">
        <f>VLOOKUP(H353,Base_Planos!$A:$G,4,FALSE)</f>
        <v>79.900000000000006</v>
      </c>
      <c r="K353" s="4">
        <v>45202</v>
      </c>
      <c r="L353" t="s">
        <v>215</v>
      </c>
      <c r="M353" t="s">
        <v>34</v>
      </c>
      <c r="N353" s="4">
        <v>45945</v>
      </c>
      <c r="O353" s="10">
        <f t="shared" ca="1" si="34"/>
        <v>743</v>
      </c>
      <c r="P353" s="10" t="str">
        <f t="shared" ca="1" si="31"/>
        <v>Mais de 1 ano</v>
      </c>
      <c r="Q353">
        <f t="shared" si="30"/>
        <v>1</v>
      </c>
      <c r="R353">
        <v>4</v>
      </c>
      <c r="S353" s="11">
        <f t="shared" si="35"/>
        <v>79.900000000000006</v>
      </c>
      <c r="T353" s="11" t="str">
        <f t="shared" si="32"/>
        <v>Detrator</v>
      </c>
      <c r="U353" s="11" t="str">
        <f t="shared" si="33"/>
        <v>Alto risco</v>
      </c>
      <c r="V353">
        <v>0</v>
      </c>
      <c r="W353">
        <v>37</v>
      </c>
      <c r="X353" s="2">
        <v>76.97</v>
      </c>
      <c r="Y353">
        <v>24</v>
      </c>
      <c r="Z353" t="s">
        <v>45</v>
      </c>
    </row>
    <row r="354" spans="1:26">
      <c r="A354" t="s">
        <v>750</v>
      </c>
      <c r="B354" t="s">
        <v>254</v>
      </c>
      <c r="C354" t="s">
        <v>108</v>
      </c>
      <c r="D354" t="s">
        <v>109</v>
      </c>
      <c r="E354">
        <v>64</v>
      </c>
      <c r="F354" t="s">
        <v>54</v>
      </c>
      <c r="G354" t="s">
        <v>96</v>
      </c>
      <c r="H354" t="s">
        <v>32</v>
      </c>
      <c r="I354" t="e">
        <f ca="1">_xludf.XLOOKUP(H354,Base_Planos!$A:$A,Base_Planos!$B:$B,"Não encontrado")</f>
        <v>#NAME?</v>
      </c>
      <c r="J354" s="2">
        <f>VLOOKUP(H354,Base_Planos!$A:$G,4,FALSE)</f>
        <v>39.9</v>
      </c>
      <c r="K354" s="4">
        <v>45244</v>
      </c>
      <c r="L354" t="s">
        <v>79</v>
      </c>
      <c r="M354" t="s">
        <v>34</v>
      </c>
      <c r="N354" s="4">
        <v>45927</v>
      </c>
      <c r="O354" s="10">
        <f t="shared" ca="1" si="34"/>
        <v>683</v>
      </c>
      <c r="P354" s="10" t="str">
        <f t="shared" ca="1" si="31"/>
        <v>Mais de 1 ano</v>
      </c>
      <c r="Q354">
        <f t="shared" si="30"/>
        <v>1</v>
      </c>
      <c r="R354">
        <v>7</v>
      </c>
      <c r="S354" s="11">
        <f t="shared" si="35"/>
        <v>39.9</v>
      </c>
      <c r="T354" s="11" t="str">
        <f t="shared" si="32"/>
        <v>Neutro</v>
      </c>
      <c r="U354" s="11" t="str">
        <f t="shared" si="33"/>
        <v>Alto risco</v>
      </c>
      <c r="V354">
        <v>0</v>
      </c>
      <c r="W354">
        <v>77</v>
      </c>
      <c r="X354" s="2">
        <v>39.770000000000003</v>
      </c>
      <c r="Y354">
        <v>22</v>
      </c>
      <c r="Z354" t="s">
        <v>50</v>
      </c>
    </row>
    <row r="355" spans="1:26">
      <c r="A355" t="s">
        <v>751</v>
      </c>
      <c r="B355" t="s">
        <v>752</v>
      </c>
      <c r="C355" t="s">
        <v>90</v>
      </c>
      <c r="D355" t="s">
        <v>29</v>
      </c>
      <c r="E355">
        <v>41</v>
      </c>
      <c r="F355" t="s">
        <v>40</v>
      </c>
      <c r="G355" t="s">
        <v>31</v>
      </c>
      <c r="H355" t="s">
        <v>42</v>
      </c>
      <c r="I355" t="e">
        <f ca="1">_xludf.XLOOKUP(H355,Base_Planos!$A:$A,Base_Planos!$B:$B,"Não encontrado")</f>
        <v>#NAME?</v>
      </c>
      <c r="J355" s="2">
        <f>VLOOKUP(H355,Base_Planos!$A:$G,4,FALSE)</f>
        <v>29.9</v>
      </c>
      <c r="K355" s="4">
        <v>45056</v>
      </c>
      <c r="L355" t="s">
        <v>115</v>
      </c>
      <c r="M355" t="s">
        <v>44</v>
      </c>
      <c r="N355" s="4"/>
      <c r="O355" s="10">
        <f t="shared" ca="1" si="34"/>
        <v>1113</v>
      </c>
      <c r="P355" s="10" t="str">
        <f t="shared" ca="1" si="31"/>
        <v>Mais de 1 ano</v>
      </c>
      <c r="Q355">
        <f t="shared" si="30"/>
        <v>0</v>
      </c>
      <c r="R355">
        <v>10</v>
      </c>
      <c r="S355" s="11">
        <f t="shared" si="35"/>
        <v>0</v>
      </c>
      <c r="T355" s="11" t="str">
        <f t="shared" si="32"/>
        <v>Promotor</v>
      </c>
      <c r="U355" s="11" t="str">
        <f t="shared" si="33"/>
        <v>Baixo risco</v>
      </c>
      <c r="V355">
        <v>0</v>
      </c>
      <c r="W355">
        <v>46</v>
      </c>
      <c r="X355" s="2">
        <v>29.99</v>
      </c>
      <c r="Y355">
        <v>37</v>
      </c>
      <c r="Z355" t="s">
        <v>50</v>
      </c>
    </row>
    <row r="356" spans="1:26">
      <c r="A356" t="s">
        <v>753</v>
      </c>
      <c r="B356" t="s">
        <v>754</v>
      </c>
      <c r="C356" t="s">
        <v>140</v>
      </c>
      <c r="D356" t="s">
        <v>141</v>
      </c>
      <c r="E356">
        <v>38</v>
      </c>
      <c r="F356" t="s">
        <v>54</v>
      </c>
      <c r="G356" t="s">
        <v>165</v>
      </c>
      <c r="H356" t="s">
        <v>32</v>
      </c>
      <c r="I356" t="e">
        <f ca="1">_xludf.XLOOKUP(H356,Base_Planos!$A:$A,Base_Planos!$B:$B,"Não encontrado")</f>
        <v>#NAME?</v>
      </c>
      <c r="J356" s="2">
        <f>VLOOKUP(H356,Base_Planos!$A:$G,4,FALSE)</f>
        <v>39.9</v>
      </c>
      <c r="K356" s="4">
        <v>45998</v>
      </c>
      <c r="L356" t="s">
        <v>170</v>
      </c>
      <c r="M356" t="s">
        <v>44</v>
      </c>
      <c r="N356" s="4"/>
      <c r="O356" s="10">
        <f t="shared" ca="1" si="34"/>
        <v>171</v>
      </c>
      <c r="P356" s="10" t="str">
        <f t="shared" ca="1" si="31"/>
        <v>91 a 180 dias</v>
      </c>
      <c r="Q356">
        <f t="shared" si="30"/>
        <v>0</v>
      </c>
      <c r="R356">
        <v>10</v>
      </c>
      <c r="S356" s="11">
        <f t="shared" si="35"/>
        <v>0</v>
      </c>
      <c r="T356" s="11" t="str">
        <f t="shared" si="32"/>
        <v>Promotor</v>
      </c>
      <c r="U356" s="11" t="str">
        <f t="shared" si="33"/>
        <v>Baixo risco</v>
      </c>
      <c r="V356">
        <v>0</v>
      </c>
      <c r="W356">
        <v>78</v>
      </c>
      <c r="X356" s="2">
        <v>35.53</v>
      </c>
      <c r="Y356">
        <v>5</v>
      </c>
      <c r="Z356" t="s">
        <v>50</v>
      </c>
    </row>
    <row r="357" spans="1:26">
      <c r="A357" t="s">
        <v>755</v>
      </c>
      <c r="B357" t="s">
        <v>522</v>
      </c>
      <c r="C357" t="s">
        <v>102</v>
      </c>
      <c r="D357" t="s">
        <v>103</v>
      </c>
      <c r="E357">
        <v>20</v>
      </c>
      <c r="F357" t="s">
        <v>54</v>
      </c>
      <c r="G357" t="s">
        <v>41</v>
      </c>
      <c r="H357" t="s">
        <v>61</v>
      </c>
      <c r="I357" t="e">
        <f ca="1">_xludf.XLOOKUP(H357,Base_Planos!$A:$A,Base_Planos!$B:$B,"Não encontrado")</f>
        <v>#NAME?</v>
      </c>
      <c r="J357" s="2">
        <f>VLOOKUP(H357,Base_Planos!$A:$G,4,FALSE)</f>
        <v>59.9</v>
      </c>
      <c r="K357" s="4">
        <v>46003</v>
      </c>
      <c r="L357" t="s">
        <v>170</v>
      </c>
      <c r="M357" t="s">
        <v>44</v>
      </c>
      <c r="N357" s="4"/>
      <c r="O357" s="10">
        <f t="shared" ca="1" si="34"/>
        <v>166</v>
      </c>
      <c r="P357" s="10" t="str">
        <f t="shared" ca="1" si="31"/>
        <v>91 a 180 dias</v>
      </c>
      <c r="Q357">
        <f t="shared" si="30"/>
        <v>0</v>
      </c>
      <c r="R357">
        <v>9</v>
      </c>
      <c r="S357" s="11">
        <f t="shared" si="35"/>
        <v>0</v>
      </c>
      <c r="T357" s="11" t="str">
        <f t="shared" si="32"/>
        <v>Promotor</v>
      </c>
      <c r="U357" s="11" t="str">
        <f t="shared" si="33"/>
        <v>Baixo risco</v>
      </c>
      <c r="V357">
        <v>0</v>
      </c>
      <c r="W357">
        <v>36</v>
      </c>
      <c r="X357" s="2">
        <v>51.76</v>
      </c>
      <c r="Y357">
        <v>5</v>
      </c>
      <c r="Z357" t="s">
        <v>50</v>
      </c>
    </row>
    <row r="358" spans="1:26">
      <c r="A358" t="s">
        <v>756</v>
      </c>
      <c r="B358" t="s">
        <v>214</v>
      </c>
      <c r="C358" t="s">
        <v>65</v>
      </c>
      <c r="D358" t="s">
        <v>29</v>
      </c>
      <c r="E358">
        <v>49</v>
      </c>
      <c r="F358" t="s">
        <v>66</v>
      </c>
      <c r="G358" t="s">
        <v>55</v>
      </c>
      <c r="H358" t="s">
        <v>112</v>
      </c>
      <c r="I358" t="e">
        <f ca="1">_xludf.XLOOKUP(H358,Base_Planos!$A:$A,Base_Planos!$B:$B,"Não encontrado")</f>
        <v>#NAME?</v>
      </c>
      <c r="J358" s="2">
        <f>VLOOKUP(H358,Base_Planos!$A:$G,4,FALSE)</f>
        <v>79.900000000000006</v>
      </c>
      <c r="K358" s="4">
        <v>45051</v>
      </c>
      <c r="L358" t="s">
        <v>115</v>
      </c>
      <c r="M358" t="s">
        <v>44</v>
      </c>
      <c r="N358" s="4"/>
      <c r="O358" s="10">
        <f t="shared" ca="1" si="34"/>
        <v>1118</v>
      </c>
      <c r="P358" s="10" t="str">
        <f t="shared" ca="1" si="31"/>
        <v>Mais de 1 ano</v>
      </c>
      <c r="Q358">
        <f t="shared" si="30"/>
        <v>0</v>
      </c>
      <c r="R358">
        <v>5</v>
      </c>
      <c r="S358" s="11">
        <f t="shared" si="35"/>
        <v>0</v>
      </c>
      <c r="T358" s="11" t="str">
        <f t="shared" si="32"/>
        <v>Detrator</v>
      </c>
      <c r="U358" s="11" t="str">
        <f t="shared" si="33"/>
        <v>Alto risco</v>
      </c>
      <c r="V358">
        <v>0</v>
      </c>
      <c r="W358">
        <v>33</v>
      </c>
      <c r="X358" s="2">
        <v>79.239999999999995</v>
      </c>
      <c r="Y358">
        <v>37</v>
      </c>
      <c r="Z358" t="s">
        <v>35</v>
      </c>
    </row>
    <row r="359" spans="1:26">
      <c r="A359" t="s">
        <v>757</v>
      </c>
      <c r="B359" t="s">
        <v>532</v>
      </c>
      <c r="C359" t="s">
        <v>140</v>
      </c>
      <c r="D359" t="s">
        <v>141</v>
      </c>
      <c r="E359">
        <v>51</v>
      </c>
      <c r="F359" t="s">
        <v>30</v>
      </c>
      <c r="G359" t="s">
        <v>55</v>
      </c>
      <c r="H359" t="s">
        <v>82</v>
      </c>
      <c r="I359" t="e">
        <f ca="1">_xludf.XLOOKUP(H359,Base_Planos!$A:$A,Base_Planos!$B:$B,"Não encontrado")</f>
        <v>#NAME?</v>
      </c>
      <c r="J359" s="2">
        <f>VLOOKUP(H359,Base_Planos!$A:$G,4,FALSE)</f>
        <v>149.9</v>
      </c>
      <c r="K359" s="4">
        <v>45086</v>
      </c>
      <c r="L359" t="s">
        <v>328</v>
      </c>
      <c r="M359" t="s">
        <v>44</v>
      </c>
      <c r="N359" s="4"/>
      <c r="O359" s="10">
        <f t="shared" ca="1" si="34"/>
        <v>1083</v>
      </c>
      <c r="P359" s="10" t="str">
        <f t="shared" ca="1" si="31"/>
        <v>Mais de 1 ano</v>
      </c>
      <c r="Q359">
        <f t="shared" si="30"/>
        <v>0</v>
      </c>
      <c r="R359">
        <v>3</v>
      </c>
      <c r="S359" s="11">
        <f t="shared" si="35"/>
        <v>0</v>
      </c>
      <c r="T359" s="11" t="str">
        <f t="shared" si="32"/>
        <v>Detrator</v>
      </c>
      <c r="U359" s="11" t="str">
        <f t="shared" si="33"/>
        <v>Alto risco</v>
      </c>
      <c r="V359">
        <v>1</v>
      </c>
      <c r="W359">
        <v>53</v>
      </c>
      <c r="X359" s="2">
        <v>133.1</v>
      </c>
      <c r="Y359">
        <v>36</v>
      </c>
      <c r="Z359" t="s">
        <v>35</v>
      </c>
    </row>
    <row r="360" spans="1:26">
      <c r="A360" t="s">
        <v>758</v>
      </c>
      <c r="B360" t="s">
        <v>759</v>
      </c>
      <c r="C360" t="s">
        <v>90</v>
      </c>
      <c r="D360" t="s">
        <v>29</v>
      </c>
      <c r="E360">
        <v>58</v>
      </c>
      <c r="F360" t="s">
        <v>66</v>
      </c>
      <c r="G360" t="s">
        <v>41</v>
      </c>
      <c r="H360" t="s">
        <v>82</v>
      </c>
      <c r="I360" t="e">
        <f ca="1">_xludf.XLOOKUP(H360,Base_Planos!$A:$A,Base_Planos!$B:$B,"Não encontrado")</f>
        <v>#NAME?</v>
      </c>
      <c r="J360" s="2">
        <f>VLOOKUP(H360,Base_Planos!$A:$G,4,FALSE)</f>
        <v>149.9</v>
      </c>
      <c r="K360" s="4">
        <v>46107</v>
      </c>
      <c r="L360" t="s">
        <v>292</v>
      </c>
      <c r="M360" t="s">
        <v>34</v>
      </c>
      <c r="N360" s="4">
        <v>46148</v>
      </c>
      <c r="O360" s="10">
        <f t="shared" ca="1" si="34"/>
        <v>41</v>
      </c>
      <c r="P360" s="10" t="str">
        <f t="shared" ca="1" si="31"/>
        <v>31 a 90 dias</v>
      </c>
      <c r="Q360">
        <f t="shared" si="30"/>
        <v>1</v>
      </c>
      <c r="R360">
        <v>5</v>
      </c>
      <c r="S360" s="11">
        <f t="shared" si="35"/>
        <v>149.9</v>
      </c>
      <c r="T360" s="11" t="str">
        <f t="shared" si="32"/>
        <v>Detrator</v>
      </c>
      <c r="U360" s="11" t="str">
        <f t="shared" si="33"/>
        <v>Alto risco</v>
      </c>
      <c r="V360">
        <v>0</v>
      </c>
      <c r="W360">
        <v>18</v>
      </c>
      <c r="X360" s="2">
        <v>142.55000000000001</v>
      </c>
      <c r="Y360">
        <v>1</v>
      </c>
      <c r="Z360" t="s">
        <v>35</v>
      </c>
    </row>
    <row r="361" spans="1:26">
      <c r="A361" t="s">
        <v>760</v>
      </c>
      <c r="B361" t="s">
        <v>244</v>
      </c>
      <c r="C361" t="s">
        <v>38</v>
      </c>
      <c r="D361" t="s">
        <v>39</v>
      </c>
      <c r="E361">
        <v>56</v>
      </c>
      <c r="F361" t="s">
        <v>54</v>
      </c>
      <c r="G361" t="s">
        <v>165</v>
      </c>
      <c r="H361" t="s">
        <v>86</v>
      </c>
      <c r="I361" t="e">
        <f ca="1">_xludf.XLOOKUP(H361,Base_Planos!$A:$A,Base_Planos!$B:$B,"Não encontrado")</f>
        <v>#NAME?</v>
      </c>
      <c r="J361" s="2">
        <f>VLOOKUP(H361,Base_Planos!$A:$G,4,FALSE)</f>
        <v>119.9</v>
      </c>
      <c r="K361" s="4">
        <v>46053</v>
      </c>
      <c r="L361" t="s">
        <v>148</v>
      </c>
      <c r="M361" t="s">
        <v>44</v>
      </c>
      <c r="N361" s="4"/>
      <c r="O361" s="10">
        <f t="shared" ca="1" si="34"/>
        <v>116</v>
      </c>
      <c r="P361" s="10" t="str">
        <f t="shared" ca="1" si="31"/>
        <v>91 a 180 dias</v>
      </c>
      <c r="Q361">
        <f t="shared" si="30"/>
        <v>0</v>
      </c>
      <c r="R361">
        <v>5</v>
      </c>
      <c r="S361" s="11">
        <f t="shared" si="35"/>
        <v>0</v>
      </c>
      <c r="T361" s="11" t="str">
        <f t="shared" si="32"/>
        <v>Detrator</v>
      </c>
      <c r="U361" s="11" t="str">
        <f t="shared" si="33"/>
        <v>Alto risco</v>
      </c>
      <c r="V361">
        <v>1</v>
      </c>
      <c r="W361">
        <v>33</v>
      </c>
      <c r="X361" s="2">
        <v>109.67</v>
      </c>
      <c r="Y361">
        <v>3</v>
      </c>
      <c r="Z361" t="s">
        <v>35</v>
      </c>
    </row>
    <row r="362" spans="1:26">
      <c r="A362" t="s">
        <v>761</v>
      </c>
      <c r="B362" t="s">
        <v>762</v>
      </c>
      <c r="C362" t="s">
        <v>38</v>
      </c>
      <c r="D362" t="s">
        <v>39</v>
      </c>
      <c r="E362">
        <v>31</v>
      </c>
      <c r="F362" t="s">
        <v>54</v>
      </c>
      <c r="G362" t="s">
        <v>73</v>
      </c>
      <c r="H362" t="s">
        <v>112</v>
      </c>
      <c r="I362" t="e">
        <f ca="1">_xludf.XLOOKUP(H362,Base_Planos!$A:$A,Base_Planos!$B:$B,"Não encontrado")</f>
        <v>#NAME?</v>
      </c>
      <c r="J362" s="2">
        <f>VLOOKUP(H362,Base_Planos!$A:$G,4,FALSE)</f>
        <v>79.900000000000006</v>
      </c>
      <c r="K362" s="4">
        <v>45853</v>
      </c>
      <c r="L362" t="s">
        <v>212</v>
      </c>
      <c r="M362" t="s">
        <v>44</v>
      </c>
      <c r="N362" s="4"/>
      <c r="O362" s="10">
        <f t="shared" ca="1" si="34"/>
        <v>316</v>
      </c>
      <c r="P362" s="10" t="str">
        <f t="shared" ca="1" si="31"/>
        <v>181 a 365 dias</v>
      </c>
      <c r="Q362">
        <f t="shared" si="30"/>
        <v>0</v>
      </c>
      <c r="R362">
        <v>7</v>
      </c>
      <c r="S362" s="11">
        <f t="shared" si="35"/>
        <v>0</v>
      </c>
      <c r="T362" s="11" t="str">
        <f t="shared" si="32"/>
        <v>Neutro</v>
      </c>
      <c r="U362" s="11" t="str">
        <f t="shared" si="33"/>
        <v>Médio risco</v>
      </c>
      <c r="V362">
        <v>0</v>
      </c>
      <c r="W362">
        <v>56</v>
      </c>
      <c r="X362" s="2">
        <v>68.180000000000007</v>
      </c>
      <c r="Y362">
        <v>10</v>
      </c>
      <c r="Z362" t="s">
        <v>50</v>
      </c>
    </row>
    <row r="363" spans="1:26">
      <c r="A363" t="s">
        <v>763</v>
      </c>
      <c r="B363" t="s">
        <v>381</v>
      </c>
      <c r="C363" t="s">
        <v>28</v>
      </c>
      <c r="D363" t="s">
        <v>29</v>
      </c>
      <c r="E363">
        <v>37</v>
      </c>
      <c r="F363" t="s">
        <v>201</v>
      </c>
      <c r="G363" t="s">
        <v>31</v>
      </c>
      <c r="H363" t="s">
        <v>86</v>
      </c>
      <c r="I363" t="e">
        <f ca="1">_xludf.XLOOKUP(H363,Base_Planos!$A:$A,Base_Planos!$B:$B,"Não encontrado")</f>
        <v>#NAME?</v>
      </c>
      <c r="J363" s="2">
        <f>VLOOKUP(H363,Base_Planos!$A:$G,4,FALSE)</f>
        <v>119.9</v>
      </c>
      <c r="K363" s="4">
        <v>44971</v>
      </c>
      <c r="L363" t="s">
        <v>425</v>
      </c>
      <c r="M363" t="s">
        <v>44</v>
      </c>
      <c r="N363" s="4"/>
      <c r="O363" s="10">
        <f t="shared" ca="1" si="34"/>
        <v>1198</v>
      </c>
      <c r="P363" s="10" t="str">
        <f t="shared" ca="1" si="31"/>
        <v>Mais de 1 ano</v>
      </c>
      <c r="Q363">
        <f t="shared" si="30"/>
        <v>0</v>
      </c>
      <c r="R363">
        <v>4</v>
      </c>
      <c r="S363" s="11">
        <f t="shared" si="35"/>
        <v>0</v>
      </c>
      <c r="T363" s="11" t="str">
        <f t="shared" si="32"/>
        <v>Detrator</v>
      </c>
      <c r="U363" s="11" t="str">
        <f t="shared" si="33"/>
        <v>Alto risco</v>
      </c>
      <c r="V363">
        <v>0</v>
      </c>
      <c r="W363">
        <v>40</v>
      </c>
      <c r="X363" s="2">
        <v>104.18</v>
      </c>
      <c r="Y363">
        <v>39</v>
      </c>
      <c r="Z363" t="s">
        <v>45</v>
      </c>
    </row>
    <row r="364" spans="1:26">
      <c r="A364" t="s">
        <v>764</v>
      </c>
      <c r="B364" t="s">
        <v>139</v>
      </c>
      <c r="C364" t="s">
        <v>94</v>
      </c>
      <c r="D364" t="s">
        <v>95</v>
      </c>
      <c r="E364">
        <v>26</v>
      </c>
      <c r="F364" t="s">
        <v>30</v>
      </c>
      <c r="G364" t="s">
        <v>31</v>
      </c>
      <c r="H364" t="s">
        <v>42</v>
      </c>
      <c r="I364" t="e">
        <f ca="1">_xludf.XLOOKUP(H364,Base_Planos!$A:$A,Base_Planos!$B:$B,"Não encontrado")</f>
        <v>#NAME?</v>
      </c>
      <c r="J364" s="2">
        <f>VLOOKUP(H364,Base_Planos!$A:$G,4,FALSE)</f>
        <v>29.9</v>
      </c>
      <c r="K364" s="4">
        <v>45542</v>
      </c>
      <c r="L364" t="s">
        <v>91</v>
      </c>
      <c r="M364" t="s">
        <v>34</v>
      </c>
      <c r="N364" s="4">
        <v>45904</v>
      </c>
      <c r="O364" s="10">
        <f t="shared" ca="1" si="34"/>
        <v>362</v>
      </c>
      <c r="P364" s="10" t="str">
        <f t="shared" ca="1" si="31"/>
        <v>181 a 365 dias</v>
      </c>
      <c r="Q364">
        <f t="shared" si="30"/>
        <v>1</v>
      </c>
      <c r="R364">
        <v>1</v>
      </c>
      <c r="S364" s="11">
        <f t="shared" si="35"/>
        <v>29.9</v>
      </c>
      <c r="T364" s="11" t="str">
        <f t="shared" si="32"/>
        <v>Detrator</v>
      </c>
      <c r="U364" s="11" t="str">
        <f t="shared" si="33"/>
        <v>Alto risco</v>
      </c>
      <c r="V364">
        <v>0</v>
      </c>
      <c r="W364">
        <v>41</v>
      </c>
      <c r="X364" s="2">
        <v>26.45</v>
      </c>
      <c r="Y364">
        <v>12</v>
      </c>
      <c r="Z364" t="s">
        <v>35</v>
      </c>
    </row>
    <row r="365" spans="1:26">
      <c r="A365" t="s">
        <v>765</v>
      </c>
      <c r="B365" t="s">
        <v>356</v>
      </c>
      <c r="C365" t="s">
        <v>53</v>
      </c>
      <c r="D365" t="s">
        <v>29</v>
      </c>
      <c r="E365">
        <v>24</v>
      </c>
      <c r="F365" t="s">
        <v>54</v>
      </c>
      <c r="G365" t="s">
        <v>73</v>
      </c>
      <c r="H365" t="s">
        <v>32</v>
      </c>
      <c r="I365" t="e">
        <f ca="1">_xludf.XLOOKUP(H365,Base_Planos!$A:$A,Base_Planos!$B:$B,"Não encontrado")</f>
        <v>#NAME?</v>
      </c>
      <c r="J365" s="2">
        <f>VLOOKUP(H365,Base_Planos!$A:$G,4,FALSE)</f>
        <v>39.9</v>
      </c>
      <c r="K365" s="4">
        <v>46107</v>
      </c>
      <c r="L365" t="s">
        <v>292</v>
      </c>
      <c r="M365" t="s">
        <v>44</v>
      </c>
      <c r="N365" s="4"/>
      <c r="O365" s="10">
        <f t="shared" ca="1" si="34"/>
        <v>62</v>
      </c>
      <c r="P365" s="10" t="str">
        <f t="shared" ca="1" si="31"/>
        <v>31 a 90 dias</v>
      </c>
      <c r="Q365">
        <f t="shared" ref="Q365:Q428" si="36">IF(M365="Cancelado",1,0)</f>
        <v>0</v>
      </c>
      <c r="R365">
        <v>6</v>
      </c>
      <c r="S365" s="11">
        <f t="shared" si="35"/>
        <v>0</v>
      </c>
      <c r="T365" s="11" t="str">
        <f t="shared" si="32"/>
        <v>Detrator</v>
      </c>
      <c r="U365" s="11" t="str">
        <f t="shared" si="33"/>
        <v>Alto risco</v>
      </c>
      <c r="V365">
        <v>1</v>
      </c>
      <c r="W365">
        <v>61</v>
      </c>
      <c r="X365" s="2">
        <v>40.44</v>
      </c>
      <c r="Y365">
        <v>2</v>
      </c>
      <c r="Z365" t="s">
        <v>35</v>
      </c>
    </row>
    <row r="366" spans="1:26">
      <c r="A366" t="s">
        <v>766</v>
      </c>
      <c r="B366" t="s">
        <v>767</v>
      </c>
      <c r="C366" t="s">
        <v>53</v>
      </c>
      <c r="D366" t="s">
        <v>29</v>
      </c>
      <c r="E366">
        <v>32</v>
      </c>
      <c r="F366" t="s">
        <v>40</v>
      </c>
      <c r="G366" t="s">
        <v>67</v>
      </c>
      <c r="H366" t="s">
        <v>61</v>
      </c>
      <c r="I366" t="e">
        <f ca="1">_xludf.XLOOKUP(H366,Base_Planos!$A:$A,Base_Planos!$B:$B,"Não encontrado")</f>
        <v>#NAME?</v>
      </c>
      <c r="J366" s="2">
        <f>VLOOKUP(H366,Base_Planos!$A:$G,4,FALSE)</f>
        <v>59.9</v>
      </c>
      <c r="K366" s="4">
        <v>45710</v>
      </c>
      <c r="L366" t="s">
        <v>289</v>
      </c>
      <c r="M366" t="s">
        <v>34</v>
      </c>
      <c r="N366" s="4">
        <v>45997</v>
      </c>
      <c r="O366" s="10">
        <f t="shared" ca="1" si="34"/>
        <v>287</v>
      </c>
      <c r="P366" s="10" t="str">
        <f t="shared" ca="1" si="31"/>
        <v>181 a 365 dias</v>
      </c>
      <c r="Q366">
        <f t="shared" si="36"/>
        <v>1</v>
      </c>
      <c r="R366">
        <v>0</v>
      </c>
      <c r="S366" s="11">
        <f t="shared" si="35"/>
        <v>59.9</v>
      </c>
      <c r="T366" s="11" t="str">
        <f t="shared" si="32"/>
        <v>Detrator</v>
      </c>
      <c r="U366" s="11" t="str">
        <f t="shared" si="33"/>
        <v>Alto risco</v>
      </c>
      <c r="V366">
        <v>0</v>
      </c>
      <c r="W366">
        <v>64</v>
      </c>
      <c r="X366" s="2">
        <v>52.75</v>
      </c>
      <c r="Y366">
        <v>9</v>
      </c>
      <c r="Z366" t="s">
        <v>35</v>
      </c>
    </row>
    <row r="367" spans="1:26">
      <c r="A367" t="s">
        <v>768</v>
      </c>
      <c r="B367" t="s">
        <v>224</v>
      </c>
      <c r="C367" t="s">
        <v>77</v>
      </c>
      <c r="D367" t="s">
        <v>78</v>
      </c>
      <c r="E367">
        <v>56</v>
      </c>
      <c r="F367" t="s">
        <v>54</v>
      </c>
      <c r="G367" t="s">
        <v>55</v>
      </c>
      <c r="H367" t="s">
        <v>42</v>
      </c>
      <c r="I367" t="e">
        <f ca="1">_xludf.XLOOKUP(H367,Base_Planos!$A:$A,Base_Planos!$B:$B,"Não encontrado")</f>
        <v>#NAME?</v>
      </c>
      <c r="J367" s="2">
        <f>VLOOKUP(H367,Base_Planos!$A:$G,4,FALSE)</f>
        <v>29.9</v>
      </c>
      <c r="K367" s="4">
        <v>45520</v>
      </c>
      <c r="L367" t="s">
        <v>156</v>
      </c>
      <c r="M367" t="s">
        <v>44</v>
      </c>
      <c r="N367" s="4"/>
      <c r="O367" s="10">
        <f t="shared" ca="1" si="34"/>
        <v>649</v>
      </c>
      <c r="P367" s="10" t="str">
        <f t="shared" ca="1" si="31"/>
        <v>Mais de 1 ano</v>
      </c>
      <c r="Q367">
        <f t="shared" si="36"/>
        <v>0</v>
      </c>
      <c r="R367">
        <v>6</v>
      </c>
      <c r="S367" s="11">
        <f t="shared" si="35"/>
        <v>0</v>
      </c>
      <c r="T367" s="11" t="str">
        <f t="shared" si="32"/>
        <v>Detrator</v>
      </c>
      <c r="U367" s="11" t="str">
        <f t="shared" si="33"/>
        <v>Alto risco</v>
      </c>
      <c r="V367">
        <v>0</v>
      </c>
      <c r="W367">
        <v>77</v>
      </c>
      <c r="X367" s="2">
        <v>28.69</v>
      </c>
      <c r="Y367">
        <v>21</v>
      </c>
      <c r="Z367" t="s">
        <v>50</v>
      </c>
    </row>
    <row r="368" spans="1:26">
      <c r="A368" t="s">
        <v>769</v>
      </c>
      <c r="B368" t="s">
        <v>337</v>
      </c>
      <c r="C368" t="s">
        <v>71</v>
      </c>
      <c r="D368" t="s">
        <v>72</v>
      </c>
      <c r="E368">
        <v>50</v>
      </c>
      <c r="F368" t="s">
        <v>54</v>
      </c>
      <c r="G368" t="s">
        <v>96</v>
      </c>
      <c r="H368" t="s">
        <v>82</v>
      </c>
      <c r="I368" t="e">
        <f ca="1">_xludf.XLOOKUP(H368,Base_Planos!$A:$A,Base_Planos!$B:$B,"Não encontrado")</f>
        <v>#NAME?</v>
      </c>
      <c r="J368" s="2">
        <f>VLOOKUP(H368,Base_Planos!$A:$G,4,FALSE)</f>
        <v>149.9</v>
      </c>
      <c r="K368" s="4">
        <v>45911</v>
      </c>
      <c r="L368" t="s">
        <v>189</v>
      </c>
      <c r="M368" t="s">
        <v>44</v>
      </c>
      <c r="N368" s="4"/>
      <c r="O368" s="10">
        <f t="shared" ca="1" si="34"/>
        <v>258</v>
      </c>
      <c r="P368" s="10" t="str">
        <f t="shared" ca="1" si="31"/>
        <v>181 a 365 dias</v>
      </c>
      <c r="Q368">
        <f t="shared" si="36"/>
        <v>0</v>
      </c>
      <c r="R368">
        <v>8</v>
      </c>
      <c r="S368" s="11">
        <f t="shared" si="35"/>
        <v>0</v>
      </c>
      <c r="T368" s="11" t="str">
        <f t="shared" si="32"/>
        <v>Neutro</v>
      </c>
      <c r="U368" s="11" t="str">
        <f t="shared" si="33"/>
        <v>Médio risco</v>
      </c>
      <c r="V368">
        <v>0</v>
      </c>
      <c r="W368">
        <v>83</v>
      </c>
      <c r="X368" s="2">
        <v>157.31</v>
      </c>
      <c r="Y368">
        <v>8</v>
      </c>
      <c r="Z368" t="s">
        <v>50</v>
      </c>
    </row>
    <row r="369" spans="1:26">
      <c r="A369" t="s">
        <v>770</v>
      </c>
      <c r="B369" t="s">
        <v>759</v>
      </c>
      <c r="C369" t="s">
        <v>59</v>
      </c>
      <c r="D369" t="s">
        <v>60</v>
      </c>
      <c r="E369">
        <v>22</v>
      </c>
      <c r="F369" t="s">
        <v>30</v>
      </c>
      <c r="G369" t="s">
        <v>41</v>
      </c>
      <c r="H369" t="s">
        <v>42</v>
      </c>
      <c r="I369" t="e">
        <f ca="1">_xludf.XLOOKUP(H369,Base_Planos!$A:$A,Base_Planos!$B:$B,"Não encontrado")</f>
        <v>#NAME?</v>
      </c>
      <c r="J369" s="2">
        <f>VLOOKUP(H369,Base_Planos!$A:$G,4,FALSE)</f>
        <v>29.9</v>
      </c>
      <c r="K369" s="4">
        <v>46106</v>
      </c>
      <c r="L369" t="s">
        <v>292</v>
      </c>
      <c r="M369" t="s">
        <v>34</v>
      </c>
      <c r="N369" s="4">
        <v>46158</v>
      </c>
      <c r="O369" s="10">
        <f t="shared" ca="1" si="34"/>
        <v>52</v>
      </c>
      <c r="P369" s="10" t="str">
        <f t="shared" ca="1" si="31"/>
        <v>31 a 90 dias</v>
      </c>
      <c r="Q369">
        <f t="shared" si="36"/>
        <v>1</v>
      </c>
      <c r="R369">
        <v>1</v>
      </c>
      <c r="S369" s="11">
        <f t="shared" si="35"/>
        <v>29.9</v>
      </c>
      <c r="T369" s="11" t="str">
        <f t="shared" si="32"/>
        <v>Detrator</v>
      </c>
      <c r="U369" s="11" t="str">
        <f t="shared" si="33"/>
        <v>Alto risco</v>
      </c>
      <c r="V369">
        <v>0</v>
      </c>
      <c r="W369">
        <v>75</v>
      </c>
      <c r="X369" s="2">
        <v>25.56</v>
      </c>
      <c r="Y369">
        <v>1</v>
      </c>
      <c r="Z369" t="s">
        <v>35</v>
      </c>
    </row>
    <row r="370" spans="1:26">
      <c r="A370" t="s">
        <v>771</v>
      </c>
      <c r="B370" t="s">
        <v>509</v>
      </c>
      <c r="C370" t="s">
        <v>108</v>
      </c>
      <c r="D370" t="s">
        <v>109</v>
      </c>
      <c r="E370">
        <v>57</v>
      </c>
      <c r="F370" t="s">
        <v>66</v>
      </c>
      <c r="G370" t="s">
        <v>104</v>
      </c>
      <c r="H370" t="s">
        <v>61</v>
      </c>
      <c r="I370" t="e">
        <f ca="1">_xludf.XLOOKUP(H370,Base_Planos!$A:$A,Base_Planos!$B:$B,"Não encontrado")</f>
        <v>#NAME?</v>
      </c>
      <c r="J370" s="2">
        <f>VLOOKUP(H370,Base_Planos!$A:$G,4,FALSE)</f>
        <v>59.9</v>
      </c>
      <c r="K370" s="4">
        <v>45829</v>
      </c>
      <c r="L370" t="s">
        <v>167</v>
      </c>
      <c r="M370" t="s">
        <v>34</v>
      </c>
      <c r="N370" s="4">
        <v>45902</v>
      </c>
      <c r="O370" s="10">
        <f t="shared" ca="1" si="34"/>
        <v>73</v>
      </c>
      <c r="P370" s="10" t="str">
        <f t="shared" ca="1" si="31"/>
        <v>31 a 90 dias</v>
      </c>
      <c r="Q370">
        <f t="shared" si="36"/>
        <v>1</v>
      </c>
      <c r="R370">
        <v>0</v>
      </c>
      <c r="S370" s="11">
        <f t="shared" si="35"/>
        <v>59.9</v>
      </c>
      <c r="T370" s="11" t="str">
        <f t="shared" si="32"/>
        <v>Detrator</v>
      </c>
      <c r="U370" s="11" t="str">
        <f t="shared" si="33"/>
        <v>Alto risco</v>
      </c>
      <c r="V370">
        <v>1</v>
      </c>
      <c r="W370">
        <v>47</v>
      </c>
      <c r="X370" s="2">
        <v>51.57</v>
      </c>
      <c r="Y370">
        <v>2</v>
      </c>
      <c r="Z370" t="s">
        <v>35</v>
      </c>
    </row>
    <row r="371" spans="1:26">
      <c r="A371" t="s">
        <v>772</v>
      </c>
      <c r="B371" t="s">
        <v>773</v>
      </c>
      <c r="C371" t="s">
        <v>53</v>
      </c>
      <c r="D371" t="s">
        <v>29</v>
      </c>
      <c r="E371">
        <v>36</v>
      </c>
      <c r="F371" t="s">
        <v>30</v>
      </c>
      <c r="G371" t="s">
        <v>55</v>
      </c>
      <c r="H371" t="s">
        <v>42</v>
      </c>
      <c r="I371" t="e">
        <f ca="1">_xludf.XLOOKUP(H371,Base_Planos!$A:$A,Base_Planos!$B:$B,"Não encontrado")</f>
        <v>#NAME?</v>
      </c>
      <c r="J371" s="2">
        <f>VLOOKUP(H371,Base_Planos!$A:$G,4,FALSE)</f>
        <v>29.9</v>
      </c>
      <c r="K371" s="4">
        <v>45891</v>
      </c>
      <c r="L371" t="s">
        <v>159</v>
      </c>
      <c r="M371" t="s">
        <v>44</v>
      </c>
      <c r="N371" s="4"/>
      <c r="O371" s="10">
        <f t="shared" ca="1" si="34"/>
        <v>278</v>
      </c>
      <c r="P371" s="10" t="str">
        <f t="shared" ca="1" si="31"/>
        <v>181 a 365 dias</v>
      </c>
      <c r="Q371">
        <f t="shared" si="36"/>
        <v>0</v>
      </c>
      <c r="R371">
        <v>0</v>
      </c>
      <c r="S371" s="11">
        <f t="shared" si="35"/>
        <v>0</v>
      </c>
      <c r="T371" s="11" t="str">
        <f t="shared" si="32"/>
        <v>Detrator</v>
      </c>
      <c r="U371" s="11" t="str">
        <f t="shared" si="33"/>
        <v>Alto risco</v>
      </c>
      <c r="V371">
        <v>0</v>
      </c>
      <c r="W371">
        <v>97</v>
      </c>
      <c r="X371" s="2">
        <v>29.9</v>
      </c>
      <c r="Y371">
        <v>9</v>
      </c>
      <c r="Z371" t="s">
        <v>35</v>
      </c>
    </row>
    <row r="372" spans="1:26">
      <c r="A372" t="s">
        <v>774</v>
      </c>
      <c r="B372" t="s">
        <v>429</v>
      </c>
      <c r="C372" t="s">
        <v>90</v>
      </c>
      <c r="D372" t="s">
        <v>29</v>
      </c>
      <c r="E372">
        <v>64</v>
      </c>
      <c r="F372" t="s">
        <v>201</v>
      </c>
      <c r="G372" t="s">
        <v>67</v>
      </c>
      <c r="H372" t="s">
        <v>112</v>
      </c>
      <c r="I372" t="e">
        <f ca="1">_xludf.XLOOKUP(H372,Base_Planos!$A:$A,Base_Planos!$B:$B,"Não encontrado")</f>
        <v>#NAME?</v>
      </c>
      <c r="J372" s="2">
        <f>VLOOKUP(H372,Base_Planos!$A:$G,4,FALSE)</f>
        <v>79.900000000000006</v>
      </c>
      <c r="K372" s="4">
        <v>46005</v>
      </c>
      <c r="L372" t="s">
        <v>170</v>
      </c>
      <c r="M372" t="s">
        <v>44</v>
      </c>
      <c r="N372" s="4"/>
      <c r="O372" s="10">
        <f t="shared" ca="1" si="34"/>
        <v>164</v>
      </c>
      <c r="P372" s="10" t="str">
        <f t="shared" ca="1" si="31"/>
        <v>91 a 180 dias</v>
      </c>
      <c r="Q372">
        <f t="shared" si="36"/>
        <v>0</v>
      </c>
      <c r="R372">
        <v>0</v>
      </c>
      <c r="S372" s="11">
        <f t="shared" si="35"/>
        <v>0</v>
      </c>
      <c r="T372" s="11" t="str">
        <f t="shared" si="32"/>
        <v>Detrator</v>
      </c>
      <c r="U372" s="11" t="str">
        <f t="shared" si="33"/>
        <v>Alto risco</v>
      </c>
      <c r="V372">
        <v>0</v>
      </c>
      <c r="W372">
        <v>66</v>
      </c>
      <c r="X372" s="2">
        <v>72.25</v>
      </c>
      <c r="Y372">
        <v>5</v>
      </c>
      <c r="Z372" t="s">
        <v>35</v>
      </c>
    </row>
    <row r="373" spans="1:26">
      <c r="A373" t="s">
        <v>775</v>
      </c>
      <c r="B373" t="s">
        <v>776</v>
      </c>
      <c r="C373" t="s">
        <v>102</v>
      </c>
      <c r="D373" t="s">
        <v>103</v>
      </c>
      <c r="E373">
        <v>42</v>
      </c>
      <c r="F373" t="s">
        <v>40</v>
      </c>
      <c r="G373" t="s">
        <v>165</v>
      </c>
      <c r="H373" t="s">
        <v>86</v>
      </c>
      <c r="I373" t="e">
        <f ca="1">_xludf.XLOOKUP(H373,Base_Planos!$A:$A,Base_Planos!$B:$B,"Não encontrado")</f>
        <v>#NAME?</v>
      </c>
      <c r="J373" s="2">
        <f>VLOOKUP(H373,Base_Planos!$A:$G,4,FALSE)</f>
        <v>119.9</v>
      </c>
      <c r="K373" s="4">
        <v>44966</v>
      </c>
      <c r="L373" t="s">
        <v>425</v>
      </c>
      <c r="M373" t="s">
        <v>44</v>
      </c>
      <c r="N373" s="4"/>
      <c r="O373" s="10">
        <f t="shared" ca="1" si="34"/>
        <v>1203</v>
      </c>
      <c r="P373" s="10" t="str">
        <f t="shared" ca="1" si="31"/>
        <v>Mais de 1 ano</v>
      </c>
      <c r="Q373">
        <f t="shared" si="36"/>
        <v>0</v>
      </c>
      <c r="R373">
        <v>4</v>
      </c>
      <c r="S373" s="11">
        <f t="shared" si="35"/>
        <v>0</v>
      </c>
      <c r="T373" s="11" t="str">
        <f t="shared" si="32"/>
        <v>Detrator</v>
      </c>
      <c r="U373" s="11" t="str">
        <f t="shared" si="33"/>
        <v>Alto risco</v>
      </c>
      <c r="V373">
        <v>0</v>
      </c>
      <c r="W373">
        <v>27</v>
      </c>
      <c r="X373" s="2">
        <v>125.33</v>
      </c>
      <c r="Y373">
        <v>40</v>
      </c>
      <c r="Z373" t="s">
        <v>45</v>
      </c>
    </row>
    <row r="374" spans="1:26">
      <c r="A374" t="s">
        <v>777</v>
      </c>
      <c r="B374" t="s">
        <v>778</v>
      </c>
      <c r="C374" t="s">
        <v>77</v>
      </c>
      <c r="D374" t="s">
        <v>78</v>
      </c>
      <c r="E374">
        <v>56</v>
      </c>
      <c r="F374" t="s">
        <v>54</v>
      </c>
      <c r="G374" t="s">
        <v>96</v>
      </c>
      <c r="H374" t="s">
        <v>42</v>
      </c>
      <c r="I374" t="e">
        <f ca="1">_xludf.XLOOKUP(H374,Base_Planos!$A:$A,Base_Planos!$B:$B,"Não encontrado")</f>
        <v>#NAME?</v>
      </c>
      <c r="J374" s="2">
        <f>VLOOKUP(H374,Base_Planos!$A:$G,4,FALSE)</f>
        <v>29.9</v>
      </c>
      <c r="K374" s="4">
        <v>45864</v>
      </c>
      <c r="L374" t="s">
        <v>212</v>
      </c>
      <c r="M374" t="s">
        <v>44</v>
      </c>
      <c r="N374" s="4"/>
      <c r="O374" s="10">
        <f t="shared" ca="1" si="34"/>
        <v>305</v>
      </c>
      <c r="P374" s="10" t="str">
        <f t="shared" ca="1" si="31"/>
        <v>181 a 365 dias</v>
      </c>
      <c r="Q374">
        <f t="shared" si="36"/>
        <v>0</v>
      </c>
      <c r="R374">
        <v>8</v>
      </c>
      <c r="S374" s="11">
        <f t="shared" si="35"/>
        <v>0</v>
      </c>
      <c r="T374" s="11" t="str">
        <f t="shared" si="32"/>
        <v>Neutro</v>
      </c>
      <c r="U374" s="11" t="str">
        <f t="shared" si="33"/>
        <v>Médio risco</v>
      </c>
      <c r="V374">
        <v>0</v>
      </c>
      <c r="W374">
        <v>54</v>
      </c>
      <c r="X374" s="2">
        <v>27.41</v>
      </c>
      <c r="Y374">
        <v>10</v>
      </c>
      <c r="Z374" t="s">
        <v>50</v>
      </c>
    </row>
    <row r="375" spans="1:26">
      <c r="A375" t="s">
        <v>779</v>
      </c>
      <c r="B375" t="s">
        <v>780</v>
      </c>
      <c r="C375" t="s">
        <v>28</v>
      </c>
      <c r="D375" t="s">
        <v>29</v>
      </c>
      <c r="E375">
        <v>40</v>
      </c>
      <c r="F375" t="s">
        <v>40</v>
      </c>
      <c r="G375" t="s">
        <v>165</v>
      </c>
      <c r="H375" t="s">
        <v>61</v>
      </c>
      <c r="I375" t="e">
        <f ca="1">_xludf.XLOOKUP(H375,Base_Planos!$A:$A,Base_Planos!$B:$B,"Não encontrado")</f>
        <v>#NAME?</v>
      </c>
      <c r="J375" s="2">
        <f>VLOOKUP(H375,Base_Planos!$A:$G,4,FALSE)</f>
        <v>59.9</v>
      </c>
      <c r="K375" s="4">
        <v>45410</v>
      </c>
      <c r="L375" t="s">
        <v>56</v>
      </c>
      <c r="M375" t="s">
        <v>44</v>
      </c>
      <c r="N375" s="4"/>
      <c r="O375" s="10">
        <f t="shared" ca="1" si="34"/>
        <v>759</v>
      </c>
      <c r="P375" s="10" t="str">
        <f t="shared" ca="1" si="31"/>
        <v>Mais de 1 ano</v>
      </c>
      <c r="Q375">
        <f t="shared" si="36"/>
        <v>0</v>
      </c>
      <c r="R375">
        <v>8</v>
      </c>
      <c r="S375" s="11">
        <f t="shared" si="35"/>
        <v>0</v>
      </c>
      <c r="T375" s="11" t="str">
        <f t="shared" si="32"/>
        <v>Neutro</v>
      </c>
      <c r="U375" s="11" t="str">
        <f t="shared" si="33"/>
        <v>Médio risco</v>
      </c>
      <c r="V375">
        <v>0</v>
      </c>
      <c r="W375">
        <v>66</v>
      </c>
      <c r="X375" s="2">
        <v>62.89</v>
      </c>
      <c r="Y375">
        <v>25</v>
      </c>
      <c r="Z375" t="s">
        <v>50</v>
      </c>
    </row>
    <row r="376" spans="1:26">
      <c r="A376" t="s">
        <v>781</v>
      </c>
      <c r="B376" t="s">
        <v>782</v>
      </c>
      <c r="C376" t="s">
        <v>140</v>
      </c>
      <c r="D376" t="s">
        <v>141</v>
      </c>
      <c r="E376">
        <v>32</v>
      </c>
      <c r="F376" t="s">
        <v>30</v>
      </c>
      <c r="G376" t="s">
        <v>41</v>
      </c>
      <c r="H376" t="s">
        <v>61</v>
      </c>
      <c r="I376" t="e">
        <f ca="1">_xludf.XLOOKUP(H376,Base_Planos!$A:$A,Base_Planos!$B:$B,"Não encontrado")</f>
        <v>#NAME?</v>
      </c>
      <c r="J376" s="2">
        <f>VLOOKUP(H376,Base_Planos!$A:$G,4,FALSE)</f>
        <v>59.9</v>
      </c>
      <c r="K376" s="4">
        <v>45106</v>
      </c>
      <c r="L376" t="s">
        <v>328</v>
      </c>
      <c r="M376" t="s">
        <v>44</v>
      </c>
      <c r="N376" s="4"/>
      <c r="O376" s="10">
        <f t="shared" ca="1" si="34"/>
        <v>1063</v>
      </c>
      <c r="P376" s="10" t="str">
        <f t="shared" ca="1" si="31"/>
        <v>Mais de 1 ano</v>
      </c>
      <c r="Q376">
        <f t="shared" si="36"/>
        <v>0</v>
      </c>
      <c r="R376">
        <v>6</v>
      </c>
      <c r="S376" s="11">
        <f t="shared" si="35"/>
        <v>0</v>
      </c>
      <c r="T376" s="11" t="str">
        <f t="shared" si="32"/>
        <v>Detrator</v>
      </c>
      <c r="U376" s="11" t="str">
        <f t="shared" si="33"/>
        <v>Alto risco</v>
      </c>
      <c r="V376">
        <v>2</v>
      </c>
      <c r="W376">
        <v>51</v>
      </c>
      <c r="X376" s="2">
        <v>55.91</v>
      </c>
      <c r="Y376">
        <v>35</v>
      </c>
      <c r="Z376" t="s">
        <v>35</v>
      </c>
    </row>
    <row r="377" spans="1:26">
      <c r="A377" t="s">
        <v>783</v>
      </c>
      <c r="B377" t="s">
        <v>440</v>
      </c>
      <c r="C377" t="s">
        <v>71</v>
      </c>
      <c r="D377" t="s">
        <v>72</v>
      </c>
      <c r="E377">
        <v>37</v>
      </c>
      <c r="F377" t="s">
        <v>66</v>
      </c>
      <c r="G377" t="s">
        <v>165</v>
      </c>
      <c r="H377" t="s">
        <v>112</v>
      </c>
      <c r="I377" t="e">
        <f ca="1">_xludf.XLOOKUP(H377,Base_Planos!$A:$A,Base_Planos!$B:$B,"Não encontrado")</f>
        <v>#NAME?</v>
      </c>
      <c r="J377" s="2">
        <f>VLOOKUP(H377,Base_Planos!$A:$G,4,FALSE)</f>
        <v>79.900000000000006</v>
      </c>
      <c r="K377" s="4">
        <v>45196</v>
      </c>
      <c r="L377" t="s">
        <v>105</v>
      </c>
      <c r="M377" t="s">
        <v>34</v>
      </c>
      <c r="N377" s="4">
        <v>45367</v>
      </c>
      <c r="O377" s="10">
        <f t="shared" ca="1" si="34"/>
        <v>171</v>
      </c>
      <c r="P377" s="10" t="str">
        <f t="shared" ca="1" si="31"/>
        <v>91 a 180 dias</v>
      </c>
      <c r="Q377">
        <f t="shared" si="36"/>
        <v>1</v>
      </c>
      <c r="R377">
        <v>3</v>
      </c>
      <c r="S377" s="11">
        <f t="shared" si="35"/>
        <v>79.900000000000006</v>
      </c>
      <c r="T377" s="11" t="str">
        <f t="shared" si="32"/>
        <v>Detrator</v>
      </c>
      <c r="U377" s="11" t="str">
        <f t="shared" si="33"/>
        <v>Alto risco</v>
      </c>
      <c r="V377">
        <v>1</v>
      </c>
      <c r="W377">
        <v>26</v>
      </c>
      <c r="X377" s="2">
        <v>79.180000000000007</v>
      </c>
      <c r="Y377">
        <v>5</v>
      </c>
      <c r="Z377" t="s">
        <v>35</v>
      </c>
    </row>
    <row r="378" spans="1:26">
      <c r="A378" t="s">
        <v>784</v>
      </c>
      <c r="B378" t="s">
        <v>785</v>
      </c>
      <c r="C378" t="s">
        <v>71</v>
      </c>
      <c r="D378" t="s">
        <v>72</v>
      </c>
      <c r="E378">
        <v>27</v>
      </c>
      <c r="F378" t="s">
        <v>40</v>
      </c>
      <c r="G378" t="s">
        <v>96</v>
      </c>
      <c r="H378" t="s">
        <v>42</v>
      </c>
      <c r="I378" t="e">
        <f ca="1">_xludf.XLOOKUP(H378,Base_Planos!$A:$A,Base_Planos!$B:$B,"Não encontrado")</f>
        <v>#NAME?</v>
      </c>
      <c r="J378" s="2">
        <f>VLOOKUP(H378,Base_Planos!$A:$G,4,FALSE)</f>
        <v>29.9</v>
      </c>
      <c r="K378" s="4">
        <v>46068</v>
      </c>
      <c r="L378" t="s">
        <v>74</v>
      </c>
      <c r="M378" t="s">
        <v>44</v>
      </c>
      <c r="N378" s="4"/>
      <c r="O378" s="10">
        <f t="shared" ca="1" si="34"/>
        <v>101</v>
      </c>
      <c r="P378" s="10" t="str">
        <f t="shared" ca="1" si="31"/>
        <v>91 a 180 dias</v>
      </c>
      <c r="Q378">
        <f t="shared" si="36"/>
        <v>0</v>
      </c>
      <c r="R378">
        <v>8</v>
      </c>
      <c r="S378" s="11">
        <f t="shared" si="35"/>
        <v>0</v>
      </c>
      <c r="T378" s="11" t="str">
        <f t="shared" si="32"/>
        <v>Neutro</v>
      </c>
      <c r="U378" s="11" t="str">
        <f t="shared" si="33"/>
        <v>Médio risco</v>
      </c>
      <c r="V378">
        <v>0</v>
      </c>
      <c r="W378">
        <v>52</v>
      </c>
      <c r="X378" s="2">
        <v>29.76</v>
      </c>
      <c r="Y378">
        <v>3</v>
      </c>
      <c r="Z378" t="s">
        <v>50</v>
      </c>
    </row>
    <row r="379" spans="1:26">
      <c r="A379" t="s">
        <v>786</v>
      </c>
      <c r="B379" t="s">
        <v>444</v>
      </c>
      <c r="C379" t="s">
        <v>71</v>
      </c>
      <c r="D379" t="s">
        <v>72</v>
      </c>
      <c r="E379">
        <v>44</v>
      </c>
      <c r="F379" t="s">
        <v>30</v>
      </c>
      <c r="G379" t="s">
        <v>73</v>
      </c>
      <c r="H379" t="s">
        <v>32</v>
      </c>
      <c r="I379" t="e">
        <f ca="1">_xludf.XLOOKUP(H379,Base_Planos!$A:$A,Base_Planos!$B:$B,"Não encontrado")</f>
        <v>#NAME?</v>
      </c>
      <c r="J379" s="2">
        <f>VLOOKUP(H379,Base_Planos!$A:$G,4,FALSE)</f>
        <v>39.9</v>
      </c>
      <c r="K379" s="4">
        <v>45311</v>
      </c>
      <c r="L379" t="s">
        <v>516</v>
      </c>
      <c r="M379" t="s">
        <v>44</v>
      </c>
      <c r="N379" s="4"/>
      <c r="O379" s="10">
        <f t="shared" ca="1" si="34"/>
        <v>858</v>
      </c>
      <c r="P379" s="10" t="str">
        <f t="shared" ca="1" si="31"/>
        <v>Mais de 1 ano</v>
      </c>
      <c r="Q379">
        <f t="shared" si="36"/>
        <v>0</v>
      </c>
      <c r="R379">
        <v>1</v>
      </c>
      <c r="S379" s="11">
        <f t="shared" si="35"/>
        <v>0</v>
      </c>
      <c r="T379" s="11" t="str">
        <f t="shared" si="32"/>
        <v>Detrator</v>
      </c>
      <c r="U379" s="11" t="str">
        <f t="shared" si="33"/>
        <v>Alto risco</v>
      </c>
      <c r="V379">
        <v>4</v>
      </c>
      <c r="W379">
        <v>61</v>
      </c>
      <c r="X379" s="2">
        <v>38.75</v>
      </c>
      <c r="Y379">
        <v>28</v>
      </c>
      <c r="Z379" t="s">
        <v>45</v>
      </c>
    </row>
    <row r="380" spans="1:26">
      <c r="A380" t="s">
        <v>787</v>
      </c>
      <c r="B380" t="s">
        <v>176</v>
      </c>
      <c r="C380" t="s">
        <v>90</v>
      </c>
      <c r="D380" t="s">
        <v>29</v>
      </c>
      <c r="E380">
        <v>32</v>
      </c>
      <c r="F380" t="s">
        <v>30</v>
      </c>
      <c r="G380" t="s">
        <v>67</v>
      </c>
      <c r="H380" t="s">
        <v>112</v>
      </c>
      <c r="I380" t="e">
        <f ca="1">_xludf.XLOOKUP(H380,Base_Planos!$A:$A,Base_Planos!$B:$B,"Não encontrado")</f>
        <v>#NAME?</v>
      </c>
      <c r="J380" s="2">
        <f>VLOOKUP(H380,Base_Planos!$A:$G,4,FALSE)</f>
        <v>79.900000000000006</v>
      </c>
      <c r="K380" s="4">
        <v>45903</v>
      </c>
      <c r="L380" t="s">
        <v>189</v>
      </c>
      <c r="M380" t="s">
        <v>44</v>
      </c>
      <c r="N380" s="4"/>
      <c r="O380" s="10">
        <f t="shared" ca="1" si="34"/>
        <v>266</v>
      </c>
      <c r="P380" s="10" t="str">
        <f t="shared" ca="1" si="31"/>
        <v>181 a 365 dias</v>
      </c>
      <c r="Q380">
        <f t="shared" si="36"/>
        <v>0</v>
      </c>
      <c r="R380">
        <v>2</v>
      </c>
      <c r="S380" s="11">
        <f t="shared" si="35"/>
        <v>0</v>
      </c>
      <c r="T380" s="11" t="str">
        <f t="shared" si="32"/>
        <v>Detrator</v>
      </c>
      <c r="U380" s="11" t="str">
        <f t="shared" si="33"/>
        <v>Alto risco</v>
      </c>
      <c r="V380">
        <v>1</v>
      </c>
      <c r="W380">
        <v>56</v>
      </c>
      <c r="X380" s="2">
        <v>81.53</v>
      </c>
      <c r="Y380">
        <v>8</v>
      </c>
      <c r="Z380" t="s">
        <v>35</v>
      </c>
    </row>
    <row r="381" spans="1:26">
      <c r="A381" t="s">
        <v>788</v>
      </c>
      <c r="B381" t="s">
        <v>789</v>
      </c>
      <c r="C381" t="s">
        <v>94</v>
      </c>
      <c r="D381" t="s">
        <v>95</v>
      </c>
      <c r="E381">
        <v>28</v>
      </c>
      <c r="F381" t="s">
        <v>30</v>
      </c>
      <c r="G381" t="s">
        <v>67</v>
      </c>
      <c r="H381" t="s">
        <v>112</v>
      </c>
      <c r="I381" t="e">
        <f ca="1">_xludf.XLOOKUP(H381,Base_Planos!$A:$A,Base_Planos!$B:$B,"Não encontrado")</f>
        <v>#NAME?</v>
      </c>
      <c r="J381" s="2">
        <f>VLOOKUP(H381,Base_Planos!$A:$G,4,FALSE)</f>
        <v>79.900000000000006</v>
      </c>
      <c r="K381" s="4">
        <v>44957</v>
      </c>
      <c r="L381" t="s">
        <v>153</v>
      </c>
      <c r="M381" t="s">
        <v>34</v>
      </c>
      <c r="N381" s="4">
        <v>45405</v>
      </c>
      <c r="O381" s="10">
        <f t="shared" ca="1" si="34"/>
        <v>448</v>
      </c>
      <c r="P381" s="10" t="str">
        <f t="shared" ca="1" si="31"/>
        <v>Mais de 1 ano</v>
      </c>
      <c r="Q381">
        <f t="shared" si="36"/>
        <v>1</v>
      </c>
      <c r="R381">
        <v>4</v>
      </c>
      <c r="S381" s="11">
        <f t="shared" si="35"/>
        <v>79.900000000000006</v>
      </c>
      <c r="T381" s="11" t="str">
        <f t="shared" si="32"/>
        <v>Detrator</v>
      </c>
      <c r="U381" s="11" t="str">
        <f t="shared" si="33"/>
        <v>Alto risco</v>
      </c>
      <c r="V381">
        <v>1</v>
      </c>
      <c r="W381">
        <v>50</v>
      </c>
      <c r="X381" s="2">
        <v>82.73</v>
      </c>
      <c r="Y381">
        <v>14</v>
      </c>
      <c r="Z381" t="s">
        <v>35</v>
      </c>
    </row>
    <row r="382" spans="1:26">
      <c r="A382" t="s">
        <v>790</v>
      </c>
      <c r="B382" t="s">
        <v>211</v>
      </c>
      <c r="C382" t="s">
        <v>77</v>
      </c>
      <c r="D382" t="s">
        <v>78</v>
      </c>
      <c r="E382">
        <v>62</v>
      </c>
      <c r="F382" t="s">
        <v>30</v>
      </c>
      <c r="G382" t="s">
        <v>104</v>
      </c>
      <c r="H382" t="s">
        <v>86</v>
      </c>
      <c r="I382" t="e">
        <f ca="1">_xludf.XLOOKUP(H382,Base_Planos!$A:$A,Base_Planos!$B:$B,"Não encontrado")</f>
        <v>#NAME?</v>
      </c>
      <c r="J382" s="2">
        <f>VLOOKUP(H382,Base_Planos!$A:$G,4,FALSE)</f>
        <v>119.9</v>
      </c>
      <c r="K382" s="4">
        <v>45802</v>
      </c>
      <c r="L382" t="s">
        <v>97</v>
      </c>
      <c r="M382" t="s">
        <v>44</v>
      </c>
      <c r="N382" s="4"/>
      <c r="O382" s="10">
        <f t="shared" ca="1" si="34"/>
        <v>367</v>
      </c>
      <c r="P382" s="10" t="str">
        <f t="shared" ca="1" si="31"/>
        <v>Mais de 1 ano</v>
      </c>
      <c r="Q382">
        <f t="shared" si="36"/>
        <v>0</v>
      </c>
      <c r="R382">
        <v>6</v>
      </c>
      <c r="S382" s="11">
        <f t="shared" si="35"/>
        <v>0</v>
      </c>
      <c r="T382" s="11" t="str">
        <f t="shared" si="32"/>
        <v>Detrator</v>
      </c>
      <c r="U382" s="11" t="str">
        <f t="shared" si="33"/>
        <v>Alto risco</v>
      </c>
      <c r="V382">
        <v>2</v>
      </c>
      <c r="W382">
        <v>19</v>
      </c>
      <c r="X382" s="2">
        <v>111.37</v>
      </c>
      <c r="Y382">
        <v>12</v>
      </c>
      <c r="Z382" t="s">
        <v>45</v>
      </c>
    </row>
    <row r="383" spans="1:26">
      <c r="A383" t="s">
        <v>791</v>
      </c>
      <c r="B383" t="s">
        <v>622</v>
      </c>
      <c r="C383" t="s">
        <v>90</v>
      </c>
      <c r="D383" t="s">
        <v>29</v>
      </c>
      <c r="E383">
        <v>52</v>
      </c>
      <c r="F383" t="s">
        <v>54</v>
      </c>
      <c r="G383" t="s">
        <v>67</v>
      </c>
      <c r="H383" t="s">
        <v>112</v>
      </c>
      <c r="I383" t="e">
        <f ca="1">_xludf.XLOOKUP(H383,Base_Planos!$A:$A,Base_Planos!$B:$B,"Não encontrado")</f>
        <v>#NAME?</v>
      </c>
      <c r="J383" s="2">
        <f>VLOOKUP(H383,Base_Planos!$A:$G,4,FALSE)</f>
        <v>79.900000000000006</v>
      </c>
      <c r="K383" s="4">
        <v>45851</v>
      </c>
      <c r="L383" t="s">
        <v>212</v>
      </c>
      <c r="M383" t="s">
        <v>44</v>
      </c>
      <c r="N383" s="4"/>
      <c r="O383" s="10">
        <f t="shared" ca="1" si="34"/>
        <v>318</v>
      </c>
      <c r="P383" s="10" t="str">
        <f t="shared" ca="1" si="31"/>
        <v>181 a 365 dias</v>
      </c>
      <c r="Q383">
        <f t="shared" si="36"/>
        <v>0</v>
      </c>
      <c r="R383">
        <v>7</v>
      </c>
      <c r="S383" s="11">
        <f t="shared" si="35"/>
        <v>0</v>
      </c>
      <c r="T383" s="11" t="str">
        <f t="shared" si="32"/>
        <v>Neutro</v>
      </c>
      <c r="U383" s="11" t="str">
        <f t="shared" si="33"/>
        <v>Médio risco</v>
      </c>
      <c r="V383">
        <v>4</v>
      </c>
      <c r="W383">
        <v>49</v>
      </c>
      <c r="X383" s="2">
        <v>74.239999999999995</v>
      </c>
      <c r="Y383">
        <v>10</v>
      </c>
      <c r="Z383" t="s">
        <v>50</v>
      </c>
    </row>
    <row r="384" spans="1:26">
      <c r="A384" t="s">
        <v>792</v>
      </c>
      <c r="B384" t="s">
        <v>250</v>
      </c>
      <c r="C384" t="s">
        <v>38</v>
      </c>
      <c r="D384" t="s">
        <v>39</v>
      </c>
      <c r="E384">
        <v>42</v>
      </c>
      <c r="F384" t="s">
        <v>54</v>
      </c>
      <c r="G384" t="s">
        <v>67</v>
      </c>
      <c r="H384" t="s">
        <v>42</v>
      </c>
      <c r="I384" t="e">
        <f ca="1">_xludf.XLOOKUP(H384,Base_Planos!$A:$A,Base_Planos!$B:$B,"Não encontrado")</f>
        <v>#NAME?</v>
      </c>
      <c r="J384" s="2">
        <f>VLOOKUP(H384,Base_Planos!$A:$G,4,FALSE)</f>
        <v>29.9</v>
      </c>
      <c r="K384" s="4">
        <v>45827</v>
      </c>
      <c r="L384" t="s">
        <v>167</v>
      </c>
      <c r="M384" t="s">
        <v>34</v>
      </c>
      <c r="N384" s="4">
        <v>46007</v>
      </c>
      <c r="O384" s="10">
        <f t="shared" ca="1" si="34"/>
        <v>180</v>
      </c>
      <c r="P384" s="10" t="str">
        <f t="shared" ca="1" si="31"/>
        <v>91 a 180 dias</v>
      </c>
      <c r="Q384">
        <f t="shared" si="36"/>
        <v>1</v>
      </c>
      <c r="R384">
        <v>6</v>
      </c>
      <c r="S384" s="11">
        <f t="shared" si="35"/>
        <v>29.9</v>
      </c>
      <c r="T384" s="11" t="str">
        <f t="shared" si="32"/>
        <v>Detrator</v>
      </c>
      <c r="U384" s="11" t="str">
        <f t="shared" si="33"/>
        <v>Alto risco</v>
      </c>
      <c r="V384">
        <v>0</v>
      </c>
      <c r="W384">
        <v>24</v>
      </c>
      <c r="X384" s="2">
        <v>29.54</v>
      </c>
      <c r="Y384">
        <v>6</v>
      </c>
      <c r="Z384" t="s">
        <v>35</v>
      </c>
    </row>
    <row r="385" spans="1:26">
      <c r="A385" t="s">
        <v>793</v>
      </c>
      <c r="B385" t="s">
        <v>232</v>
      </c>
      <c r="C385" t="s">
        <v>77</v>
      </c>
      <c r="D385" t="s">
        <v>78</v>
      </c>
      <c r="E385">
        <v>59</v>
      </c>
      <c r="F385" t="s">
        <v>54</v>
      </c>
      <c r="G385" t="s">
        <v>55</v>
      </c>
      <c r="H385" t="s">
        <v>32</v>
      </c>
      <c r="I385" t="e">
        <f ca="1">_xludf.XLOOKUP(H385,Base_Planos!$A:$A,Base_Planos!$B:$B,"Não encontrado")</f>
        <v>#NAME?</v>
      </c>
      <c r="J385" s="2">
        <f>VLOOKUP(H385,Base_Planos!$A:$G,4,FALSE)</f>
        <v>39.9</v>
      </c>
      <c r="K385" s="4">
        <v>46125</v>
      </c>
      <c r="L385" t="s">
        <v>43</v>
      </c>
      <c r="M385" t="s">
        <v>44</v>
      </c>
      <c r="N385" s="4"/>
      <c r="O385" s="10">
        <f t="shared" ca="1" si="34"/>
        <v>44</v>
      </c>
      <c r="P385" s="10" t="str">
        <f t="shared" ca="1" si="31"/>
        <v>31 a 90 dias</v>
      </c>
      <c r="Q385">
        <f t="shared" si="36"/>
        <v>0</v>
      </c>
      <c r="R385">
        <v>8</v>
      </c>
      <c r="S385" s="11">
        <f t="shared" si="35"/>
        <v>0</v>
      </c>
      <c r="T385" s="11" t="str">
        <f t="shared" si="32"/>
        <v>Neutro</v>
      </c>
      <c r="U385" s="11" t="str">
        <f t="shared" si="33"/>
        <v>Médio risco</v>
      </c>
      <c r="V385">
        <v>0</v>
      </c>
      <c r="W385">
        <v>78</v>
      </c>
      <c r="X385" s="2">
        <v>38.630000000000003</v>
      </c>
      <c r="Y385">
        <v>1</v>
      </c>
      <c r="Z385" t="s">
        <v>50</v>
      </c>
    </row>
    <row r="386" spans="1:26">
      <c r="A386" t="s">
        <v>794</v>
      </c>
      <c r="B386" t="s">
        <v>186</v>
      </c>
      <c r="C386" t="s">
        <v>77</v>
      </c>
      <c r="D386" t="s">
        <v>78</v>
      </c>
      <c r="E386">
        <v>23</v>
      </c>
      <c r="F386" t="s">
        <v>30</v>
      </c>
      <c r="G386" t="s">
        <v>96</v>
      </c>
      <c r="H386" t="s">
        <v>82</v>
      </c>
      <c r="I386" t="e">
        <f ca="1">_xludf.XLOOKUP(H386,Base_Planos!$A:$A,Base_Planos!$B:$B,"Não encontrado")</f>
        <v>#NAME?</v>
      </c>
      <c r="J386" s="2">
        <f>VLOOKUP(H386,Base_Planos!$A:$G,4,FALSE)</f>
        <v>149.9</v>
      </c>
      <c r="K386" s="4">
        <v>45180</v>
      </c>
      <c r="L386" t="s">
        <v>105</v>
      </c>
      <c r="M386" t="s">
        <v>44</v>
      </c>
      <c r="N386" s="4"/>
      <c r="O386" s="10">
        <f t="shared" ca="1" si="34"/>
        <v>989</v>
      </c>
      <c r="P386" s="10" t="str">
        <f t="shared" ref="P386:P449" ca="1" si="37">IF(O386&lt;=30,"Até 30 dias",IF(O386&lt;=90,"31 a 90 dias",IF(O386&lt;=180,"91 a 180 dias",IF(O386&lt;=365,"181 a 365 dias","Mais de 1 ano"))))</f>
        <v>Mais de 1 ano</v>
      </c>
      <c r="Q386">
        <f t="shared" si="36"/>
        <v>0</v>
      </c>
      <c r="R386">
        <v>1</v>
      </c>
      <c r="S386" s="11">
        <f t="shared" si="35"/>
        <v>0</v>
      </c>
      <c r="T386" s="11" t="str">
        <f t="shared" ref="T386:T449" si="38">IF(R386&lt;=6,"Detrator",IF(R386&lt;=8,"Neutro","Promotor"))</f>
        <v>Detrator</v>
      </c>
      <c r="U386" s="11" t="str">
        <f t="shared" ref="U386:U449" si="39">IF(Q386=1,"Alto risco",IF(R386&lt;=6,"Alto risco",IF(R386&lt;=8,"Médio risco","Baixo risco")))</f>
        <v>Alto risco</v>
      </c>
      <c r="V386">
        <v>0</v>
      </c>
      <c r="W386">
        <v>77</v>
      </c>
      <c r="X386" s="2">
        <v>138.93</v>
      </c>
      <c r="Y386">
        <v>32</v>
      </c>
      <c r="Z386" t="s">
        <v>35</v>
      </c>
    </row>
    <row r="387" spans="1:26">
      <c r="A387" t="s">
        <v>795</v>
      </c>
      <c r="B387" t="s">
        <v>796</v>
      </c>
      <c r="C387" t="s">
        <v>90</v>
      </c>
      <c r="D387" t="s">
        <v>29</v>
      </c>
      <c r="E387">
        <v>28</v>
      </c>
      <c r="F387" t="s">
        <v>54</v>
      </c>
      <c r="G387" t="s">
        <v>41</v>
      </c>
      <c r="H387" t="s">
        <v>32</v>
      </c>
      <c r="I387" t="e">
        <f ca="1">_xludf.XLOOKUP(H387,Base_Planos!$A:$A,Base_Planos!$B:$B,"Não encontrado")</f>
        <v>#NAME?</v>
      </c>
      <c r="J387" s="2">
        <f>VLOOKUP(H387,Base_Planos!$A:$G,4,FALSE)</f>
        <v>39.9</v>
      </c>
      <c r="K387" s="4">
        <v>45276</v>
      </c>
      <c r="L387" t="s">
        <v>62</v>
      </c>
      <c r="M387" t="s">
        <v>44</v>
      </c>
      <c r="N387" s="4"/>
      <c r="O387" s="10">
        <f t="shared" ref="O387:O450" ca="1" si="40">IF(M387="Cancelado",N387-K387,TODAY()-K387)</f>
        <v>893</v>
      </c>
      <c r="P387" s="10" t="str">
        <f t="shared" ca="1" si="37"/>
        <v>Mais de 1 ano</v>
      </c>
      <c r="Q387">
        <f t="shared" si="36"/>
        <v>0</v>
      </c>
      <c r="R387">
        <v>5</v>
      </c>
      <c r="S387" s="11">
        <f t="shared" ref="S387:S450" si="41">IF(Q387=1,J387,0)</f>
        <v>0</v>
      </c>
      <c r="T387" s="11" t="str">
        <f t="shared" si="38"/>
        <v>Detrator</v>
      </c>
      <c r="U387" s="11" t="str">
        <f t="shared" si="39"/>
        <v>Alto risco</v>
      </c>
      <c r="V387">
        <v>0</v>
      </c>
      <c r="W387">
        <v>40</v>
      </c>
      <c r="X387" s="2">
        <v>35.340000000000003</v>
      </c>
      <c r="Y387">
        <v>29</v>
      </c>
      <c r="Z387" t="s">
        <v>35</v>
      </c>
    </row>
    <row r="388" spans="1:26">
      <c r="A388" t="s">
        <v>797</v>
      </c>
      <c r="B388" t="s">
        <v>798</v>
      </c>
      <c r="C388" t="s">
        <v>71</v>
      </c>
      <c r="D388" t="s">
        <v>72</v>
      </c>
      <c r="E388">
        <v>37</v>
      </c>
      <c r="F388" t="s">
        <v>30</v>
      </c>
      <c r="G388" t="s">
        <v>104</v>
      </c>
      <c r="H388" t="s">
        <v>42</v>
      </c>
      <c r="I388" t="e">
        <f ca="1">_xludf.XLOOKUP(H388,Base_Planos!$A:$A,Base_Planos!$B:$B,"Não encontrado")</f>
        <v>#NAME?</v>
      </c>
      <c r="J388" s="2">
        <f>VLOOKUP(H388,Base_Planos!$A:$G,4,FALSE)</f>
        <v>29.9</v>
      </c>
      <c r="K388" s="4">
        <v>45297</v>
      </c>
      <c r="L388" t="s">
        <v>516</v>
      </c>
      <c r="M388" t="s">
        <v>44</v>
      </c>
      <c r="N388" s="4"/>
      <c r="O388" s="10">
        <f t="shared" ca="1" si="40"/>
        <v>872</v>
      </c>
      <c r="P388" s="10" t="str">
        <f t="shared" ca="1" si="37"/>
        <v>Mais de 1 ano</v>
      </c>
      <c r="Q388">
        <f t="shared" si="36"/>
        <v>0</v>
      </c>
      <c r="R388">
        <v>1</v>
      </c>
      <c r="S388" s="11">
        <f t="shared" si="41"/>
        <v>0</v>
      </c>
      <c r="T388" s="11" t="str">
        <f t="shared" si="38"/>
        <v>Detrator</v>
      </c>
      <c r="U388" s="11" t="str">
        <f t="shared" si="39"/>
        <v>Alto risco</v>
      </c>
      <c r="V388">
        <v>0</v>
      </c>
      <c r="W388">
        <v>14</v>
      </c>
      <c r="X388" s="2">
        <v>25.49</v>
      </c>
      <c r="Y388">
        <v>29</v>
      </c>
      <c r="Z388" t="s">
        <v>45</v>
      </c>
    </row>
    <row r="389" spans="1:26">
      <c r="A389" t="s">
        <v>799</v>
      </c>
      <c r="B389" t="s">
        <v>789</v>
      </c>
      <c r="C389" t="s">
        <v>38</v>
      </c>
      <c r="D389" t="s">
        <v>39</v>
      </c>
      <c r="E389">
        <v>18</v>
      </c>
      <c r="F389" t="s">
        <v>40</v>
      </c>
      <c r="G389" t="s">
        <v>104</v>
      </c>
      <c r="H389" t="s">
        <v>42</v>
      </c>
      <c r="I389" t="e">
        <f ca="1">_xludf.XLOOKUP(H389,Base_Planos!$A:$A,Base_Planos!$B:$B,"Não encontrado")</f>
        <v>#NAME?</v>
      </c>
      <c r="J389" s="2">
        <f>VLOOKUP(H389,Base_Planos!$A:$G,4,FALSE)</f>
        <v>29.9</v>
      </c>
      <c r="K389" s="4">
        <v>46132</v>
      </c>
      <c r="L389" t="s">
        <v>43</v>
      </c>
      <c r="M389" t="s">
        <v>44</v>
      </c>
      <c r="N389" s="4"/>
      <c r="O389" s="10">
        <f t="shared" ca="1" si="40"/>
        <v>37</v>
      </c>
      <c r="P389" s="10" t="str">
        <f t="shared" ca="1" si="37"/>
        <v>31 a 90 dias</v>
      </c>
      <c r="Q389">
        <f t="shared" si="36"/>
        <v>0</v>
      </c>
      <c r="R389">
        <v>10</v>
      </c>
      <c r="S389" s="11">
        <f t="shared" si="41"/>
        <v>0</v>
      </c>
      <c r="T389" s="11" t="str">
        <f t="shared" si="38"/>
        <v>Promotor</v>
      </c>
      <c r="U389" s="11" t="str">
        <f t="shared" si="39"/>
        <v>Baixo risco</v>
      </c>
      <c r="V389">
        <v>0</v>
      </c>
      <c r="W389">
        <v>61</v>
      </c>
      <c r="X389" s="2">
        <v>26.88</v>
      </c>
      <c r="Y389">
        <v>1</v>
      </c>
      <c r="Z389" t="s">
        <v>50</v>
      </c>
    </row>
    <row r="390" spans="1:26">
      <c r="A390" t="s">
        <v>800</v>
      </c>
      <c r="B390" t="s">
        <v>485</v>
      </c>
      <c r="C390" t="s">
        <v>90</v>
      </c>
      <c r="D390" t="s">
        <v>29</v>
      </c>
      <c r="E390">
        <v>58</v>
      </c>
      <c r="F390" t="s">
        <v>54</v>
      </c>
      <c r="G390" t="s">
        <v>31</v>
      </c>
      <c r="H390" t="s">
        <v>32</v>
      </c>
      <c r="I390" t="e">
        <f ca="1">_xludf.XLOOKUP(H390,Base_Planos!$A:$A,Base_Planos!$B:$B,"Não encontrado")</f>
        <v>#NAME?</v>
      </c>
      <c r="J390" s="2">
        <f>VLOOKUP(H390,Base_Planos!$A:$G,4,FALSE)</f>
        <v>39.9</v>
      </c>
      <c r="K390" s="4">
        <v>45230</v>
      </c>
      <c r="L390" t="s">
        <v>215</v>
      </c>
      <c r="M390" t="s">
        <v>44</v>
      </c>
      <c r="N390" s="4"/>
      <c r="O390" s="10">
        <f t="shared" ca="1" si="40"/>
        <v>939</v>
      </c>
      <c r="P390" s="10" t="str">
        <f t="shared" ca="1" si="37"/>
        <v>Mais de 1 ano</v>
      </c>
      <c r="Q390">
        <f t="shared" si="36"/>
        <v>0</v>
      </c>
      <c r="R390">
        <v>0</v>
      </c>
      <c r="S390" s="11">
        <f t="shared" si="41"/>
        <v>0</v>
      </c>
      <c r="T390" s="11" t="str">
        <f t="shared" si="38"/>
        <v>Detrator</v>
      </c>
      <c r="U390" s="11" t="str">
        <f t="shared" si="39"/>
        <v>Alto risco</v>
      </c>
      <c r="V390">
        <v>2</v>
      </c>
      <c r="W390">
        <v>50</v>
      </c>
      <c r="X390" s="2">
        <v>40.6</v>
      </c>
      <c r="Y390">
        <v>31</v>
      </c>
      <c r="Z390" t="s">
        <v>35</v>
      </c>
    </row>
    <row r="391" spans="1:26">
      <c r="A391" t="s">
        <v>801</v>
      </c>
      <c r="B391" t="s">
        <v>288</v>
      </c>
      <c r="C391" t="s">
        <v>102</v>
      </c>
      <c r="D391" t="s">
        <v>103</v>
      </c>
      <c r="E391">
        <v>21</v>
      </c>
      <c r="F391" t="s">
        <v>30</v>
      </c>
      <c r="G391" t="s">
        <v>96</v>
      </c>
      <c r="H391" t="s">
        <v>32</v>
      </c>
      <c r="I391" t="e">
        <f ca="1">_xludf.XLOOKUP(H391,Base_Planos!$A:$A,Base_Planos!$B:$B,"Não encontrado")</f>
        <v>#NAME?</v>
      </c>
      <c r="J391" s="2">
        <f>VLOOKUP(H391,Base_Planos!$A:$G,4,FALSE)</f>
        <v>39.9</v>
      </c>
      <c r="K391" s="4">
        <v>45509</v>
      </c>
      <c r="L391" t="s">
        <v>156</v>
      </c>
      <c r="M391" t="s">
        <v>44</v>
      </c>
      <c r="N391" s="4"/>
      <c r="O391" s="10">
        <f t="shared" ca="1" si="40"/>
        <v>660</v>
      </c>
      <c r="P391" s="10" t="str">
        <f t="shared" ca="1" si="37"/>
        <v>Mais de 1 ano</v>
      </c>
      <c r="Q391">
        <f t="shared" si="36"/>
        <v>0</v>
      </c>
      <c r="R391">
        <v>9</v>
      </c>
      <c r="S391" s="11">
        <f t="shared" si="41"/>
        <v>0</v>
      </c>
      <c r="T391" s="11" t="str">
        <f t="shared" si="38"/>
        <v>Promotor</v>
      </c>
      <c r="U391" s="11" t="str">
        <f t="shared" si="39"/>
        <v>Baixo risco</v>
      </c>
      <c r="V391">
        <v>0</v>
      </c>
      <c r="W391">
        <v>20</v>
      </c>
      <c r="X391" s="2">
        <v>41.63</v>
      </c>
      <c r="Y391">
        <v>22</v>
      </c>
      <c r="Z391" t="s">
        <v>50</v>
      </c>
    </row>
    <row r="392" spans="1:26">
      <c r="A392" t="s">
        <v>802</v>
      </c>
      <c r="B392" t="s">
        <v>622</v>
      </c>
      <c r="C392" t="s">
        <v>108</v>
      </c>
      <c r="D392" t="s">
        <v>109</v>
      </c>
      <c r="E392">
        <v>20</v>
      </c>
      <c r="F392" t="s">
        <v>30</v>
      </c>
      <c r="G392" t="s">
        <v>73</v>
      </c>
      <c r="H392" t="s">
        <v>42</v>
      </c>
      <c r="I392" t="e">
        <f ca="1">_xludf.XLOOKUP(H392,Base_Planos!$A:$A,Base_Planos!$B:$B,"Não encontrado")</f>
        <v>#NAME?</v>
      </c>
      <c r="J392" s="2">
        <f>VLOOKUP(H392,Base_Planos!$A:$G,4,FALSE)</f>
        <v>29.9</v>
      </c>
      <c r="K392" s="4">
        <v>45703</v>
      </c>
      <c r="L392" t="s">
        <v>289</v>
      </c>
      <c r="M392" t="s">
        <v>34</v>
      </c>
      <c r="N392" s="4">
        <v>45795</v>
      </c>
      <c r="O392" s="10">
        <f t="shared" ca="1" si="40"/>
        <v>92</v>
      </c>
      <c r="P392" s="10" t="str">
        <f t="shared" ca="1" si="37"/>
        <v>91 a 180 dias</v>
      </c>
      <c r="Q392">
        <f t="shared" si="36"/>
        <v>1</v>
      </c>
      <c r="R392">
        <v>1</v>
      </c>
      <c r="S392" s="11">
        <f t="shared" si="41"/>
        <v>29.9</v>
      </c>
      <c r="T392" s="11" t="str">
        <f t="shared" si="38"/>
        <v>Detrator</v>
      </c>
      <c r="U392" s="11" t="str">
        <f t="shared" si="39"/>
        <v>Alto risco</v>
      </c>
      <c r="V392">
        <v>0</v>
      </c>
      <c r="W392">
        <v>3</v>
      </c>
      <c r="X392" s="2">
        <v>27.06</v>
      </c>
      <c r="Y392">
        <v>3</v>
      </c>
      <c r="Z392" t="s">
        <v>45</v>
      </c>
    </row>
    <row r="393" spans="1:26">
      <c r="A393" t="s">
        <v>803</v>
      </c>
      <c r="B393" t="s">
        <v>350</v>
      </c>
      <c r="C393" t="s">
        <v>38</v>
      </c>
      <c r="D393" t="s">
        <v>39</v>
      </c>
      <c r="E393">
        <v>31</v>
      </c>
      <c r="F393" t="s">
        <v>40</v>
      </c>
      <c r="G393" t="s">
        <v>67</v>
      </c>
      <c r="H393" t="s">
        <v>32</v>
      </c>
      <c r="I393" t="e">
        <f ca="1">_xludf.XLOOKUP(H393,Base_Planos!$A:$A,Base_Planos!$B:$B,"Não encontrado")</f>
        <v>#NAME?</v>
      </c>
      <c r="J393" s="2">
        <f>VLOOKUP(H393,Base_Planos!$A:$G,4,FALSE)</f>
        <v>39.9</v>
      </c>
      <c r="K393" s="4">
        <v>46010</v>
      </c>
      <c r="L393" t="s">
        <v>170</v>
      </c>
      <c r="M393" t="s">
        <v>44</v>
      </c>
      <c r="N393" s="4"/>
      <c r="O393" s="10">
        <f t="shared" ca="1" si="40"/>
        <v>159</v>
      </c>
      <c r="P393" s="10" t="str">
        <f t="shared" ca="1" si="37"/>
        <v>91 a 180 dias</v>
      </c>
      <c r="Q393">
        <f t="shared" si="36"/>
        <v>0</v>
      </c>
      <c r="R393">
        <v>1</v>
      </c>
      <c r="S393" s="11">
        <f t="shared" si="41"/>
        <v>0</v>
      </c>
      <c r="T393" s="11" t="str">
        <f t="shared" si="38"/>
        <v>Detrator</v>
      </c>
      <c r="U393" s="11" t="str">
        <f t="shared" si="39"/>
        <v>Alto risco</v>
      </c>
      <c r="V393">
        <v>3</v>
      </c>
      <c r="W393">
        <v>61</v>
      </c>
      <c r="X393" s="2">
        <v>36.21</v>
      </c>
      <c r="Y393">
        <v>5</v>
      </c>
      <c r="Z393" t="s">
        <v>35</v>
      </c>
    </row>
    <row r="394" spans="1:26">
      <c r="A394" t="s">
        <v>804</v>
      </c>
      <c r="B394" t="s">
        <v>805</v>
      </c>
      <c r="C394" t="s">
        <v>140</v>
      </c>
      <c r="D394" t="s">
        <v>141</v>
      </c>
      <c r="E394">
        <v>51</v>
      </c>
      <c r="F394" t="s">
        <v>54</v>
      </c>
      <c r="G394" t="s">
        <v>165</v>
      </c>
      <c r="H394" t="s">
        <v>86</v>
      </c>
      <c r="I394" t="e">
        <f ca="1">_xludf.XLOOKUP(H394,Base_Planos!$A:$A,Base_Planos!$B:$B,"Não encontrado")</f>
        <v>#NAME?</v>
      </c>
      <c r="J394" s="2">
        <f>VLOOKUP(H394,Base_Planos!$A:$G,4,FALSE)</f>
        <v>119.9</v>
      </c>
      <c r="K394" s="4">
        <v>46079</v>
      </c>
      <c r="L394" t="s">
        <v>74</v>
      </c>
      <c r="M394" t="s">
        <v>44</v>
      </c>
      <c r="N394" s="4"/>
      <c r="O394" s="10">
        <f t="shared" ca="1" si="40"/>
        <v>90</v>
      </c>
      <c r="P394" s="10" t="str">
        <f t="shared" ca="1" si="37"/>
        <v>31 a 90 dias</v>
      </c>
      <c r="Q394">
        <f t="shared" si="36"/>
        <v>0</v>
      </c>
      <c r="R394">
        <v>7</v>
      </c>
      <c r="S394" s="11">
        <f t="shared" si="41"/>
        <v>0</v>
      </c>
      <c r="T394" s="11" t="str">
        <f t="shared" si="38"/>
        <v>Neutro</v>
      </c>
      <c r="U394" s="11" t="str">
        <f t="shared" si="39"/>
        <v>Médio risco</v>
      </c>
      <c r="V394">
        <v>0</v>
      </c>
      <c r="W394">
        <v>52</v>
      </c>
      <c r="X394" s="2">
        <v>116.53</v>
      </c>
      <c r="Y394">
        <v>3</v>
      </c>
      <c r="Z394" t="s">
        <v>50</v>
      </c>
    </row>
    <row r="395" spans="1:26">
      <c r="A395" t="s">
        <v>806</v>
      </c>
      <c r="B395" t="s">
        <v>807</v>
      </c>
      <c r="C395" t="s">
        <v>59</v>
      </c>
      <c r="D395" t="s">
        <v>60</v>
      </c>
      <c r="E395">
        <v>18</v>
      </c>
      <c r="F395" t="s">
        <v>30</v>
      </c>
      <c r="G395" t="s">
        <v>104</v>
      </c>
      <c r="H395" t="s">
        <v>61</v>
      </c>
      <c r="I395" t="e">
        <f ca="1">_xludf.XLOOKUP(H395,Base_Planos!$A:$A,Base_Planos!$B:$B,"Não encontrado")</f>
        <v>#NAME?</v>
      </c>
      <c r="J395" s="2">
        <f>VLOOKUP(H395,Base_Planos!$A:$G,4,FALSE)</f>
        <v>59.9</v>
      </c>
      <c r="K395" s="4">
        <v>45168</v>
      </c>
      <c r="L395" t="s">
        <v>162</v>
      </c>
      <c r="M395" t="s">
        <v>34</v>
      </c>
      <c r="N395" s="4">
        <v>45771</v>
      </c>
      <c r="O395" s="10">
        <f t="shared" ca="1" si="40"/>
        <v>603</v>
      </c>
      <c r="P395" s="10" t="str">
        <f t="shared" ca="1" si="37"/>
        <v>Mais de 1 ano</v>
      </c>
      <c r="Q395">
        <f t="shared" si="36"/>
        <v>1</v>
      </c>
      <c r="R395">
        <v>3</v>
      </c>
      <c r="S395" s="11">
        <f t="shared" si="41"/>
        <v>59.9</v>
      </c>
      <c r="T395" s="11" t="str">
        <f t="shared" si="38"/>
        <v>Detrator</v>
      </c>
      <c r="U395" s="11" t="str">
        <f t="shared" si="39"/>
        <v>Alto risco</v>
      </c>
      <c r="V395">
        <v>0</v>
      </c>
      <c r="W395">
        <v>0</v>
      </c>
      <c r="X395" s="2">
        <v>53.46</v>
      </c>
      <c r="Y395">
        <v>20</v>
      </c>
      <c r="Z395" t="s">
        <v>45</v>
      </c>
    </row>
    <row r="396" spans="1:26">
      <c r="A396" t="s">
        <v>808</v>
      </c>
      <c r="B396" t="s">
        <v>809</v>
      </c>
      <c r="C396" t="s">
        <v>137</v>
      </c>
      <c r="D396" t="s">
        <v>29</v>
      </c>
      <c r="E396">
        <v>36</v>
      </c>
      <c r="F396" t="s">
        <v>30</v>
      </c>
      <c r="G396" t="s">
        <v>55</v>
      </c>
      <c r="H396" t="s">
        <v>42</v>
      </c>
      <c r="I396" t="e">
        <f ca="1">_xludf.XLOOKUP(H396,Base_Planos!$A:$A,Base_Planos!$B:$B,"Não encontrado")</f>
        <v>#NAME?</v>
      </c>
      <c r="J396" s="2">
        <f>VLOOKUP(H396,Base_Planos!$A:$G,4,FALSE)</f>
        <v>29.9</v>
      </c>
      <c r="K396" s="4">
        <v>45964</v>
      </c>
      <c r="L396" t="s">
        <v>87</v>
      </c>
      <c r="M396" t="s">
        <v>44</v>
      </c>
      <c r="N396" s="4"/>
      <c r="O396" s="10">
        <f t="shared" ca="1" si="40"/>
        <v>205</v>
      </c>
      <c r="P396" s="10" t="str">
        <f t="shared" ca="1" si="37"/>
        <v>181 a 365 dias</v>
      </c>
      <c r="Q396">
        <f t="shared" si="36"/>
        <v>0</v>
      </c>
      <c r="R396">
        <v>8</v>
      </c>
      <c r="S396" s="11">
        <f t="shared" si="41"/>
        <v>0</v>
      </c>
      <c r="T396" s="11" t="str">
        <f t="shared" si="38"/>
        <v>Neutro</v>
      </c>
      <c r="U396" s="11" t="str">
        <f t="shared" si="39"/>
        <v>Médio risco</v>
      </c>
      <c r="V396">
        <v>1</v>
      </c>
      <c r="W396">
        <v>59</v>
      </c>
      <c r="X396" s="2">
        <v>29.75</v>
      </c>
      <c r="Y396">
        <v>6</v>
      </c>
      <c r="Z396" t="s">
        <v>50</v>
      </c>
    </row>
    <row r="397" spans="1:26">
      <c r="A397" t="s">
        <v>810</v>
      </c>
      <c r="B397" t="s">
        <v>37</v>
      </c>
      <c r="C397" t="s">
        <v>53</v>
      </c>
      <c r="D397" t="s">
        <v>29</v>
      </c>
      <c r="E397">
        <v>29</v>
      </c>
      <c r="F397" t="s">
        <v>30</v>
      </c>
      <c r="G397" t="s">
        <v>165</v>
      </c>
      <c r="H397" t="s">
        <v>86</v>
      </c>
      <c r="I397" t="e">
        <f ca="1">_xludf.XLOOKUP(H397,Base_Planos!$A:$A,Base_Planos!$B:$B,"Não encontrado")</f>
        <v>#NAME?</v>
      </c>
      <c r="J397" s="2">
        <f>VLOOKUP(H397,Base_Planos!$A:$G,4,FALSE)</f>
        <v>119.9</v>
      </c>
      <c r="K397" s="4">
        <v>45908</v>
      </c>
      <c r="L397" t="s">
        <v>189</v>
      </c>
      <c r="M397" t="s">
        <v>44</v>
      </c>
      <c r="N397" s="4"/>
      <c r="O397" s="10">
        <f t="shared" ca="1" si="40"/>
        <v>261</v>
      </c>
      <c r="P397" s="10" t="str">
        <f t="shared" ca="1" si="37"/>
        <v>181 a 365 dias</v>
      </c>
      <c r="Q397">
        <f t="shared" si="36"/>
        <v>0</v>
      </c>
      <c r="R397">
        <v>7</v>
      </c>
      <c r="S397" s="11">
        <f t="shared" si="41"/>
        <v>0</v>
      </c>
      <c r="T397" s="11" t="str">
        <f t="shared" si="38"/>
        <v>Neutro</v>
      </c>
      <c r="U397" s="11" t="str">
        <f t="shared" si="39"/>
        <v>Médio risco</v>
      </c>
      <c r="V397">
        <v>0</v>
      </c>
      <c r="W397">
        <v>18</v>
      </c>
      <c r="X397" s="2">
        <v>123.31</v>
      </c>
      <c r="Y397">
        <v>8</v>
      </c>
      <c r="Z397" t="s">
        <v>35</v>
      </c>
    </row>
    <row r="398" spans="1:26">
      <c r="A398" t="s">
        <v>811</v>
      </c>
      <c r="B398" t="s">
        <v>144</v>
      </c>
      <c r="C398" t="s">
        <v>77</v>
      </c>
      <c r="D398" t="s">
        <v>78</v>
      </c>
      <c r="E398">
        <v>44</v>
      </c>
      <c r="F398" t="s">
        <v>66</v>
      </c>
      <c r="G398" t="s">
        <v>67</v>
      </c>
      <c r="H398" t="s">
        <v>82</v>
      </c>
      <c r="I398" t="e">
        <f ca="1">_xludf.XLOOKUP(H398,Base_Planos!$A:$A,Base_Planos!$B:$B,"Não encontrado")</f>
        <v>#NAME?</v>
      </c>
      <c r="J398" s="2">
        <f>VLOOKUP(H398,Base_Planos!$A:$G,4,FALSE)</f>
        <v>149.9</v>
      </c>
      <c r="K398" s="4">
        <v>45540</v>
      </c>
      <c r="L398" t="s">
        <v>91</v>
      </c>
      <c r="M398" t="s">
        <v>44</v>
      </c>
      <c r="N398" s="4"/>
      <c r="O398" s="10">
        <f t="shared" ca="1" si="40"/>
        <v>629</v>
      </c>
      <c r="P398" s="10" t="str">
        <f t="shared" ca="1" si="37"/>
        <v>Mais de 1 ano</v>
      </c>
      <c r="Q398">
        <f t="shared" si="36"/>
        <v>0</v>
      </c>
      <c r="R398">
        <v>9</v>
      </c>
      <c r="S398" s="11">
        <f t="shared" si="41"/>
        <v>0</v>
      </c>
      <c r="T398" s="11" t="str">
        <f t="shared" si="38"/>
        <v>Promotor</v>
      </c>
      <c r="U398" s="11" t="str">
        <f t="shared" si="39"/>
        <v>Baixo risco</v>
      </c>
      <c r="V398">
        <v>0</v>
      </c>
      <c r="W398">
        <v>32</v>
      </c>
      <c r="X398" s="2">
        <v>147.97</v>
      </c>
      <c r="Y398">
        <v>20</v>
      </c>
      <c r="Z398" t="s">
        <v>50</v>
      </c>
    </row>
    <row r="399" spans="1:26">
      <c r="A399" t="s">
        <v>812</v>
      </c>
      <c r="B399" t="s">
        <v>813</v>
      </c>
      <c r="C399" t="s">
        <v>102</v>
      </c>
      <c r="D399" t="s">
        <v>103</v>
      </c>
      <c r="E399">
        <v>27</v>
      </c>
      <c r="F399" t="s">
        <v>30</v>
      </c>
      <c r="G399" t="s">
        <v>67</v>
      </c>
      <c r="H399" t="s">
        <v>42</v>
      </c>
      <c r="I399" t="e">
        <f ca="1">_xludf.XLOOKUP(H399,Base_Planos!$A:$A,Base_Planos!$B:$B,"Não encontrado")</f>
        <v>#NAME?</v>
      </c>
      <c r="J399" s="2">
        <f>VLOOKUP(H399,Base_Planos!$A:$G,4,FALSE)</f>
        <v>29.9</v>
      </c>
      <c r="K399" s="4">
        <v>45695</v>
      </c>
      <c r="L399" t="s">
        <v>289</v>
      </c>
      <c r="M399" t="s">
        <v>44</v>
      </c>
      <c r="N399" s="4"/>
      <c r="O399" s="10">
        <f t="shared" ca="1" si="40"/>
        <v>474</v>
      </c>
      <c r="P399" s="10" t="str">
        <f t="shared" ca="1" si="37"/>
        <v>Mais de 1 ano</v>
      </c>
      <c r="Q399">
        <f t="shared" si="36"/>
        <v>0</v>
      </c>
      <c r="R399">
        <v>10</v>
      </c>
      <c r="S399" s="11">
        <f t="shared" si="41"/>
        <v>0</v>
      </c>
      <c r="T399" s="11" t="str">
        <f t="shared" si="38"/>
        <v>Promotor</v>
      </c>
      <c r="U399" s="11" t="str">
        <f t="shared" si="39"/>
        <v>Baixo risco</v>
      </c>
      <c r="V399">
        <v>1</v>
      </c>
      <c r="W399">
        <v>53</v>
      </c>
      <c r="X399" s="2">
        <v>26.11</v>
      </c>
      <c r="Y399">
        <v>15</v>
      </c>
      <c r="Z399" t="s">
        <v>50</v>
      </c>
    </row>
    <row r="400" spans="1:26">
      <c r="A400" t="s">
        <v>814</v>
      </c>
      <c r="B400" t="s">
        <v>629</v>
      </c>
      <c r="C400" t="s">
        <v>137</v>
      </c>
      <c r="D400" t="s">
        <v>29</v>
      </c>
      <c r="E400">
        <v>38</v>
      </c>
      <c r="F400" t="s">
        <v>40</v>
      </c>
      <c r="G400" t="s">
        <v>73</v>
      </c>
      <c r="H400" t="s">
        <v>112</v>
      </c>
      <c r="I400" t="e">
        <f ca="1">_xludf.XLOOKUP(H400,Base_Planos!$A:$A,Base_Planos!$B:$B,"Não encontrado")</f>
        <v>#NAME?</v>
      </c>
      <c r="J400" s="2">
        <f>VLOOKUP(H400,Base_Planos!$A:$G,4,FALSE)</f>
        <v>79.900000000000006</v>
      </c>
      <c r="K400" s="4">
        <v>45944</v>
      </c>
      <c r="L400" t="s">
        <v>196</v>
      </c>
      <c r="M400" t="s">
        <v>44</v>
      </c>
      <c r="N400" s="4"/>
      <c r="O400" s="10">
        <f t="shared" ca="1" si="40"/>
        <v>225</v>
      </c>
      <c r="P400" s="10" t="str">
        <f t="shared" ca="1" si="37"/>
        <v>181 a 365 dias</v>
      </c>
      <c r="Q400">
        <f t="shared" si="36"/>
        <v>0</v>
      </c>
      <c r="R400">
        <v>3</v>
      </c>
      <c r="S400" s="11">
        <f t="shared" si="41"/>
        <v>0</v>
      </c>
      <c r="T400" s="11" t="str">
        <f t="shared" si="38"/>
        <v>Detrator</v>
      </c>
      <c r="U400" s="11" t="str">
        <f t="shared" si="39"/>
        <v>Alto risco</v>
      </c>
      <c r="V400">
        <v>0</v>
      </c>
      <c r="W400">
        <v>95</v>
      </c>
      <c r="X400" s="2">
        <v>70.709999999999994</v>
      </c>
      <c r="Y400">
        <v>7</v>
      </c>
      <c r="Z400" t="s">
        <v>35</v>
      </c>
    </row>
    <row r="401" spans="1:26">
      <c r="A401" t="s">
        <v>815</v>
      </c>
      <c r="B401" t="s">
        <v>134</v>
      </c>
      <c r="C401" t="s">
        <v>48</v>
      </c>
      <c r="D401" t="s">
        <v>29</v>
      </c>
      <c r="E401">
        <v>30</v>
      </c>
      <c r="F401" t="s">
        <v>66</v>
      </c>
      <c r="G401" t="s">
        <v>104</v>
      </c>
      <c r="H401" t="s">
        <v>112</v>
      </c>
      <c r="I401" t="e">
        <f ca="1">_xludf.XLOOKUP(H401,Base_Planos!$A:$A,Base_Planos!$B:$B,"Não encontrado")</f>
        <v>#NAME?</v>
      </c>
      <c r="J401" s="2">
        <f>VLOOKUP(H401,Base_Planos!$A:$G,4,FALSE)</f>
        <v>79.900000000000006</v>
      </c>
      <c r="K401" s="4">
        <v>45915</v>
      </c>
      <c r="L401" t="s">
        <v>189</v>
      </c>
      <c r="M401" t="s">
        <v>44</v>
      </c>
      <c r="N401" s="4"/>
      <c r="O401" s="10">
        <f t="shared" ca="1" si="40"/>
        <v>254</v>
      </c>
      <c r="P401" s="10" t="str">
        <f t="shared" ca="1" si="37"/>
        <v>181 a 365 dias</v>
      </c>
      <c r="Q401">
        <f t="shared" si="36"/>
        <v>0</v>
      </c>
      <c r="R401">
        <v>8</v>
      </c>
      <c r="S401" s="11">
        <f t="shared" si="41"/>
        <v>0</v>
      </c>
      <c r="T401" s="11" t="str">
        <f t="shared" si="38"/>
        <v>Neutro</v>
      </c>
      <c r="U401" s="11" t="str">
        <f t="shared" si="39"/>
        <v>Médio risco</v>
      </c>
      <c r="V401">
        <v>0</v>
      </c>
      <c r="W401">
        <v>78</v>
      </c>
      <c r="X401" s="2">
        <v>72.87</v>
      </c>
      <c r="Y401">
        <v>8</v>
      </c>
      <c r="Z401" t="s">
        <v>50</v>
      </c>
    </row>
    <row r="402" spans="1:26">
      <c r="A402" t="s">
        <v>816</v>
      </c>
      <c r="B402" t="s">
        <v>817</v>
      </c>
      <c r="C402" t="s">
        <v>48</v>
      </c>
      <c r="D402" t="s">
        <v>29</v>
      </c>
      <c r="E402">
        <v>24</v>
      </c>
      <c r="F402" t="s">
        <v>66</v>
      </c>
      <c r="G402" t="s">
        <v>96</v>
      </c>
      <c r="H402" t="s">
        <v>42</v>
      </c>
      <c r="I402" t="e">
        <f ca="1">_xludf.XLOOKUP(H402,Base_Planos!$A:$A,Base_Planos!$B:$B,"Não encontrado")</f>
        <v>#NAME?</v>
      </c>
      <c r="J402" s="2">
        <f>VLOOKUP(H402,Base_Planos!$A:$G,4,FALSE)</f>
        <v>29.9</v>
      </c>
      <c r="K402" s="4">
        <v>45001</v>
      </c>
      <c r="L402" t="s">
        <v>68</v>
      </c>
      <c r="M402" t="s">
        <v>44</v>
      </c>
      <c r="N402" s="4"/>
      <c r="O402" s="10">
        <f t="shared" ca="1" si="40"/>
        <v>1168</v>
      </c>
      <c r="P402" s="10" t="str">
        <f t="shared" ca="1" si="37"/>
        <v>Mais de 1 ano</v>
      </c>
      <c r="Q402">
        <f t="shared" si="36"/>
        <v>0</v>
      </c>
      <c r="R402">
        <v>7</v>
      </c>
      <c r="S402" s="11">
        <f t="shared" si="41"/>
        <v>0</v>
      </c>
      <c r="T402" s="11" t="str">
        <f t="shared" si="38"/>
        <v>Neutro</v>
      </c>
      <c r="U402" s="11" t="str">
        <f t="shared" si="39"/>
        <v>Médio risco</v>
      </c>
      <c r="V402">
        <v>0</v>
      </c>
      <c r="W402">
        <v>93</v>
      </c>
      <c r="X402" s="2">
        <v>25.68</v>
      </c>
      <c r="Y402">
        <v>38</v>
      </c>
      <c r="Z402" t="s">
        <v>50</v>
      </c>
    </row>
    <row r="403" spans="1:26">
      <c r="A403" t="s">
        <v>818</v>
      </c>
      <c r="B403" t="s">
        <v>819</v>
      </c>
      <c r="C403" t="s">
        <v>53</v>
      </c>
      <c r="D403" t="s">
        <v>29</v>
      </c>
      <c r="E403">
        <v>23</v>
      </c>
      <c r="F403" t="s">
        <v>30</v>
      </c>
      <c r="G403" t="s">
        <v>67</v>
      </c>
      <c r="H403" t="s">
        <v>32</v>
      </c>
      <c r="I403" t="e">
        <f ca="1">_xludf.XLOOKUP(H403,Base_Planos!$A:$A,Base_Planos!$B:$B,"Não encontrado")</f>
        <v>#NAME?</v>
      </c>
      <c r="J403" s="2">
        <f>VLOOKUP(H403,Base_Planos!$A:$G,4,FALSE)</f>
        <v>39.9</v>
      </c>
      <c r="K403" s="4">
        <v>45566</v>
      </c>
      <c r="L403" t="s">
        <v>123</v>
      </c>
      <c r="M403" t="s">
        <v>34</v>
      </c>
      <c r="N403" s="4">
        <v>45793</v>
      </c>
      <c r="O403" s="10">
        <f t="shared" ca="1" si="40"/>
        <v>227</v>
      </c>
      <c r="P403" s="10" t="str">
        <f t="shared" ca="1" si="37"/>
        <v>181 a 365 dias</v>
      </c>
      <c r="Q403">
        <f t="shared" si="36"/>
        <v>1</v>
      </c>
      <c r="R403">
        <v>0</v>
      </c>
      <c r="S403" s="11">
        <f t="shared" si="41"/>
        <v>39.9</v>
      </c>
      <c r="T403" s="11" t="str">
        <f t="shared" si="38"/>
        <v>Detrator</v>
      </c>
      <c r="U403" s="11" t="str">
        <f t="shared" si="39"/>
        <v>Alto risco</v>
      </c>
      <c r="V403">
        <v>2</v>
      </c>
      <c r="W403">
        <v>45</v>
      </c>
      <c r="X403" s="2">
        <v>38.159999999999997</v>
      </c>
      <c r="Y403">
        <v>7</v>
      </c>
      <c r="Z403" t="s">
        <v>35</v>
      </c>
    </row>
    <row r="404" spans="1:26">
      <c r="A404" t="s">
        <v>820</v>
      </c>
      <c r="B404" t="s">
        <v>333</v>
      </c>
      <c r="C404" t="s">
        <v>65</v>
      </c>
      <c r="D404" t="s">
        <v>29</v>
      </c>
      <c r="E404">
        <v>25</v>
      </c>
      <c r="F404" t="s">
        <v>30</v>
      </c>
      <c r="G404" t="s">
        <v>96</v>
      </c>
      <c r="H404" t="s">
        <v>42</v>
      </c>
      <c r="I404" t="e">
        <f ca="1">_xludf.XLOOKUP(H404,Base_Planos!$A:$A,Base_Planos!$B:$B,"Não encontrado")</f>
        <v>#NAME?</v>
      </c>
      <c r="J404" s="2">
        <f>VLOOKUP(H404,Base_Planos!$A:$G,4,FALSE)</f>
        <v>29.9</v>
      </c>
      <c r="K404" s="4">
        <v>44958</v>
      </c>
      <c r="L404" t="s">
        <v>425</v>
      </c>
      <c r="M404" t="s">
        <v>44</v>
      </c>
      <c r="N404" s="4"/>
      <c r="O404" s="10">
        <f t="shared" ca="1" si="40"/>
        <v>1211</v>
      </c>
      <c r="P404" s="10" t="str">
        <f t="shared" ca="1" si="37"/>
        <v>Mais de 1 ano</v>
      </c>
      <c r="Q404">
        <f t="shared" si="36"/>
        <v>0</v>
      </c>
      <c r="R404">
        <v>9</v>
      </c>
      <c r="S404" s="11">
        <f t="shared" si="41"/>
        <v>0</v>
      </c>
      <c r="T404" s="11" t="str">
        <f t="shared" si="38"/>
        <v>Promotor</v>
      </c>
      <c r="U404" s="11" t="str">
        <f t="shared" si="39"/>
        <v>Baixo risco</v>
      </c>
      <c r="V404">
        <v>0</v>
      </c>
      <c r="W404">
        <v>52</v>
      </c>
      <c r="X404" s="2">
        <v>27.04</v>
      </c>
      <c r="Y404">
        <v>40</v>
      </c>
      <c r="Z404" t="s">
        <v>50</v>
      </c>
    </row>
    <row r="405" spans="1:26">
      <c r="A405" t="s">
        <v>821</v>
      </c>
      <c r="B405" t="s">
        <v>807</v>
      </c>
      <c r="C405" t="s">
        <v>90</v>
      </c>
      <c r="D405" t="s">
        <v>29</v>
      </c>
      <c r="E405">
        <v>33</v>
      </c>
      <c r="F405" t="s">
        <v>30</v>
      </c>
      <c r="G405" t="s">
        <v>73</v>
      </c>
      <c r="H405" t="s">
        <v>61</v>
      </c>
      <c r="I405" t="e">
        <f ca="1">_xludf.XLOOKUP(H405,Base_Planos!$A:$A,Base_Planos!$B:$B,"Não encontrado")</f>
        <v>#NAME?</v>
      </c>
      <c r="J405" s="2">
        <f>VLOOKUP(H405,Base_Planos!$A:$G,4,FALSE)</f>
        <v>59.9</v>
      </c>
      <c r="K405" s="4">
        <v>45620</v>
      </c>
      <c r="L405" t="s">
        <v>83</v>
      </c>
      <c r="M405" t="s">
        <v>44</v>
      </c>
      <c r="N405" s="4"/>
      <c r="O405" s="10">
        <f t="shared" ca="1" si="40"/>
        <v>549</v>
      </c>
      <c r="P405" s="10" t="str">
        <f t="shared" ca="1" si="37"/>
        <v>Mais de 1 ano</v>
      </c>
      <c r="Q405">
        <f t="shared" si="36"/>
        <v>0</v>
      </c>
      <c r="R405">
        <v>8</v>
      </c>
      <c r="S405" s="11">
        <f t="shared" si="41"/>
        <v>0</v>
      </c>
      <c r="T405" s="11" t="str">
        <f t="shared" si="38"/>
        <v>Neutro</v>
      </c>
      <c r="U405" s="11" t="str">
        <f t="shared" si="39"/>
        <v>Médio risco</v>
      </c>
      <c r="V405">
        <v>0</v>
      </c>
      <c r="W405">
        <v>62</v>
      </c>
      <c r="X405" s="2">
        <v>52.18</v>
      </c>
      <c r="Y405">
        <v>18</v>
      </c>
      <c r="Z405" t="s">
        <v>50</v>
      </c>
    </row>
    <row r="406" spans="1:26">
      <c r="A406" t="s">
        <v>822</v>
      </c>
      <c r="B406" t="s">
        <v>823</v>
      </c>
      <c r="C406" t="s">
        <v>71</v>
      </c>
      <c r="D406" t="s">
        <v>72</v>
      </c>
      <c r="E406">
        <v>43</v>
      </c>
      <c r="F406" t="s">
        <v>30</v>
      </c>
      <c r="G406" t="s">
        <v>104</v>
      </c>
      <c r="H406" t="s">
        <v>61</v>
      </c>
      <c r="I406" t="e">
        <f ca="1">_xludf.XLOOKUP(H406,Base_Planos!$A:$A,Base_Planos!$B:$B,"Não encontrado")</f>
        <v>#NAME?</v>
      </c>
      <c r="J406" s="2">
        <f>VLOOKUP(H406,Base_Planos!$A:$G,4,FALSE)</f>
        <v>59.9</v>
      </c>
      <c r="K406" s="4">
        <v>45566</v>
      </c>
      <c r="L406" t="s">
        <v>123</v>
      </c>
      <c r="M406" t="s">
        <v>44</v>
      </c>
      <c r="N406" s="4"/>
      <c r="O406" s="10">
        <f t="shared" ca="1" si="40"/>
        <v>603</v>
      </c>
      <c r="P406" s="10" t="str">
        <f t="shared" ca="1" si="37"/>
        <v>Mais de 1 ano</v>
      </c>
      <c r="Q406">
        <f t="shared" si="36"/>
        <v>0</v>
      </c>
      <c r="R406">
        <v>5</v>
      </c>
      <c r="S406" s="11">
        <f t="shared" si="41"/>
        <v>0</v>
      </c>
      <c r="T406" s="11" t="str">
        <f t="shared" si="38"/>
        <v>Detrator</v>
      </c>
      <c r="U406" s="11" t="str">
        <f t="shared" si="39"/>
        <v>Alto risco</v>
      </c>
      <c r="V406">
        <v>1</v>
      </c>
      <c r="W406">
        <v>16</v>
      </c>
      <c r="X406" s="2">
        <v>62.58</v>
      </c>
      <c r="Y406">
        <v>20</v>
      </c>
      <c r="Z406" t="s">
        <v>45</v>
      </c>
    </row>
    <row r="407" spans="1:26">
      <c r="A407" t="s">
        <v>824</v>
      </c>
      <c r="B407" t="s">
        <v>333</v>
      </c>
      <c r="C407" t="s">
        <v>90</v>
      </c>
      <c r="D407" t="s">
        <v>29</v>
      </c>
      <c r="E407">
        <v>26</v>
      </c>
      <c r="F407" t="s">
        <v>30</v>
      </c>
      <c r="G407" t="s">
        <v>104</v>
      </c>
      <c r="H407" t="s">
        <v>32</v>
      </c>
      <c r="I407" t="e">
        <f ca="1">_xludf.XLOOKUP(H407,Base_Planos!$A:$A,Base_Planos!$B:$B,"Não encontrado")</f>
        <v>#NAME?</v>
      </c>
      <c r="J407" s="2">
        <f>VLOOKUP(H407,Base_Planos!$A:$G,4,FALSE)</f>
        <v>39.9</v>
      </c>
      <c r="K407" s="4">
        <v>45562</v>
      </c>
      <c r="L407" t="s">
        <v>91</v>
      </c>
      <c r="M407" t="s">
        <v>44</v>
      </c>
      <c r="N407" s="4"/>
      <c r="O407" s="10">
        <f t="shared" ca="1" si="40"/>
        <v>607</v>
      </c>
      <c r="P407" s="10" t="str">
        <f t="shared" ca="1" si="37"/>
        <v>Mais de 1 ano</v>
      </c>
      <c r="Q407">
        <f t="shared" si="36"/>
        <v>0</v>
      </c>
      <c r="R407">
        <v>10</v>
      </c>
      <c r="S407" s="11">
        <f t="shared" si="41"/>
        <v>0</v>
      </c>
      <c r="T407" s="11" t="str">
        <f t="shared" si="38"/>
        <v>Promotor</v>
      </c>
      <c r="U407" s="11" t="str">
        <f t="shared" si="39"/>
        <v>Baixo risco</v>
      </c>
      <c r="V407">
        <v>0</v>
      </c>
      <c r="W407">
        <v>19</v>
      </c>
      <c r="X407" s="2">
        <v>35.06</v>
      </c>
      <c r="Y407">
        <v>20</v>
      </c>
      <c r="Z407" t="s">
        <v>35</v>
      </c>
    </row>
    <row r="408" spans="1:26">
      <c r="A408" t="s">
        <v>825</v>
      </c>
      <c r="B408" t="s">
        <v>826</v>
      </c>
      <c r="C408" t="s">
        <v>140</v>
      </c>
      <c r="D408" t="s">
        <v>141</v>
      </c>
      <c r="E408">
        <v>41</v>
      </c>
      <c r="F408" t="s">
        <v>54</v>
      </c>
      <c r="G408" t="s">
        <v>165</v>
      </c>
      <c r="H408" t="s">
        <v>82</v>
      </c>
      <c r="I408" t="e">
        <f ca="1">_xludf.XLOOKUP(H408,Base_Planos!$A:$A,Base_Planos!$B:$B,"Não encontrado")</f>
        <v>#NAME?</v>
      </c>
      <c r="J408" s="2">
        <f>VLOOKUP(H408,Base_Planos!$A:$G,4,FALSE)</f>
        <v>149.9</v>
      </c>
      <c r="K408" s="4">
        <v>45592</v>
      </c>
      <c r="L408" t="s">
        <v>123</v>
      </c>
      <c r="M408" t="s">
        <v>44</v>
      </c>
      <c r="N408" s="4"/>
      <c r="O408" s="10">
        <f t="shared" ca="1" si="40"/>
        <v>577</v>
      </c>
      <c r="P408" s="10" t="str">
        <f t="shared" ca="1" si="37"/>
        <v>Mais de 1 ano</v>
      </c>
      <c r="Q408">
        <f t="shared" si="36"/>
        <v>0</v>
      </c>
      <c r="R408">
        <v>7</v>
      </c>
      <c r="S408" s="11">
        <f t="shared" si="41"/>
        <v>0</v>
      </c>
      <c r="T408" s="11" t="str">
        <f t="shared" si="38"/>
        <v>Neutro</v>
      </c>
      <c r="U408" s="11" t="str">
        <f t="shared" si="39"/>
        <v>Médio risco</v>
      </c>
      <c r="V408">
        <v>0</v>
      </c>
      <c r="W408">
        <v>57</v>
      </c>
      <c r="X408" s="2">
        <v>152.77000000000001</v>
      </c>
      <c r="Y408">
        <v>19</v>
      </c>
      <c r="Z408" t="s">
        <v>50</v>
      </c>
    </row>
    <row r="409" spans="1:26">
      <c r="A409" t="s">
        <v>827</v>
      </c>
      <c r="B409" t="s">
        <v>828</v>
      </c>
      <c r="C409" t="s">
        <v>90</v>
      </c>
      <c r="D409" t="s">
        <v>29</v>
      </c>
      <c r="E409">
        <v>54</v>
      </c>
      <c r="F409" t="s">
        <v>30</v>
      </c>
      <c r="G409" t="s">
        <v>55</v>
      </c>
      <c r="H409" t="s">
        <v>112</v>
      </c>
      <c r="I409" t="e">
        <f ca="1">_xludf.XLOOKUP(H409,Base_Planos!$A:$A,Base_Planos!$B:$B,"Não encontrado")</f>
        <v>#NAME?</v>
      </c>
      <c r="J409" s="2">
        <f>VLOOKUP(H409,Base_Planos!$A:$G,4,FALSE)</f>
        <v>79.900000000000006</v>
      </c>
      <c r="K409" s="4">
        <v>45146</v>
      </c>
      <c r="L409" t="s">
        <v>162</v>
      </c>
      <c r="M409" t="s">
        <v>44</v>
      </c>
      <c r="N409" s="4"/>
      <c r="O409" s="10">
        <f t="shared" ca="1" si="40"/>
        <v>1023</v>
      </c>
      <c r="P409" s="10" t="str">
        <f t="shared" ca="1" si="37"/>
        <v>Mais de 1 ano</v>
      </c>
      <c r="Q409">
        <f t="shared" si="36"/>
        <v>0</v>
      </c>
      <c r="R409">
        <v>5</v>
      </c>
      <c r="S409" s="11">
        <f t="shared" si="41"/>
        <v>0</v>
      </c>
      <c r="T409" s="11" t="str">
        <f t="shared" si="38"/>
        <v>Detrator</v>
      </c>
      <c r="U409" s="11" t="str">
        <f t="shared" si="39"/>
        <v>Alto risco</v>
      </c>
      <c r="V409">
        <v>0</v>
      </c>
      <c r="W409">
        <v>53</v>
      </c>
      <c r="X409" s="2">
        <v>77.349999999999994</v>
      </c>
      <c r="Y409">
        <v>34</v>
      </c>
      <c r="Z409" t="s">
        <v>50</v>
      </c>
    </row>
    <row r="410" spans="1:26">
      <c r="A410" t="s">
        <v>829</v>
      </c>
      <c r="B410" t="s">
        <v>830</v>
      </c>
      <c r="C410" t="s">
        <v>59</v>
      </c>
      <c r="D410" t="s">
        <v>60</v>
      </c>
      <c r="E410">
        <v>53</v>
      </c>
      <c r="F410" t="s">
        <v>30</v>
      </c>
      <c r="G410" t="s">
        <v>104</v>
      </c>
      <c r="H410" t="s">
        <v>112</v>
      </c>
      <c r="I410" t="e">
        <f ca="1">_xludf.XLOOKUP(H410,Base_Planos!$A:$A,Base_Planos!$B:$B,"Não encontrado")</f>
        <v>#NAME?</v>
      </c>
      <c r="J410" s="2">
        <f>VLOOKUP(H410,Base_Planos!$A:$G,4,FALSE)</f>
        <v>79.900000000000006</v>
      </c>
      <c r="K410" s="4">
        <v>45624</v>
      </c>
      <c r="L410" t="s">
        <v>83</v>
      </c>
      <c r="M410" t="s">
        <v>44</v>
      </c>
      <c r="N410" s="4"/>
      <c r="O410" s="10">
        <f t="shared" ca="1" si="40"/>
        <v>545</v>
      </c>
      <c r="P410" s="10" t="str">
        <f t="shared" ca="1" si="37"/>
        <v>Mais de 1 ano</v>
      </c>
      <c r="Q410">
        <f t="shared" si="36"/>
        <v>0</v>
      </c>
      <c r="R410">
        <v>3</v>
      </c>
      <c r="S410" s="11">
        <f t="shared" si="41"/>
        <v>0</v>
      </c>
      <c r="T410" s="11" t="str">
        <f t="shared" si="38"/>
        <v>Detrator</v>
      </c>
      <c r="U410" s="11" t="str">
        <f t="shared" si="39"/>
        <v>Alto risco</v>
      </c>
      <c r="V410">
        <v>1</v>
      </c>
      <c r="W410">
        <v>22</v>
      </c>
      <c r="X410" s="2">
        <v>80.5</v>
      </c>
      <c r="Y410">
        <v>18</v>
      </c>
      <c r="Z410" t="s">
        <v>45</v>
      </c>
    </row>
    <row r="411" spans="1:26">
      <c r="A411" t="s">
        <v>831</v>
      </c>
      <c r="B411" t="s">
        <v>64</v>
      </c>
      <c r="C411" t="s">
        <v>94</v>
      </c>
      <c r="D411" t="s">
        <v>95</v>
      </c>
      <c r="E411">
        <v>60</v>
      </c>
      <c r="F411" t="s">
        <v>40</v>
      </c>
      <c r="G411" t="s">
        <v>104</v>
      </c>
      <c r="H411" t="s">
        <v>32</v>
      </c>
      <c r="I411" t="e">
        <f ca="1">_xludf.XLOOKUP(H411,Base_Planos!$A:$A,Base_Planos!$B:$B,"Não encontrado")</f>
        <v>#NAME?</v>
      </c>
      <c r="J411" s="2">
        <f>VLOOKUP(H411,Base_Planos!$A:$G,4,FALSE)</f>
        <v>39.9</v>
      </c>
      <c r="K411" s="4">
        <v>45875</v>
      </c>
      <c r="L411" t="s">
        <v>159</v>
      </c>
      <c r="M411" t="s">
        <v>44</v>
      </c>
      <c r="N411" s="4"/>
      <c r="O411" s="10">
        <f t="shared" ca="1" si="40"/>
        <v>294</v>
      </c>
      <c r="P411" s="10" t="str">
        <f t="shared" ca="1" si="37"/>
        <v>181 a 365 dias</v>
      </c>
      <c r="Q411">
        <f t="shared" si="36"/>
        <v>0</v>
      </c>
      <c r="R411">
        <v>5</v>
      </c>
      <c r="S411" s="11">
        <f t="shared" si="41"/>
        <v>0</v>
      </c>
      <c r="T411" s="11" t="str">
        <f t="shared" si="38"/>
        <v>Detrator</v>
      </c>
      <c r="U411" s="11" t="str">
        <f t="shared" si="39"/>
        <v>Alto risco</v>
      </c>
      <c r="V411">
        <v>0</v>
      </c>
      <c r="W411">
        <v>39</v>
      </c>
      <c r="X411" s="2">
        <v>34.47</v>
      </c>
      <c r="Y411">
        <v>9</v>
      </c>
      <c r="Z411" t="s">
        <v>35</v>
      </c>
    </row>
    <row r="412" spans="1:26">
      <c r="A412" t="s">
        <v>832</v>
      </c>
      <c r="B412" t="s">
        <v>833</v>
      </c>
      <c r="C412" t="s">
        <v>48</v>
      </c>
      <c r="D412" t="s">
        <v>29</v>
      </c>
      <c r="E412">
        <v>42</v>
      </c>
      <c r="F412" t="s">
        <v>30</v>
      </c>
      <c r="G412" t="s">
        <v>67</v>
      </c>
      <c r="H412" t="s">
        <v>32</v>
      </c>
      <c r="I412" t="e">
        <f ca="1">_xludf.XLOOKUP(H412,Base_Planos!$A:$A,Base_Planos!$B:$B,"Não encontrado")</f>
        <v>#NAME?</v>
      </c>
      <c r="J412" s="2">
        <f>VLOOKUP(H412,Base_Planos!$A:$G,4,FALSE)</f>
        <v>39.9</v>
      </c>
      <c r="K412" s="4">
        <v>45211</v>
      </c>
      <c r="L412" t="s">
        <v>215</v>
      </c>
      <c r="M412" t="s">
        <v>34</v>
      </c>
      <c r="N412" s="4">
        <v>45393</v>
      </c>
      <c r="O412" s="10">
        <f t="shared" ca="1" si="40"/>
        <v>182</v>
      </c>
      <c r="P412" s="10" t="str">
        <f t="shared" ca="1" si="37"/>
        <v>181 a 365 dias</v>
      </c>
      <c r="Q412">
        <f t="shared" si="36"/>
        <v>1</v>
      </c>
      <c r="R412">
        <v>9</v>
      </c>
      <c r="S412" s="11">
        <f t="shared" si="41"/>
        <v>39.9</v>
      </c>
      <c r="T412" s="11" t="str">
        <f t="shared" si="38"/>
        <v>Promotor</v>
      </c>
      <c r="U412" s="11" t="str">
        <f t="shared" si="39"/>
        <v>Alto risco</v>
      </c>
      <c r="V412">
        <v>0</v>
      </c>
      <c r="W412">
        <v>34</v>
      </c>
      <c r="X412" s="2">
        <v>38.15</v>
      </c>
      <c r="Y412">
        <v>6</v>
      </c>
      <c r="Z412" t="s">
        <v>35</v>
      </c>
    </row>
    <row r="413" spans="1:26">
      <c r="A413" t="s">
        <v>834</v>
      </c>
      <c r="B413" t="s">
        <v>471</v>
      </c>
      <c r="C413" t="s">
        <v>90</v>
      </c>
      <c r="D413" t="s">
        <v>29</v>
      </c>
      <c r="E413">
        <v>46</v>
      </c>
      <c r="F413" t="s">
        <v>30</v>
      </c>
      <c r="G413" t="s">
        <v>165</v>
      </c>
      <c r="H413" t="s">
        <v>42</v>
      </c>
      <c r="I413" t="e">
        <f ca="1">_xludf.XLOOKUP(H413,Base_Planos!$A:$A,Base_Planos!$B:$B,"Não encontrado")</f>
        <v>#NAME?</v>
      </c>
      <c r="J413" s="2">
        <f>VLOOKUP(H413,Base_Planos!$A:$G,4,FALSE)</f>
        <v>29.9</v>
      </c>
      <c r="K413" s="4">
        <v>45550</v>
      </c>
      <c r="L413" t="s">
        <v>91</v>
      </c>
      <c r="M413" t="s">
        <v>44</v>
      </c>
      <c r="N413" s="4"/>
      <c r="O413" s="10">
        <f t="shared" ca="1" si="40"/>
        <v>619</v>
      </c>
      <c r="P413" s="10" t="str">
        <f t="shared" ca="1" si="37"/>
        <v>Mais de 1 ano</v>
      </c>
      <c r="Q413">
        <f t="shared" si="36"/>
        <v>0</v>
      </c>
      <c r="R413">
        <v>6</v>
      </c>
      <c r="S413" s="11">
        <f t="shared" si="41"/>
        <v>0</v>
      </c>
      <c r="T413" s="11" t="str">
        <f t="shared" si="38"/>
        <v>Detrator</v>
      </c>
      <c r="U413" s="11" t="str">
        <f t="shared" si="39"/>
        <v>Alto risco</v>
      </c>
      <c r="V413">
        <v>4</v>
      </c>
      <c r="W413">
        <v>0</v>
      </c>
      <c r="X413" s="2">
        <v>29.07</v>
      </c>
      <c r="Y413">
        <v>20</v>
      </c>
      <c r="Z413" t="s">
        <v>45</v>
      </c>
    </row>
    <row r="414" spans="1:26">
      <c r="A414" t="s">
        <v>835</v>
      </c>
      <c r="B414" t="s">
        <v>836</v>
      </c>
      <c r="C414" t="s">
        <v>53</v>
      </c>
      <c r="D414" t="s">
        <v>29</v>
      </c>
      <c r="E414">
        <v>26</v>
      </c>
      <c r="F414" t="s">
        <v>66</v>
      </c>
      <c r="G414" t="s">
        <v>67</v>
      </c>
      <c r="H414" t="s">
        <v>112</v>
      </c>
      <c r="I414" t="e">
        <f ca="1">_xludf.XLOOKUP(H414,Base_Planos!$A:$A,Base_Planos!$B:$B,"Não encontrado")</f>
        <v>#NAME?</v>
      </c>
      <c r="J414" s="2">
        <f>VLOOKUP(H414,Base_Planos!$A:$G,4,FALSE)</f>
        <v>79.900000000000006</v>
      </c>
      <c r="K414" s="4">
        <v>46051</v>
      </c>
      <c r="L414" t="s">
        <v>148</v>
      </c>
      <c r="M414" t="s">
        <v>34</v>
      </c>
      <c r="N414" s="4">
        <v>46117</v>
      </c>
      <c r="O414" s="10">
        <f t="shared" ca="1" si="40"/>
        <v>66</v>
      </c>
      <c r="P414" s="10" t="str">
        <f t="shared" ca="1" si="37"/>
        <v>31 a 90 dias</v>
      </c>
      <c r="Q414">
        <f t="shared" si="36"/>
        <v>1</v>
      </c>
      <c r="R414">
        <v>0</v>
      </c>
      <c r="S414" s="11">
        <f t="shared" si="41"/>
        <v>79.900000000000006</v>
      </c>
      <c r="T414" s="11" t="str">
        <f t="shared" si="38"/>
        <v>Detrator</v>
      </c>
      <c r="U414" s="11" t="str">
        <f t="shared" si="39"/>
        <v>Alto risco</v>
      </c>
      <c r="V414">
        <v>4</v>
      </c>
      <c r="W414">
        <v>57</v>
      </c>
      <c r="X414" s="2">
        <v>71.67</v>
      </c>
      <c r="Y414">
        <v>2</v>
      </c>
      <c r="Z414" t="s">
        <v>45</v>
      </c>
    </row>
    <row r="415" spans="1:26">
      <c r="A415" t="s">
        <v>837</v>
      </c>
      <c r="B415" t="s">
        <v>461</v>
      </c>
      <c r="C415" t="s">
        <v>71</v>
      </c>
      <c r="D415" t="s">
        <v>72</v>
      </c>
      <c r="E415">
        <v>58</v>
      </c>
      <c r="F415" t="s">
        <v>30</v>
      </c>
      <c r="G415" t="s">
        <v>41</v>
      </c>
      <c r="H415" t="s">
        <v>112</v>
      </c>
      <c r="I415" t="e">
        <f ca="1">_xludf.XLOOKUP(H415,Base_Planos!$A:$A,Base_Planos!$B:$B,"Não encontrado")</f>
        <v>#NAME?</v>
      </c>
      <c r="J415" s="2">
        <f>VLOOKUP(H415,Base_Planos!$A:$G,4,FALSE)</f>
        <v>79.900000000000006</v>
      </c>
      <c r="K415" s="4">
        <v>45818</v>
      </c>
      <c r="L415" t="s">
        <v>167</v>
      </c>
      <c r="M415" t="s">
        <v>44</v>
      </c>
      <c r="N415" s="4"/>
      <c r="O415" s="10">
        <f t="shared" ca="1" si="40"/>
        <v>351</v>
      </c>
      <c r="P415" s="10" t="str">
        <f t="shared" ca="1" si="37"/>
        <v>181 a 365 dias</v>
      </c>
      <c r="Q415">
        <f t="shared" si="36"/>
        <v>0</v>
      </c>
      <c r="R415">
        <v>8</v>
      </c>
      <c r="S415" s="11">
        <f t="shared" si="41"/>
        <v>0</v>
      </c>
      <c r="T415" s="11" t="str">
        <f t="shared" si="38"/>
        <v>Neutro</v>
      </c>
      <c r="U415" s="11" t="str">
        <f t="shared" si="39"/>
        <v>Médio risco</v>
      </c>
      <c r="V415">
        <v>0</v>
      </c>
      <c r="W415">
        <v>73</v>
      </c>
      <c r="X415" s="2">
        <v>81.39</v>
      </c>
      <c r="Y415">
        <v>11</v>
      </c>
      <c r="Z415" t="s">
        <v>50</v>
      </c>
    </row>
    <row r="416" spans="1:26">
      <c r="A416" t="s">
        <v>838</v>
      </c>
      <c r="B416" t="s">
        <v>611</v>
      </c>
      <c r="C416" t="s">
        <v>94</v>
      </c>
      <c r="D416" t="s">
        <v>95</v>
      </c>
      <c r="E416">
        <v>36</v>
      </c>
      <c r="F416" t="s">
        <v>201</v>
      </c>
      <c r="G416" t="s">
        <v>96</v>
      </c>
      <c r="H416" t="s">
        <v>32</v>
      </c>
      <c r="I416" t="e">
        <f ca="1">_xludf.XLOOKUP(H416,Base_Planos!$A:$A,Base_Planos!$B:$B,"Não encontrado")</f>
        <v>#NAME?</v>
      </c>
      <c r="J416" s="2">
        <f>VLOOKUP(H416,Base_Planos!$A:$G,4,FALSE)</f>
        <v>39.9</v>
      </c>
      <c r="K416" s="4">
        <v>45073</v>
      </c>
      <c r="L416" t="s">
        <v>115</v>
      </c>
      <c r="M416" t="s">
        <v>44</v>
      </c>
      <c r="N416" s="4"/>
      <c r="O416" s="10">
        <f t="shared" ca="1" si="40"/>
        <v>1096</v>
      </c>
      <c r="P416" s="10" t="str">
        <f t="shared" ca="1" si="37"/>
        <v>Mais de 1 ano</v>
      </c>
      <c r="Q416">
        <f t="shared" si="36"/>
        <v>0</v>
      </c>
      <c r="R416">
        <v>10</v>
      </c>
      <c r="S416" s="11">
        <f t="shared" si="41"/>
        <v>0</v>
      </c>
      <c r="T416" s="11" t="str">
        <f t="shared" si="38"/>
        <v>Promotor</v>
      </c>
      <c r="U416" s="11" t="str">
        <f t="shared" si="39"/>
        <v>Baixo risco</v>
      </c>
      <c r="V416">
        <v>0</v>
      </c>
      <c r="W416">
        <v>61</v>
      </c>
      <c r="X416" s="2">
        <v>41.82</v>
      </c>
      <c r="Y416">
        <v>36</v>
      </c>
      <c r="Z416" t="s">
        <v>50</v>
      </c>
    </row>
    <row r="417" spans="1:26">
      <c r="A417" t="s">
        <v>839</v>
      </c>
      <c r="B417" t="s">
        <v>840</v>
      </c>
      <c r="C417" t="s">
        <v>65</v>
      </c>
      <c r="D417" t="s">
        <v>29</v>
      </c>
      <c r="E417">
        <v>44</v>
      </c>
      <c r="F417" t="s">
        <v>66</v>
      </c>
      <c r="G417" t="s">
        <v>41</v>
      </c>
      <c r="H417" t="s">
        <v>61</v>
      </c>
      <c r="I417" t="e">
        <f ca="1">_xludf.XLOOKUP(H417,Base_Planos!$A:$A,Base_Planos!$B:$B,"Não encontrado")</f>
        <v>#NAME?</v>
      </c>
      <c r="J417" s="2">
        <f>VLOOKUP(H417,Base_Planos!$A:$G,4,FALSE)</f>
        <v>59.9</v>
      </c>
      <c r="K417" s="4">
        <v>45857</v>
      </c>
      <c r="L417" t="s">
        <v>212</v>
      </c>
      <c r="M417" t="s">
        <v>44</v>
      </c>
      <c r="N417" s="4"/>
      <c r="O417" s="10">
        <f t="shared" ca="1" si="40"/>
        <v>312</v>
      </c>
      <c r="P417" s="10" t="str">
        <f t="shared" ca="1" si="37"/>
        <v>181 a 365 dias</v>
      </c>
      <c r="Q417">
        <f t="shared" si="36"/>
        <v>0</v>
      </c>
      <c r="R417">
        <v>8</v>
      </c>
      <c r="S417" s="11">
        <f t="shared" si="41"/>
        <v>0</v>
      </c>
      <c r="T417" s="11" t="str">
        <f t="shared" si="38"/>
        <v>Neutro</v>
      </c>
      <c r="U417" s="11" t="str">
        <f t="shared" si="39"/>
        <v>Médio risco</v>
      </c>
      <c r="V417">
        <v>0</v>
      </c>
      <c r="W417">
        <v>80</v>
      </c>
      <c r="X417" s="2">
        <v>56</v>
      </c>
      <c r="Y417">
        <v>10</v>
      </c>
      <c r="Z417" t="s">
        <v>50</v>
      </c>
    </row>
    <row r="418" spans="1:26">
      <c r="A418" t="s">
        <v>841</v>
      </c>
      <c r="B418" t="s">
        <v>205</v>
      </c>
      <c r="C418" t="s">
        <v>77</v>
      </c>
      <c r="D418" t="s">
        <v>78</v>
      </c>
      <c r="E418">
        <v>64</v>
      </c>
      <c r="F418" t="s">
        <v>30</v>
      </c>
      <c r="G418" t="s">
        <v>73</v>
      </c>
      <c r="H418" t="s">
        <v>112</v>
      </c>
      <c r="I418" t="e">
        <f ca="1">_xludf.XLOOKUP(H418,Base_Planos!$A:$A,Base_Planos!$B:$B,"Não encontrado")</f>
        <v>#NAME?</v>
      </c>
      <c r="J418" s="2">
        <f>VLOOKUP(H418,Base_Planos!$A:$G,4,FALSE)</f>
        <v>79.900000000000006</v>
      </c>
      <c r="K418" s="4">
        <v>46045</v>
      </c>
      <c r="L418" t="s">
        <v>148</v>
      </c>
      <c r="M418" t="s">
        <v>44</v>
      </c>
      <c r="N418" s="4"/>
      <c r="O418" s="10">
        <f t="shared" ca="1" si="40"/>
        <v>124</v>
      </c>
      <c r="P418" s="10" t="str">
        <f t="shared" ca="1" si="37"/>
        <v>91 a 180 dias</v>
      </c>
      <c r="Q418">
        <f t="shared" si="36"/>
        <v>0</v>
      </c>
      <c r="R418">
        <v>9</v>
      </c>
      <c r="S418" s="11">
        <f t="shared" si="41"/>
        <v>0</v>
      </c>
      <c r="T418" s="11" t="str">
        <f t="shared" si="38"/>
        <v>Promotor</v>
      </c>
      <c r="U418" s="11" t="str">
        <f t="shared" si="39"/>
        <v>Baixo risco</v>
      </c>
      <c r="V418">
        <v>0</v>
      </c>
      <c r="W418">
        <v>100</v>
      </c>
      <c r="X418" s="2">
        <v>69.72</v>
      </c>
      <c r="Y418">
        <v>4</v>
      </c>
      <c r="Z418" t="s">
        <v>50</v>
      </c>
    </row>
    <row r="419" spans="1:26">
      <c r="A419" t="s">
        <v>842</v>
      </c>
      <c r="B419" t="s">
        <v>843</v>
      </c>
      <c r="C419" t="s">
        <v>94</v>
      </c>
      <c r="D419" t="s">
        <v>95</v>
      </c>
      <c r="E419">
        <v>64</v>
      </c>
      <c r="F419" t="s">
        <v>40</v>
      </c>
      <c r="G419" t="s">
        <v>73</v>
      </c>
      <c r="H419" t="s">
        <v>112</v>
      </c>
      <c r="I419" t="e">
        <f ca="1">_xludf.XLOOKUP(H419,Base_Planos!$A:$A,Base_Planos!$B:$B,"Não encontrado")</f>
        <v>#NAME?</v>
      </c>
      <c r="J419" s="2">
        <f>VLOOKUP(H419,Base_Planos!$A:$G,4,FALSE)</f>
        <v>79.900000000000006</v>
      </c>
      <c r="K419" s="4">
        <v>45087</v>
      </c>
      <c r="L419" t="s">
        <v>328</v>
      </c>
      <c r="M419" t="s">
        <v>44</v>
      </c>
      <c r="N419" s="4"/>
      <c r="O419" s="10">
        <f t="shared" ca="1" si="40"/>
        <v>1082</v>
      </c>
      <c r="P419" s="10" t="str">
        <f t="shared" ca="1" si="37"/>
        <v>Mais de 1 ano</v>
      </c>
      <c r="Q419">
        <f t="shared" si="36"/>
        <v>0</v>
      </c>
      <c r="R419">
        <v>8</v>
      </c>
      <c r="S419" s="11">
        <f t="shared" si="41"/>
        <v>0</v>
      </c>
      <c r="T419" s="11" t="str">
        <f t="shared" si="38"/>
        <v>Neutro</v>
      </c>
      <c r="U419" s="11" t="str">
        <f t="shared" si="39"/>
        <v>Médio risco</v>
      </c>
      <c r="V419">
        <v>0</v>
      </c>
      <c r="W419">
        <v>49</v>
      </c>
      <c r="X419" s="2">
        <v>83.26</v>
      </c>
      <c r="Y419">
        <v>36</v>
      </c>
      <c r="Z419" t="s">
        <v>50</v>
      </c>
    </row>
    <row r="420" spans="1:26">
      <c r="A420" t="s">
        <v>844</v>
      </c>
      <c r="B420" t="s">
        <v>419</v>
      </c>
      <c r="C420" t="s">
        <v>48</v>
      </c>
      <c r="D420" t="s">
        <v>29</v>
      </c>
      <c r="E420">
        <v>55</v>
      </c>
      <c r="F420" t="s">
        <v>30</v>
      </c>
      <c r="G420" t="s">
        <v>67</v>
      </c>
      <c r="H420" t="s">
        <v>86</v>
      </c>
      <c r="I420" t="e">
        <f ca="1">_xludf.XLOOKUP(H420,Base_Planos!$A:$A,Base_Planos!$B:$B,"Não encontrado")</f>
        <v>#NAME?</v>
      </c>
      <c r="J420" s="2">
        <f>VLOOKUP(H420,Base_Planos!$A:$G,4,FALSE)</f>
        <v>119.9</v>
      </c>
      <c r="K420" s="4">
        <v>46022</v>
      </c>
      <c r="L420" t="s">
        <v>170</v>
      </c>
      <c r="M420" t="s">
        <v>44</v>
      </c>
      <c r="N420" s="4"/>
      <c r="O420" s="10">
        <f t="shared" ca="1" si="40"/>
        <v>147</v>
      </c>
      <c r="P420" s="10" t="str">
        <f t="shared" ca="1" si="37"/>
        <v>91 a 180 dias</v>
      </c>
      <c r="Q420">
        <f t="shared" si="36"/>
        <v>0</v>
      </c>
      <c r="R420">
        <v>0</v>
      </c>
      <c r="S420" s="11">
        <f t="shared" si="41"/>
        <v>0</v>
      </c>
      <c r="T420" s="11" t="str">
        <f t="shared" si="38"/>
        <v>Detrator</v>
      </c>
      <c r="U420" s="11" t="str">
        <f t="shared" si="39"/>
        <v>Alto risco</v>
      </c>
      <c r="V420">
        <v>0</v>
      </c>
      <c r="W420">
        <v>63</v>
      </c>
      <c r="X420" s="2">
        <v>112.01</v>
      </c>
      <c r="Y420">
        <v>4</v>
      </c>
      <c r="Z420" t="s">
        <v>35</v>
      </c>
    </row>
    <row r="421" spans="1:26">
      <c r="A421" t="s">
        <v>845</v>
      </c>
      <c r="B421" t="s">
        <v>629</v>
      </c>
      <c r="C421" t="s">
        <v>140</v>
      </c>
      <c r="D421" t="s">
        <v>141</v>
      </c>
      <c r="E421">
        <v>28</v>
      </c>
      <c r="F421" t="s">
        <v>30</v>
      </c>
      <c r="G421" t="s">
        <v>73</v>
      </c>
      <c r="H421" t="s">
        <v>82</v>
      </c>
      <c r="I421" t="e">
        <f ca="1">_xludf.XLOOKUP(H421,Base_Planos!$A:$A,Base_Planos!$B:$B,"Não encontrado")</f>
        <v>#NAME?</v>
      </c>
      <c r="J421" s="2">
        <f>VLOOKUP(H421,Base_Planos!$A:$G,4,FALSE)</f>
        <v>149.9</v>
      </c>
      <c r="K421" s="4">
        <v>46081</v>
      </c>
      <c r="L421" t="s">
        <v>74</v>
      </c>
      <c r="M421" t="s">
        <v>34</v>
      </c>
      <c r="N421" s="4">
        <v>46129</v>
      </c>
      <c r="O421" s="10">
        <f t="shared" ca="1" si="40"/>
        <v>48</v>
      </c>
      <c r="P421" s="10" t="str">
        <f t="shared" ca="1" si="37"/>
        <v>31 a 90 dias</v>
      </c>
      <c r="Q421">
        <f t="shared" si="36"/>
        <v>1</v>
      </c>
      <c r="R421">
        <v>4</v>
      </c>
      <c r="S421" s="11">
        <f t="shared" si="41"/>
        <v>149.9</v>
      </c>
      <c r="T421" s="11" t="str">
        <f t="shared" si="38"/>
        <v>Detrator</v>
      </c>
      <c r="U421" s="11" t="str">
        <f t="shared" si="39"/>
        <v>Alto risco</v>
      </c>
      <c r="V421">
        <v>0</v>
      </c>
      <c r="W421">
        <v>68</v>
      </c>
      <c r="X421" s="2">
        <v>146.13</v>
      </c>
      <c r="Y421">
        <v>1</v>
      </c>
      <c r="Z421" t="s">
        <v>45</v>
      </c>
    </row>
    <row r="422" spans="1:26">
      <c r="A422" t="s">
        <v>846</v>
      </c>
      <c r="B422" t="s">
        <v>358</v>
      </c>
      <c r="C422" t="s">
        <v>102</v>
      </c>
      <c r="D422" t="s">
        <v>103</v>
      </c>
      <c r="E422">
        <v>26</v>
      </c>
      <c r="F422" t="s">
        <v>54</v>
      </c>
      <c r="G422" t="s">
        <v>73</v>
      </c>
      <c r="H422" t="s">
        <v>42</v>
      </c>
      <c r="I422" t="e">
        <f ca="1">_xludf.XLOOKUP(H422,Base_Planos!$A:$A,Base_Planos!$B:$B,"Não encontrado")</f>
        <v>#NAME?</v>
      </c>
      <c r="J422" s="2">
        <f>VLOOKUP(H422,Base_Planos!$A:$G,4,FALSE)</f>
        <v>29.9</v>
      </c>
      <c r="K422" s="4">
        <v>45502</v>
      </c>
      <c r="L422" t="s">
        <v>142</v>
      </c>
      <c r="M422" t="s">
        <v>34</v>
      </c>
      <c r="N422" s="4">
        <v>46137</v>
      </c>
      <c r="O422" s="10">
        <f t="shared" ca="1" si="40"/>
        <v>635</v>
      </c>
      <c r="P422" s="10" t="str">
        <f t="shared" ca="1" si="37"/>
        <v>Mais de 1 ano</v>
      </c>
      <c r="Q422">
        <f t="shared" si="36"/>
        <v>1</v>
      </c>
      <c r="R422">
        <v>4</v>
      </c>
      <c r="S422" s="11">
        <f t="shared" si="41"/>
        <v>29.9</v>
      </c>
      <c r="T422" s="11" t="str">
        <f t="shared" si="38"/>
        <v>Detrator</v>
      </c>
      <c r="U422" s="11" t="str">
        <f t="shared" si="39"/>
        <v>Alto risco</v>
      </c>
      <c r="V422">
        <v>0</v>
      </c>
      <c r="W422">
        <v>53</v>
      </c>
      <c r="X422" s="2">
        <v>29.36</v>
      </c>
      <c r="Y422">
        <v>21</v>
      </c>
      <c r="Z422" t="s">
        <v>35</v>
      </c>
    </row>
    <row r="423" spans="1:26">
      <c r="A423" t="s">
        <v>847</v>
      </c>
      <c r="B423" t="s">
        <v>203</v>
      </c>
      <c r="C423" t="s">
        <v>140</v>
      </c>
      <c r="D423" t="s">
        <v>141</v>
      </c>
      <c r="E423">
        <v>62</v>
      </c>
      <c r="F423" t="s">
        <v>30</v>
      </c>
      <c r="G423" t="s">
        <v>96</v>
      </c>
      <c r="H423" t="s">
        <v>82</v>
      </c>
      <c r="I423" t="e">
        <f ca="1">_xludf.XLOOKUP(H423,Base_Planos!$A:$A,Base_Planos!$B:$B,"Não encontrado")</f>
        <v>#NAME?</v>
      </c>
      <c r="J423" s="2">
        <f>VLOOKUP(H423,Base_Planos!$A:$G,4,FALSE)</f>
        <v>149.9</v>
      </c>
      <c r="K423" s="4">
        <v>44994</v>
      </c>
      <c r="L423" t="s">
        <v>68</v>
      </c>
      <c r="M423" t="s">
        <v>44</v>
      </c>
      <c r="N423" s="4"/>
      <c r="O423" s="10">
        <f t="shared" ca="1" si="40"/>
        <v>1175</v>
      </c>
      <c r="P423" s="10" t="str">
        <f t="shared" ca="1" si="37"/>
        <v>Mais de 1 ano</v>
      </c>
      <c r="Q423">
        <f t="shared" si="36"/>
        <v>0</v>
      </c>
      <c r="R423">
        <v>5</v>
      </c>
      <c r="S423" s="11">
        <f t="shared" si="41"/>
        <v>0</v>
      </c>
      <c r="T423" s="11" t="str">
        <f t="shared" si="38"/>
        <v>Detrator</v>
      </c>
      <c r="U423" s="11" t="str">
        <f t="shared" si="39"/>
        <v>Alto risco</v>
      </c>
      <c r="V423">
        <v>1</v>
      </c>
      <c r="W423">
        <v>49</v>
      </c>
      <c r="X423" s="2">
        <v>152.53</v>
      </c>
      <c r="Y423">
        <v>39</v>
      </c>
      <c r="Z423" t="s">
        <v>35</v>
      </c>
    </row>
    <row r="424" spans="1:26">
      <c r="A424" t="s">
        <v>848</v>
      </c>
      <c r="B424" t="s">
        <v>656</v>
      </c>
      <c r="C424" t="s">
        <v>48</v>
      </c>
      <c r="D424" t="s">
        <v>29</v>
      </c>
      <c r="E424">
        <v>42</v>
      </c>
      <c r="F424" t="s">
        <v>30</v>
      </c>
      <c r="G424" t="s">
        <v>104</v>
      </c>
      <c r="H424" t="s">
        <v>82</v>
      </c>
      <c r="I424" t="e">
        <f ca="1">_xludf.XLOOKUP(H424,Base_Planos!$A:$A,Base_Planos!$B:$B,"Não encontrado")</f>
        <v>#NAME?</v>
      </c>
      <c r="J424" s="2">
        <f>VLOOKUP(H424,Base_Planos!$A:$G,4,FALSE)</f>
        <v>149.9</v>
      </c>
      <c r="K424" s="4">
        <v>45269</v>
      </c>
      <c r="L424" t="s">
        <v>62</v>
      </c>
      <c r="M424" t="s">
        <v>34</v>
      </c>
      <c r="N424" s="4">
        <v>46138</v>
      </c>
      <c r="O424" s="10">
        <f t="shared" ca="1" si="40"/>
        <v>869</v>
      </c>
      <c r="P424" s="10" t="str">
        <f t="shared" ca="1" si="37"/>
        <v>Mais de 1 ano</v>
      </c>
      <c r="Q424">
        <f t="shared" si="36"/>
        <v>1</v>
      </c>
      <c r="R424">
        <v>3</v>
      </c>
      <c r="S424" s="11">
        <f t="shared" si="41"/>
        <v>149.9</v>
      </c>
      <c r="T424" s="11" t="str">
        <f t="shared" si="38"/>
        <v>Detrator</v>
      </c>
      <c r="U424" s="11" t="str">
        <f t="shared" si="39"/>
        <v>Alto risco</v>
      </c>
      <c r="V424">
        <v>0</v>
      </c>
      <c r="W424">
        <v>31</v>
      </c>
      <c r="X424" s="2">
        <v>132.44</v>
      </c>
      <c r="Y424">
        <v>28</v>
      </c>
      <c r="Z424" t="s">
        <v>35</v>
      </c>
    </row>
    <row r="425" spans="1:26">
      <c r="A425" t="s">
        <v>849</v>
      </c>
      <c r="B425" t="s">
        <v>248</v>
      </c>
      <c r="C425" t="s">
        <v>140</v>
      </c>
      <c r="D425" t="s">
        <v>141</v>
      </c>
      <c r="E425">
        <v>48</v>
      </c>
      <c r="F425" t="s">
        <v>40</v>
      </c>
      <c r="G425" t="s">
        <v>31</v>
      </c>
      <c r="H425" t="s">
        <v>112</v>
      </c>
      <c r="I425" t="e">
        <f ca="1">_xludf.XLOOKUP(H425,Base_Planos!$A:$A,Base_Planos!$B:$B,"Não encontrado")</f>
        <v>#NAME?</v>
      </c>
      <c r="J425" s="2">
        <f>VLOOKUP(H425,Base_Planos!$A:$G,4,FALSE)</f>
        <v>79.900000000000006</v>
      </c>
      <c r="K425" s="4">
        <v>45725</v>
      </c>
      <c r="L425" t="s">
        <v>454</v>
      </c>
      <c r="M425" t="s">
        <v>44</v>
      </c>
      <c r="N425" s="4"/>
      <c r="O425" s="10">
        <f t="shared" ca="1" si="40"/>
        <v>444</v>
      </c>
      <c r="P425" s="10" t="str">
        <f t="shared" ca="1" si="37"/>
        <v>Mais de 1 ano</v>
      </c>
      <c r="Q425">
        <f t="shared" si="36"/>
        <v>0</v>
      </c>
      <c r="R425">
        <v>7</v>
      </c>
      <c r="S425" s="11">
        <f t="shared" si="41"/>
        <v>0</v>
      </c>
      <c r="T425" s="11" t="str">
        <f t="shared" si="38"/>
        <v>Neutro</v>
      </c>
      <c r="U425" s="11" t="str">
        <f t="shared" si="39"/>
        <v>Médio risco</v>
      </c>
      <c r="V425">
        <v>0</v>
      </c>
      <c r="W425">
        <v>91</v>
      </c>
      <c r="X425" s="2">
        <v>80.66</v>
      </c>
      <c r="Y425">
        <v>14</v>
      </c>
      <c r="Z425" t="s">
        <v>50</v>
      </c>
    </row>
    <row r="426" spans="1:26">
      <c r="A426" t="s">
        <v>850</v>
      </c>
      <c r="B426" t="s">
        <v>851</v>
      </c>
      <c r="C426" t="s">
        <v>38</v>
      </c>
      <c r="D426" t="s">
        <v>39</v>
      </c>
      <c r="E426">
        <v>61</v>
      </c>
      <c r="F426" t="s">
        <v>201</v>
      </c>
      <c r="G426" t="s">
        <v>55</v>
      </c>
      <c r="H426" t="s">
        <v>86</v>
      </c>
      <c r="I426" t="e">
        <f ca="1">_xludf.XLOOKUP(H426,Base_Planos!$A:$A,Base_Planos!$B:$B,"Não encontrado")</f>
        <v>#NAME?</v>
      </c>
      <c r="J426" s="2">
        <f>VLOOKUP(H426,Base_Planos!$A:$G,4,FALSE)</f>
        <v>119.9</v>
      </c>
      <c r="K426" s="4">
        <v>45651</v>
      </c>
      <c r="L426" t="s">
        <v>49</v>
      </c>
      <c r="M426" t="s">
        <v>44</v>
      </c>
      <c r="N426" s="4"/>
      <c r="O426" s="10">
        <f t="shared" ca="1" si="40"/>
        <v>518</v>
      </c>
      <c r="P426" s="10" t="str">
        <f t="shared" ca="1" si="37"/>
        <v>Mais de 1 ano</v>
      </c>
      <c r="Q426">
        <f t="shared" si="36"/>
        <v>0</v>
      </c>
      <c r="R426">
        <v>6</v>
      </c>
      <c r="S426" s="11">
        <f t="shared" si="41"/>
        <v>0</v>
      </c>
      <c r="T426" s="11" t="str">
        <f t="shared" si="38"/>
        <v>Detrator</v>
      </c>
      <c r="U426" s="11" t="str">
        <f t="shared" si="39"/>
        <v>Alto risco</v>
      </c>
      <c r="V426">
        <v>0</v>
      </c>
      <c r="W426">
        <v>30</v>
      </c>
      <c r="X426" s="2">
        <v>121.15</v>
      </c>
      <c r="Y426">
        <v>17</v>
      </c>
      <c r="Z426" t="s">
        <v>35</v>
      </c>
    </row>
    <row r="427" spans="1:26">
      <c r="A427" t="s">
        <v>852</v>
      </c>
      <c r="B427" t="s">
        <v>746</v>
      </c>
      <c r="C427" t="s">
        <v>71</v>
      </c>
      <c r="D427" t="s">
        <v>72</v>
      </c>
      <c r="E427">
        <v>47</v>
      </c>
      <c r="F427" t="s">
        <v>40</v>
      </c>
      <c r="G427" t="s">
        <v>31</v>
      </c>
      <c r="H427" t="s">
        <v>82</v>
      </c>
      <c r="I427" t="e">
        <f ca="1">_xludf.XLOOKUP(H427,Base_Planos!$A:$A,Base_Planos!$B:$B,"Não encontrado")</f>
        <v>#NAME?</v>
      </c>
      <c r="J427" s="2">
        <f>VLOOKUP(H427,Base_Planos!$A:$G,4,FALSE)</f>
        <v>149.9</v>
      </c>
      <c r="K427" s="4">
        <v>46132</v>
      </c>
      <c r="L427" t="s">
        <v>43</v>
      </c>
      <c r="M427" t="s">
        <v>34</v>
      </c>
      <c r="N427" s="4">
        <v>46162</v>
      </c>
      <c r="O427" s="10">
        <f t="shared" ca="1" si="40"/>
        <v>30</v>
      </c>
      <c r="P427" s="10" t="str">
        <f t="shared" ca="1" si="37"/>
        <v>Até 30 dias</v>
      </c>
      <c r="Q427">
        <f t="shared" si="36"/>
        <v>1</v>
      </c>
      <c r="R427">
        <v>3</v>
      </c>
      <c r="S427" s="11">
        <f t="shared" si="41"/>
        <v>149.9</v>
      </c>
      <c r="T427" s="11" t="str">
        <f t="shared" si="38"/>
        <v>Detrator</v>
      </c>
      <c r="U427" s="11" t="str">
        <f t="shared" si="39"/>
        <v>Alto risco</v>
      </c>
      <c r="V427">
        <v>4</v>
      </c>
      <c r="W427">
        <v>51</v>
      </c>
      <c r="X427" s="2">
        <v>152.35</v>
      </c>
      <c r="Y427">
        <v>1</v>
      </c>
      <c r="Z427" t="s">
        <v>35</v>
      </c>
    </row>
    <row r="428" spans="1:26">
      <c r="A428" t="s">
        <v>853</v>
      </c>
      <c r="B428" t="s">
        <v>854</v>
      </c>
      <c r="C428" t="s">
        <v>102</v>
      </c>
      <c r="D428" t="s">
        <v>103</v>
      </c>
      <c r="E428">
        <v>51</v>
      </c>
      <c r="F428" t="s">
        <v>30</v>
      </c>
      <c r="G428" t="s">
        <v>104</v>
      </c>
      <c r="H428" t="s">
        <v>112</v>
      </c>
      <c r="I428" t="e">
        <f ca="1">_xludf.XLOOKUP(H428,Base_Planos!$A:$A,Base_Planos!$B:$B,"Não encontrado")</f>
        <v>#NAME?</v>
      </c>
      <c r="J428" s="2">
        <f>VLOOKUP(H428,Base_Planos!$A:$G,4,FALSE)</f>
        <v>79.900000000000006</v>
      </c>
      <c r="K428" s="4">
        <v>45507</v>
      </c>
      <c r="L428" t="s">
        <v>156</v>
      </c>
      <c r="M428" t="s">
        <v>44</v>
      </c>
      <c r="N428" s="4"/>
      <c r="O428" s="10">
        <f t="shared" ca="1" si="40"/>
        <v>662</v>
      </c>
      <c r="P428" s="10" t="str">
        <f t="shared" ca="1" si="37"/>
        <v>Mais de 1 ano</v>
      </c>
      <c r="Q428">
        <f t="shared" si="36"/>
        <v>0</v>
      </c>
      <c r="R428">
        <v>4</v>
      </c>
      <c r="S428" s="11">
        <f t="shared" si="41"/>
        <v>0</v>
      </c>
      <c r="T428" s="11" t="str">
        <f t="shared" si="38"/>
        <v>Detrator</v>
      </c>
      <c r="U428" s="11" t="str">
        <f t="shared" si="39"/>
        <v>Alto risco</v>
      </c>
      <c r="V428">
        <v>0</v>
      </c>
      <c r="W428">
        <v>62</v>
      </c>
      <c r="X428" s="2">
        <v>78.41</v>
      </c>
      <c r="Y428">
        <v>22</v>
      </c>
      <c r="Z428" t="s">
        <v>35</v>
      </c>
    </row>
    <row r="429" spans="1:26">
      <c r="A429" t="s">
        <v>855</v>
      </c>
      <c r="B429" t="s">
        <v>856</v>
      </c>
      <c r="C429" t="s">
        <v>90</v>
      </c>
      <c r="D429" t="s">
        <v>29</v>
      </c>
      <c r="E429">
        <v>58</v>
      </c>
      <c r="F429" t="s">
        <v>30</v>
      </c>
      <c r="G429" t="s">
        <v>55</v>
      </c>
      <c r="H429" t="s">
        <v>32</v>
      </c>
      <c r="I429" t="e">
        <f ca="1">_xludf.XLOOKUP(H429,Base_Planos!$A:$A,Base_Planos!$B:$B,"Não encontrado")</f>
        <v>#NAME?</v>
      </c>
      <c r="J429" s="2">
        <f>VLOOKUP(H429,Base_Planos!$A:$G,4,FALSE)</f>
        <v>39.9</v>
      </c>
      <c r="K429" s="4">
        <v>45193</v>
      </c>
      <c r="L429" t="s">
        <v>105</v>
      </c>
      <c r="M429" t="s">
        <v>44</v>
      </c>
      <c r="N429" s="4"/>
      <c r="O429" s="10">
        <f t="shared" ca="1" si="40"/>
        <v>976</v>
      </c>
      <c r="P429" s="10" t="str">
        <f t="shared" ca="1" si="37"/>
        <v>Mais de 1 ano</v>
      </c>
      <c r="Q429">
        <f t="shared" ref="Q429:Q468" si="42">IF(M429="Cancelado",1,0)</f>
        <v>0</v>
      </c>
      <c r="R429">
        <v>6</v>
      </c>
      <c r="S429" s="11">
        <f t="shared" si="41"/>
        <v>0</v>
      </c>
      <c r="T429" s="11" t="str">
        <f t="shared" si="38"/>
        <v>Detrator</v>
      </c>
      <c r="U429" s="11" t="str">
        <f t="shared" si="39"/>
        <v>Alto risco</v>
      </c>
      <c r="V429">
        <v>0</v>
      </c>
      <c r="W429">
        <v>7</v>
      </c>
      <c r="X429" s="2">
        <v>41.07</v>
      </c>
      <c r="Y429">
        <v>32</v>
      </c>
      <c r="Z429" t="s">
        <v>35</v>
      </c>
    </row>
    <row r="430" spans="1:26">
      <c r="A430" t="s">
        <v>857</v>
      </c>
      <c r="B430" t="s">
        <v>599</v>
      </c>
      <c r="C430" t="s">
        <v>140</v>
      </c>
      <c r="D430" t="s">
        <v>141</v>
      </c>
      <c r="E430">
        <v>36</v>
      </c>
      <c r="F430" t="s">
        <v>54</v>
      </c>
      <c r="G430" t="s">
        <v>55</v>
      </c>
      <c r="H430" t="s">
        <v>61</v>
      </c>
      <c r="I430" t="e">
        <f ca="1">_xludf.XLOOKUP(H430,Base_Planos!$A:$A,Base_Planos!$B:$B,"Não encontrado")</f>
        <v>#NAME?</v>
      </c>
      <c r="J430" s="2">
        <f>VLOOKUP(H430,Base_Planos!$A:$G,4,FALSE)</f>
        <v>59.9</v>
      </c>
      <c r="K430" s="4">
        <v>45493</v>
      </c>
      <c r="L430" t="s">
        <v>142</v>
      </c>
      <c r="M430" t="s">
        <v>34</v>
      </c>
      <c r="N430" s="4">
        <v>45598</v>
      </c>
      <c r="O430" s="10">
        <f t="shared" ca="1" si="40"/>
        <v>105</v>
      </c>
      <c r="P430" s="10" t="str">
        <f t="shared" ca="1" si="37"/>
        <v>91 a 180 dias</v>
      </c>
      <c r="Q430">
        <f t="shared" si="42"/>
        <v>1</v>
      </c>
      <c r="R430">
        <v>6</v>
      </c>
      <c r="S430" s="11">
        <f t="shared" si="41"/>
        <v>59.9</v>
      </c>
      <c r="T430" s="11" t="str">
        <f t="shared" si="38"/>
        <v>Detrator</v>
      </c>
      <c r="U430" s="11" t="str">
        <f t="shared" si="39"/>
        <v>Alto risco</v>
      </c>
      <c r="V430">
        <v>1</v>
      </c>
      <c r="W430">
        <v>18</v>
      </c>
      <c r="X430" s="2">
        <v>51.66</v>
      </c>
      <c r="Y430">
        <v>3</v>
      </c>
      <c r="Z430" t="s">
        <v>35</v>
      </c>
    </row>
    <row r="431" spans="1:26">
      <c r="A431" t="s">
        <v>858</v>
      </c>
      <c r="B431" t="s">
        <v>851</v>
      </c>
      <c r="C431" t="s">
        <v>28</v>
      </c>
      <c r="D431" t="s">
        <v>29</v>
      </c>
      <c r="E431">
        <v>34</v>
      </c>
      <c r="F431" t="s">
        <v>201</v>
      </c>
      <c r="G431" t="s">
        <v>73</v>
      </c>
      <c r="H431" t="s">
        <v>32</v>
      </c>
      <c r="I431" t="e">
        <f ca="1">_xludf.XLOOKUP(H431,Base_Planos!$A:$A,Base_Planos!$B:$B,"Não encontrado")</f>
        <v>#NAME?</v>
      </c>
      <c r="J431" s="2">
        <f>VLOOKUP(H431,Base_Planos!$A:$G,4,FALSE)</f>
        <v>39.9</v>
      </c>
      <c r="K431" s="4">
        <v>45069</v>
      </c>
      <c r="L431" t="s">
        <v>115</v>
      </c>
      <c r="M431" t="s">
        <v>44</v>
      </c>
      <c r="N431" s="4"/>
      <c r="O431" s="10">
        <f t="shared" ca="1" si="40"/>
        <v>1100</v>
      </c>
      <c r="P431" s="10" t="str">
        <f t="shared" ca="1" si="37"/>
        <v>Mais de 1 ano</v>
      </c>
      <c r="Q431">
        <f t="shared" si="42"/>
        <v>0</v>
      </c>
      <c r="R431">
        <v>7</v>
      </c>
      <c r="S431" s="11">
        <f t="shared" si="41"/>
        <v>0</v>
      </c>
      <c r="T431" s="11" t="str">
        <f t="shared" si="38"/>
        <v>Neutro</v>
      </c>
      <c r="U431" s="11" t="str">
        <f t="shared" si="39"/>
        <v>Médio risco</v>
      </c>
      <c r="V431">
        <v>0</v>
      </c>
      <c r="W431">
        <v>54</v>
      </c>
      <c r="X431" s="2">
        <v>34.78</v>
      </c>
      <c r="Y431">
        <v>36</v>
      </c>
      <c r="Z431" t="s">
        <v>50</v>
      </c>
    </row>
    <row r="432" spans="1:26">
      <c r="A432" t="s">
        <v>859</v>
      </c>
      <c r="B432" t="s">
        <v>860</v>
      </c>
      <c r="C432" t="s">
        <v>59</v>
      </c>
      <c r="D432" t="s">
        <v>60</v>
      </c>
      <c r="E432">
        <v>57</v>
      </c>
      <c r="F432" t="s">
        <v>40</v>
      </c>
      <c r="G432" t="s">
        <v>104</v>
      </c>
      <c r="H432" t="s">
        <v>82</v>
      </c>
      <c r="I432" t="e">
        <f ca="1">_xludf.XLOOKUP(H432,Base_Planos!$A:$A,Base_Planos!$B:$B,"Não encontrado")</f>
        <v>#NAME?</v>
      </c>
      <c r="J432" s="2">
        <f>VLOOKUP(H432,Base_Planos!$A:$G,4,FALSE)</f>
        <v>149.9</v>
      </c>
      <c r="K432" s="4">
        <v>45138</v>
      </c>
      <c r="L432" t="s">
        <v>33</v>
      </c>
      <c r="M432" t="s">
        <v>34</v>
      </c>
      <c r="N432" s="4">
        <v>46086</v>
      </c>
      <c r="O432" s="10">
        <f t="shared" ca="1" si="40"/>
        <v>948</v>
      </c>
      <c r="P432" s="10" t="str">
        <f t="shared" ca="1" si="37"/>
        <v>Mais de 1 ano</v>
      </c>
      <c r="Q432">
        <f t="shared" si="42"/>
        <v>1</v>
      </c>
      <c r="R432">
        <v>0</v>
      </c>
      <c r="S432" s="11">
        <f t="shared" si="41"/>
        <v>149.9</v>
      </c>
      <c r="T432" s="11" t="str">
        <f t="shared" si="38"/>
        <v>Detrator</v>
      </c>
      <c r="U432" s="11" t="str">
        <f t="shared" si="39"/>
        <v>Alto risco</v>
      </c>
      <c r="V432">
        <v>0</v>
      </c>
      <c r="W432">
        <v>73</v>
      </c>
      <c r="X432" s="2">
        <v>146.99</v>
      </c>
      <c r="Y432">
        <v>31</v>
      </c>
      <c r="Z432" t="s">
        <v>45</v>
      </c>
    </row>
    <row r="433" spans="1:26">
      <c r="A433" t="s">
        <v>861</v>
      </c>
      <c r="B433" t="s">
        <v>271</v>
      </c>
      <c r="C433" t="s">
        <v>65</v>
      </c>
      <c r="D433" t="s">
        <v>29</v>
      </c>
      <c r="E433">
        <v>42</v>
      </c>
      <c r="F433" t="s">
        <v>30</v>
      </c>
      <c r="G433" t="s">
        <v>165</v>
      </c>
      <c r="H433" t="s">
        <v>86</v>
      </c>
      <c r="I433" t="e">
        <f ca="1">_xludf.XLOOKUP(H433,Base_Planos!$A:$A,Base_Planos!$B:$B,"Não encontrado")</f>
        <v>#NAME?</v>
      </c>
      <c r="J433" s="2">
        <f>VLOOKUP(H433,Base_Planos!$A:$G,4,FALSE)</f>
        <v>119.9</v>
      </c>
      <c r="K433" s="4">
        <v>46103</v>
      </c>
      <c r="L433" t="s">
        <v>292</v>
      </c>
      <c r="M433" t="s">
        <v>44</v>
      </c>
      <c r="N433" s="4"/>
      <c r="O433" s="10">
        <f t="shared" ca="1" si="40"/>
        <v>66</v>
      </c>
      <c r="P433" s="10" t="str">
        <f t="shared" ca="1" si="37"/>
        <v>31 a 90 dias</v>
      </c>
      <c r="Q433">
        <f t="shared" si="42"/>
        <v>0</v>
      </c>
      <c r="R433">
        <v>0</v>
      </c>
      <c r="S433" s="11">
        <f t="shared" si="41"/>
        <v>0</v>
      </c>
      <c r="T433" s="11" t="str">
        <f t="shared" si="38"/>
        <v>Detrator</v>
      </c>
      <c r="U433" s="11" t="str">
        <f t="shared" si="39"/>
        <v>Alto risco</v>
      </c>
      <c r="V433">
        <v>0</v>
      </c>
      <c r="W433">
        <v>50</v>
      </c>
      <c r="X433" s="2">
        <v>122.16</v>
      </c>
      <c r="Y433">
        <v>2</v>
      </c>
      <c r="Z433" t="s">
        <v>35</v>
      </c>
    </row>
    <row r="434" spans="1:26">
      <c r="A434" t="s">
        <v>862</v>
      </c>
      <c r="B434" t="s">
        <v>863</v>
      </c>
      <c r="C434" t="s">
        <v>38</v>
      </c>
      <c r="D434" t="s">
        <v>39</v>
      </c>
      <c r="E434">
        <v>32</v>
      </c>
      <c r="F434" t="s">
        <v>30</v>
      </c>
      <c r="G434" t="s">
        <v>104</v>
      </c>
      <c r="H434" t="s">
        <v>32</v>
      </c>
      <c r="I434" t="e">
        <f ca="1">_xludf.XLOOKUP(H434,Base_Planos!$A:$A,Base_Planos!$B:$B,"Não encontrado")</f>
        <v>#NAME?</v>
      </c>
      <c r="J434" s="2">
        <f>VLOOKUP(H434,Base_Planos!$A:$G,4,FALSE)</f>
        <v>39.9</v>
      </c>
      <c r="K434" s="4">
        <v>46023</v>
      </c>
      <c r="L434" t="s">
        <v>148</v>
      </c>
      <c r="M434" t="s">
        <v>44</v>
      </c>
      <c r="N434" s="4"/>
      <c r="O434" s="10">
        <f t="shared" ca="1" si="40"/>
        <v>146</v>
      </c>
      <c r="P434" s="10" t="str">
        <f t="shared" ca="1" si="37"/>
        <v>91 a 180 dias</v>
      </c>
      <c r="Q434">
        <f t="shared" si="42"/>
        <v>0</v>
      </c>
      <c r="R434">
        <v>5</v>
      </c>
      <c r="S434" s="11">
        <f t="shared" si="41"/>
        <v>0</v>
      </c>
      <c r="T434" s="11" t="str">
        <f t="shared" si="38"/>
        <v>Detrator</v>
      </c>
      <c r="U434" s="11" t="str">
        <f t="shared" si="39"/>
        <v>Alto risco</v>
      </c>
      <c r="V434">
        <v>0</v>
      </c>
      <c r="W434">
        <v>77</v>
      </c>
      <c r="X434" s="2">
        <v>39.08</v>
      </c>
      <c r="Y434">
        <v>4</v>
      </c>
      <c r="Z434" t="s">
        <v>50</v>
      </c>
    </row>
    <row r="435" spans="1:26">
      <c r="A435" t="s">
        <v>864</v>
      </c>
      <c r="B435" t="s">
        <v>865</v>
      </c>
      <c r="C435" t="s">
        <v>53</v>
      </c>
      <c r="D435" t="s">
        <v>29</v>
      </c>
      <c r="E435">
        <v>39</v>
      </c>
      <c r="F435" t="s">
        <v>30</v>
      </c>
      <c r="G435" t="s">
        <v>104</v>
      </c>
      <c r="H435" t="s">
        <v>82</v>
      </c>
      <c r="I435" t="e">
        <f ca="1">_xludf.XLOOKUP(H435,Base_Planos!$A:$A,Base_Planos!$B:$B,"Não encontrado")</f>
        <v>#NAME?</v>
      </c>
      <c r="J435" s="2">
        <f>VLOOKUP(H435,Base_Planos!$A:$G,4,FALSE)</f>
        <v>149.9</v>
      </c>
      <c r="K435" s="4">
        <v>45520</v>
      </c>
      <c r="L435" t="s">
        <v>156</v>
      </c>
      <c r="M435" t="s">
        <v>44</v>
      </c>
      <c r="N435" s="4"/>
      <c r="O435" s="10">
        <f t="shared" ca="1" si="40"/>
        <v>649</v>
      </c>
      <c r="P435" s="10" t="str">
        <f t="shared" ca="1" si="37"/>
        <v>Mais de 1 ano</v>
      </c>
      <c r="Q435">
        <f t="shared" si="42"/>
        <v>0</v>
      </c>
      <c r="R435">
        <v>10</v>
      </c>
      <c r="S435" s="11">
        <f t="shared" si="41"/>
        <v>0</v>
      </c>
      <c r="T435" s="11" t="str">
        <f t="shared" si="38"/>
        <v>Promotor</v>
      </c>
      <c r="U435" s="11" t="str">
        <f t="shared" si="39"/>
        <v>Baixo risco</v>
      </c>
      <c r="V435">
        <v>3</v>
      </c>
      <c r="W435">
        <v>91</v>
      </c>
      <c r="X435" s="2">
        <v>136.38</v>
      </c>
      <c r="Y435">
        <v>21</v>
      </c>
      <c r="Z435" t="s">
        <v>50</v>
      </c>
    </row>
    <row r="436" spans="1:26">
      <c r="A436" t="s">
        <v>866</v>
      </c>
      <c r="B436" t="s">
        <v>721</v>
      </c>
      <c r="C436" t="s">
        <v>65</v>
      </c>
      <c r="D436" t="s">
        <v>29</v>
      </c>
      <c r="E436">
        <v>62</v>
      </c>
      <c r="F436" t="s">
        <v>54</v>
      </c>
      <c r="G436" t="s">
        <v>55</v>
      </c>
      <c r="H436" t="s">
        <v>86</v>
      </c>
      <c r="I436" t="e">
        <f ca="1">_xludf.XLOOKUP(H436,Base_Planos!$A:$A,Base_Planos!$B:$B,"Não encontrado")</f>
        <v>#NAME?</v>
      </c>
      <c r="J436" s="2">
        <f>VLOOKUP(H436,Base_Planos!$A:$G,4,FALSE)</f>
        <v>119.9</v>
      </c>
      <c r="K436" s="4">
        <v>45823</v>
      </c>
      <c r="L436" t="s">
        <v>167</v>
      </c>
      <c r="M436" t="s">
        <v>44</v>
      </c>
      <c r="N436" s="4"/>
      <c r="O436" s="10">
        <f t="shared" ca="1" si="40"/>
        <v>346</v>
      </c>
      <c r="P436" s="10" t="str">
        <f t="shared" ca="1" si="37"/>
        <v>181 a 365 dias</v>
      </c>
      <c r="Q436">
        <f t="shared" si="42"/>
        <v>0</v>
      </c>
      <c r="R436">
        <v>3</v>
      </c>
      <c r="S436" s="11">
        <f t="shared" si="41"/>
        <v>0</v>
      </c>
      <c r="T436" s="11" t="str">
        <f t="shared" si="38"/>
        <v>Detrator</v>
      </c>
      <c r="U436" s="11" t="str">
        <f t="shared" si="39"/>
        <v>Alto risco</v>
      </c>
      <c r="V436">
        <v>1</v>
      </c>
      <c r="W436">
        <v>71</v>
      </c>
      <c r="X436" s="2">
        <v>113.65</v>
      </c>
      <c r="Y436">
        <v>11</v>
      </c>
      <c r="Z436" t="s">
        <v>35</v>
      </c>
    </row>
    <row r="437" spans="1:26">
      <c r="A437" t="s">
        <v>867</v>
      </c>
      <c r="B437" t="s">
        <v>419</v>
      </c>
      <c r="C437" t="s">
        <v>65</v>
      </c>
      <c r="D437" t="s">
        <v>29</v>
      </c>
      <c r="E437">
        <v>37</v>
      </c>
      <c r="F437" t="s">
        <v>54</v>
      </c>
      <c r="G437" t="s">
        <v>104</v>
      </c>
      <c r="H437" t="s">
        <v>166</v>
      </c>
      <c r="I437" t="e">
        <f ca="1">_xludf.XLOOKUP(H437,Base_Planos!$A:$A,Base_Planos!$B:$B,"Não encontrado")</f>
        <v>#NAME?</v>
      </c>
      <c r="J437" s="2">
        <f>VLOOKUP(H437,Base_Planos!$A:$G,4,FALSE)</f>
        <v>399.9</v>
      </c>
      <c r="K437" s="4">
        <v>44960</v>
      </c>
      <c r="L437" t="s">
        <v>425</v>
      </c>
      <c r="M437" t="s">
        <v>44</v>
      </c>
      <c r="N437" s="4"/>
      <c r="O437" s="10">
        <f t="shared" ca="1" si="40"/>
        <v>1209</v>
      </c>
      <c r="P437" s="10" t="str">
        <f t="shared" ca="1" si="37"/>
        <v>Mais de 1 ano</v>
      </c>
      <c r="Q437">
        <f t="shared" si="42"/>
        <v>0</v>
      </c>
      <c r="R437">
        <v>0</v>
      </c>
      <c r="S437" s="11">
        <f t="shared" si="41"/>
        <v>0</v>
      </c>
      <c r="T437" s="11" t="str">
        <f t="shared" si="38"/>
        <v>Detrator</v>
      </c>
      <c r="U437" s="11" t="str">
        <f t="shared" si="39"/>
        <v>Alto risco</v>
      </c>
      <c r="V437">
        <v>1</v>
      </c>
      <c r="W437">
        <v>78</v>
      </c>
      <c r="X437" s="2">
        <v>356.85</v>
      </c>
      <c r="Y437">
        <v>40</v>
      </c>
      <c r="Z437" t="s">
        <v>35</v>
      </c>
    </row>
    <row r="438" spans="1:26">
      <c r="A438" t="s">
        <v>868</v>
      </c>
      <c r="B438" t="s">
        <v>505</v>
      </c>
      <c r="C438" t="s">
        <v>77</v>
      </c>
      <c r="D438" t="s">
        <v>78</v>
      </c>
      <c r="E438">
        <v>61</v>
      </c>
      <c r="F438" t="s">
        <v>66</v>
      </c>
      <c r="G438" t="s">
        <v>96</v>
      </c>
      <c r="H438" t="s">
        <v>82</v>
      </c>
      <c r="I438" t="e">
        <f ca="1">_xludf.XLOOKUP(H438,Base_Planos!$A:$A,Base_Planos!$B:$B,"Não encontrado")</f>
        <v>#NAME?</v>
      </c>
      <c r="J438" s="2">
        <f>VLOOKUP(H438,Base_Planos!$A:$G,4,FALSE)</f>
        <v>149.9</v>
      </c>
      <c r="K438" s="4">
        <v>45404</v>
      </c>
      <c r="L438" t="s">
        <v>56</v>
      </c>
      <c r="M438" t="s">
        <v>44</v>
      </c>
      <c r="N438" s="4"/>
      <c r="O438" s="10">
        <f t="shared" ca="1" si="40"/>
        <v>765</v>
      </c>
      <c r="P438" s="10" t="str">
        <f t="shared" ca="1" si="37"/>
        <v>Mais de 1 ano</v>
      </c>
      <c r="Q438">
        <f t="shared" si="42"/>
        <v>0</v>
      </c>
      <c r="R438">
        <v>1</v>
      </c>
      <c r="S438" s="11">
        <f t="shared" si="41"/>
        <v>0</v>
      </c>
      <c r="T438" s="11" t="str">
        <f t="shared" si="38"/>
        <v>Detrator</v>
      </c>
      <c r="U438" s="11" t="str">
        <f t="shared" si="39"/>
        <v>Alto risco</v>
      </c>
      <c r="V438">
        <v>1</v>
      </c>
      <c r="W438">
        <v>60</v>
      </c>
      <c r="X438" s="2">
        <v>154.94</v>
      </c>
      <c r="Y438">
        <v>25</v>
      </c>
      <c r="Z438" t="s">
        <v>35</v>
      </c>
    </row>
    <row r="439" spans="1:26">
      <c r="A439" t="s">
        <v>869</v>
      </c>
      <c r="B439" t="s">
        <v>870</v>
      </c>
      <c r="C439" t="s">
        <v>137</v>
      </c>
      <c r="D439" t="s">
        <v>29</v>
      </c>
      <c r="E439">
        <v>59</v>
      </c>
      <c r="F439" t="s">
        <v>30</v>
      </c>
      <c r="G439" t="s">
        <v>96</v>
      </c>
      <c r="H439" t="s">
        <v>61</v>
      </c>
      <c r="I439" t="e">
        <f ca="1">_xludf.XLOOKUP(H439,Base_Planos!$A:$A,Base_Planos!$B:$B,"Não encontrado")</f>
        <v>#NAME?</v>
      </c>
      <c r="J439" s="2">
        <f>VLOOKUP(H439,Base_Planos!$A:$G,4,FALSE)</f>
        <v>59.9</v>
      </c>
      <c r="K439" s="4">
        <v>45556</v>
      </c>
      <c r="L439" t="s">
        <v>91</v>
      </c>
      <c r="M439" t="s">
        <v>44</v>
      </c>
      <c r="N439" s="4"/>
      <c r="O439" s="10">
        <f t="shared" ca="1" si="40"/>
        <v>613</v>
      </c>
      <c r="P439" s="10" t="str">
        <f t="shared" ca="1" si="37"/>
        <v>Mais de 1 ano</v>
      </c>
      <c r="Q439">
        <f t="shared" si="42"/>
        <v>0</v>
      </c>
      <c r="R439">
        <v>1</v>
      </c>
      <c r="S439" s="11">
        <f t="shared" si="41"/>
        <v>0</v>
      </c>
      <c r="T439" s="11" t="str">
        <f t="shared" si="38"/>
        <v>Detrator</v>
      </c>
      <c r="U439" s="11" t="str">
        <f t="shared" si="39"/>
        <v>Alto risco</v>
      </c>
      <c r="V439">
        <v>1</v>
      </c>
      <c r="W439">
        <v>61</v>
      </c>
      <c r="X439" s="2">
        <v>52.19</v>
      </c>
      <c r="Y439">
        <v>20</v>
      </c>
      <c r="Z439" t="s">
        <v>35</v>
      </c>
    </row>
    <row r="440" spans="1:26">
      <c r="A440" t="s">
        <v>871</v>
      </c>
      <c r="B440" t="s">
        <v>872</v>
      </c>
      <c r="C440" t="s">
        <v>48</v>
      </c>
      <c r="D440" t="s">
        <v>29</v>
      </c>
      <c r="E440">
        <v>57</v>
      </c>
      <c r="F440" t="s">
        <v>30</v>
      </c>
      <c r="G440" t="s">
        <v>31</v>
      </c>
      <c r="H440" t="s">
        <v>112</v>
      </c>
      <c r="I440" t="e">
        <f ca="1">_xludf.XLOOKUP(H440,Base_Planos!$A:$A,Base_Planos!$B:$B,"Não encontrado")</f>
        <v>#NAME?</v>
      </c>
      <c r="J440" s="2">
        <f>VLOOKUP(H440,Base_Planos!$A:$G,4,FALSE)</f>
        <v>79.900000000000006</v>
      </c>
      <c r="K440" s="4">
        <v>45750</v>
      </c>
      <c r="L440" t="s">
        <v>222</v>
      </c>
      <c r="M440" t="s">
        <v>44</v>
      </c>
      <c r="N440" s="4"/>
      <c r="O440" s="10">
        <f t="shared" ca="1" si="40"/>
        <v>419</v>
      </c>
      <c r="P440" s="10" t="str">
        <f t="shared" ca="1" si="37"/>
        <v>Mais de 1 ano</v>
      </c>
      <c r="Q440">
        <f t="shared" si="42"/>
        <v>0</v>
      </c>
      <c r="R440">
        <v>5</v>
      </c>
      <c r="S440" s="11">
        <f t="shared" si="41"/>
        <v>0</v>
      </c>
      <c r="T440" s="11" t="str">
        <f t="shared" si="38"/>
        <v>Detrator</v>
      </c>
      <c r="U440" s="11" t="str">
        <f t="shared" si="39"/>
        <v>Alto risco</v>
      </c>
      <c r="V440">
        <v>0</v>
      </c>
      <c r="W440">
        <v>86</v>
      </c>
      <c r="X440" s="2">
        <v>83.33</v>
      </c>
      <c r="Y440">
        <v>13</v>
      </c>
      <c r="Z440" t="s">
        <v>35</v>
      </c>
    </row>
    <row r="441" spans="1:26">
      <c r="A441" t="s">
        <v>873</v>
      </c>
      <c r="B441" t="s">
        <v>874</v>
      </c>
      <c r="C441" t="s">
        <v>90</v>
      </c>
      <c r="D441" t="s">
        <v>29</v>
      </c>
      <c r="E441">
        <v>29</v>
      </c>
      <c r="F441" t="s">
        <v>30</v>
      </c>
      <c r="G441" t="s">
        <v>55</v>
      </c>
      <c r="H441" t="s">
        <v>42</v>
      </c>
      <c r="I441" t="e">
        <f ca="1">_xludf.XLOOKUP(H441,Base_Planos!$A:$A,Base_Planos!$B:$B,"Não encontrado")</f>
        <v>#NAME?</v>
      </c>
      <c r="J441" s="2">
        <f>VLOOKUP(H441,Base_Planos!$A:$G,4,FALSE)</f>
        <v>29.9</v>
      </c>
      <c r="K441" s="4">
        <v>45777</v>
      </c>
      <c r="L441" t="s">
        <v>222</v>
      </c>
      <c r="M441" t="s">
        <v>44</v>
      </c>
      <c r="N441" s="4"/>
      <c r="O441" s="10">
        <f t="shared" ca="1" si="40"/>
        <v>392</v>
      </c>
      <c r="P441" s="10" t="str">
        <f t="shared" ca="1" si="37"/>
        <v>Mais de 1 ano</v>
      </c>
      <c r="Q441">
        <f t="shared" si="42"/>
        <v>0</v>
      </c>
      <c r="R441">
        <v>2</v>
      </c>
      <c r="S441" s="11">
        <f t="shared" si="41"/>
        <v>0</v>
      </c>
      <c r="T441" s="11" t="str">
        <f t="shared" si="38"/>
        <v>Detrator</v>
      </c>
      <c r="U441" s="11" t="str">
        <f t="shared" si="39"/>
        <v>Alto risco</v>
      </c>
      <c r="V441">
        <v>0</v>
      </c>
      <c r="W441">
        <v>23</v>
      </c>
      <c r="X441" s="2">
        <v>25.66</v>
      </c>
      <c r="Y441">
        <v>13</v>
      </c>
      <c r="Z441" t="s">
        <v>35</v>
      </c>
    </row>
    <row r="442" spans="1:26">
      <c r="A442" t="s">
        <v>875</v>
      </c>
      <c r="B442" t="s">
        <v>833</v>
      </c>
      <c r="C442" t="s">
        <v>71</v>
      </c>
      <c r="D442" t="s">
        <v>72</v>
      </c>
      <c r="E442">
        <v>28</v>
      </c>
      <c r="F442" t="s">
        <v>30</v>
      </c>
      <c r="G442" t="s">
        <v>104</v>
      </c>
      <c r="H442" t="s">
        <v>32</v>
      </c>
      <c r="I442" t="e">
        <f ca="1">_xludf.XLOOKUP(H442,Base_Planos!$A:$A,Base_Planos!$B:$B,"Não encontrado")</f>
        <v>#NAME?</v>
      </c>
      <c r="J442" s="2">
        <f>VLOOKUP(H442,Base_Planos!$A:$G,4,FALSE)</f>
        <v>39.9</v>
      </c>
      <c r="K442" s="4">
        <v>44941</v>
      </c>
      <c r="L442" t="s">
        <v>153</v>
      </c>
      <c r="M442" t="s">
        <v>34</v>
      </c>
      <c r="N442" s="4">
        <v>45945</v>
      </c>
      <c r="O442" s="10">
        <f t="shared" ca="1" si="40"/>
        <v>1004</v>
      </c>
      <c r="P442" s="10" t="str">
        <f t="shared" ca="1" si="37"/>
        <v>Mais de 1 ano</v>
      </c>
      <c r="Q442">
        <f t="shared" si="42"/>
        <v>1</v>
      </c>
      <c r="R442">
        <v>2</v>
      </c>
      <c r="S442" s="11">
        <f t="shared" si="41"/>
        <v>39.9</v>
      </c>
      <c r="T442" s="11" t="str">
        <f t="shared" si="38"/>
        <v>Detrator</v>
      </c>
      <c r="U442" s="11" t="str">
        <f t="shared" si="39"/>
        <v>Alto risco</v>
      </c>
      <c r="V442">
        <v>1</v>
      </c>
      <c r="W442">
        <v>37</v>
      </c>
      <c r="X442" s="2">
        <v>35.56</v>
      </c>
      <c r="Y442">
        <v>33</v>
      </c>
      <c r="Z442" t="s">
        <v>45</v>
      </c>
    </row>
    <row r="443" spans="1:26">
      <c r="A443" t="s">
        <v>876</v>
      </c>
      <c r="B443" t="s">
        <v>877</v>
      </c>
      <c r="C443" t="s">
        <v>38</v>
      </c>
      <c r="D443" t="s">
        <v>39</v>
      </c>
      <c r="E443">
        <v>46</v>
      </c>
      <c r="F443" t="s">
        <v>54</v>
      </c>
      <c r="G443" t="s">
        <v>96</v>
      </c>
      <c r="H443" t="s">
        <v>61</v>
      </c>
      <c r="I443" t="e">
        <f ca="1">_xludf.XLOOKUP(H443,Base_Planos!$A:$A,Base_Planos!$B:$B,"Não encontrado")</f>
        <v>#NAME?</v>
      </c>
      <c r="J443" s="2">
        <f>VLOOKUP(H443,Base_Planos!$A:$G,4,FALSE)</f>
        <v>59.9</v>
      </c>
      <c r="K443" s="4">
        <v>45004</v>
      </c>
      <c r="L443" t="s">
        <v>68</v>
      </c>
      <c r="M443" t="s">
        <v>44</v>
      </c>
      <c r="N443" s="4"/>
      <c r="O443" s="10">
        <f t="shared" ca="1" si="40"/>
        <v>1165</v>
      </c>
      <c r="P443" s="10" t="str">
        <f t="shared" ca="1" si="37"/>
        <v>Mais de 1 ano</v>
      </c>
      <c r="Q443">
        <f t="shared" si="42"/>
        <v>0</v>
      </c>
      <c r="R443">
        <v>9</v>
      </c>
      <c r="S443" s="11">
        <f t="shared" si="41"/>
        <v>0</v>
      </c>
      <c r="T443" s="11" t="str">
        <f t="shared" si="38"/>
        <v>Promotor</v>
      </c>
      <c r="U443" s="11" t="str">
        <f t="shared" si="39"/>
        <v>Baixo risco</v>
      </c>
      <c r="V443">
        <v>3</v>
      </c>
      <c r="W443">
        <v>86</v>
      </c>
      <c r="X443" s="2">
        <v>60.29</v>
      </c>
      <c r="Y443">
        <v>38</v>
      </c>
      <c r="Z443" t="s">
        <v>50</v>
      </c>
    </row>
    <row r="444" spans="1:26">
      <c r="A444" t="s">
        <v>878</v>
      </c>
      <c r="B444" t="s">
        <v>611</v>
      </c>
      <c r="C444" t="s">
        <v>28</v>
      </c>
      <c r="D444" t="s">
        <v>29</v>
      </c>
      <c r="E444">
        <v>53</v>
      </c>
      <c r="F444" t="s">
        <v>30</v>
      </c>
      <c r="G444" t="s">
        <v>55</v>
      </c>
      <c r="H444" t="s">
        <v>166</v>
      </c>
      <c r="I444" t="e">
        <f ca="1">_xludf.XLOOKUP(H444,Base_Planos!$A:$A,Base_Planos!$B:$B,"Não encontrado")</f>
        <v>#NAME?</v>
      </c>
      <c r="J444" s="2">
        <f>VLOOKUP(H444,Base_Planos!$A:$G,4,FALSE)</f>
        <v>399.9</v>
      </c>
      <c r="K444" s="4">
        <v>45122</v>
      </c>
      <c r="L444" t="s">
        <v>33</v>
      </c>
      <c r="M444" t="s">
        <v>44</v>
      </c>
      <c r="N444" s="4"/>
      <c r="O444" s="10">
        <f t="shared" ca="1" si="40"/>
        <v>1047</v>
      </c>
      <c r="P444" s="10" t="str">
        <f t="shared" ca="1" si="37"/>
        <v>Mais de 1 ano</v>
      </c>
      <c r="Q444">
        <f t="shared" si="42"/>
        <v>0</v>
      </c>
      <c r="R444">
        <v>9</v>
      </c>
      <c r="S444" s="11">
        <f t="shared" si="41"/>
        <v>0</v>
      </c>
      <c r="T444" s="11" t="str">
        <f t="shared" si="38"/>
        <v>Promotor</v>
      </c>
      <c r="U444" s="11" t="str">
        <f t="shared" si="39"/>
        <v>Baixo risco</v>
      </c>
      <c r="V444">
        <v>0</v>
      </c>
      <c r="W444">
        <v>93</v>
      </c>
      <c r="X444" s="2">
        <v>401.53</v>
      </c>
      <c r="Y444">
        <v>34</v>
      </c>
      <c r="Z444" t="s">
        <v>50</v>
      </c>
    </row>
    <row r="445" spans="1:26">
      <c r="A445" t="s">
        <v>879</v>
      </c>
      <c r="B445" t="s">
        <v>880</v>
      </c>
      <c r="C445" t="s">
        <v>140</v>
      </c>
      <c r="D445" t="s">
        <v>141</v>
      </c>
      <c r="E445">
        <v>21</v>
      </c>
      <c r="F445" t="s">
        <v>30</v>
      </c>
      <c r="G445" t="s">
        <v>96</v>
      </c>
      <c r="H445" t="s">
        <v>61</v>
      </c>
      <c r="I445" t="e">
        <f ca="1">_xludf.XLOOKUP(H445,Base_Planos!$A:$A,Base_Planos!$B:$B,"Não encontrado")</f>
        <v>#NAME?</v>
      </c>
      <c r="J445" s="2">
        <f>VLOOKUP(H445,Base_Planos!$A:$G,4,FALSE)</f>
        <v>59.9</v>
      </c>
      <c r="K445" s="4">
        <v>45898</v>
      </c>
      <c r="L445" t="s">
        <v>159</v>
      </c>
      <c r="M445" t="s">
        <v>44</v>
      </c>
      <c r="N445" s="4"/>
      <c r="O445" s="10">
        <f t="shared" ca="1" si="40"/>
        <v>271</v>
      </c>
      <c r="P445" s="10" t="str">
        <f t="shared" ca="1" si="37"/>
        <v>181 a 365 dias</v>
      </c>
      <c r="Q445">
        <f t="shared" si="42"/>
        <v>0</v>
      </c>
      <c r="R445">
        <v>7</v>
      </c>
      <c r="S445" s="11">
        <f t="shared" si="41"/>
        <v>0</v>
      </c>
      <c r="T445" s="11" t="str">
        <f t="shared" si="38"/>
        <v>Neutro</v>
      </c>
      <c r="U445" s="11" t="str">
        <f t="shared" si="39"/>
        <v>Médio risco</v>
      </c>
      <c r="V445">
        <v>0</v>
      </c>
      <c r="W445">
        <v>94</v>
      </c>
      <c r="X445" s="2">
        <v>54.33</v>
      </c>
      <c r="Y445">
        <v>9</v>
      </c>
      <c r="Z445" t="s">
        <v>50</v>
      </c>
    </row>
    <row r="446" spans="1:26">
      <c r="A446" t="s">
        <v>881</v>
      </c>
      <c r="B446" t="s">
        <v>882</v>
      </c>
      <c r="C446" t="s">
        <v>108</v>
      </c>
      <c r="D446" t="s">
        <v>109</v>
      </c>
      <c r="E446">
        <v>57</v>
      </c>
      <c r="F446" t="s">
        <v>40</v>
      </c>
      <c r="G446" t="s">
        <v>104</v>
      </c>
      <c r="H446" t="s">
        <v>32</v>
      </c>
      <c r="I446" t="e">
        <f ca="1">_xludf.XLOOKUP(H446,Base_Planos!$A:$A,Base_Planos!$B:$B,"Não encontrado")</f>
        <v>#NAME?</v>
      </c>
      <c r="J446" s="2">
        <f>VLOOKUP(H446,Base_Planos!$A:$G,4,FALSE)</f>
        <v>39.9</v>
      </c>
      <c r="K446" s="4">
        <v>45034</v>
      </c>
      <c r="L446" t="s">
        <v>118</v>
      </c>
      <c r="M446" t="s">
        <v>34</v>
      </c>
      <c r="N446" s="4">
        <v>45545</v>
      </c>
      <c r="O446" s="10">
        <f t="shared" ca="1" si="40"/>
        <v>511</v>
      </c>
      <c r="P446" s="10" t="str">
        <f t="shared" ca="1" si="37"/>
        <v>Mais de 1 ano</v>
      </c>
      <c r="Q446">
        <f t="shared" si="42"/>
        <v>1</v>
      </c>
      <c r="R446">
        <v>8</v>
      </c>
      <c r="S446" s="11">
        <f t="shared" si="41"/>
        <v>39.9</v>
      </c>
      <c r="T446" s="11" t="str">
        <f t="shared" si="38"/>
        <v>Neutro</v>
      </c>
      <c r="U446" s="11" t="str">
        <f t="shared" si="39"/>
        <v>Alto risco</v>
      </c>
      <c r="V446">
        <v>0</v>
      </c>
      <c r="W446">
        <v>100</v>
      </c>
      <c r="X446" s="2">
        <v>38.64</v>
      </c>
      <c r="Y446">
        <v>17</v>
      </c>
      <c r="Z446" t="s">
        <v>50</v>
      </c>
    </row>
    <row r="447" spans="1:26">
      <c r="A447" t="s">
        <v>883</v>
      </c>
      <c r="B447" t="s">
        <v>694</v>
      </c>
      <c r="C447" t="s">
        <v>59</v>
      </c>
      <c r="D447" t="s">
        <v>60</v>
      </c>
      <c r="E447">
        <v>65</v>
      </c>
      <c r="F447" t="s">
        <v>40</v>
      </c>
      <c r="G447" t="s">
        <v>165</v>
      </c>
      <c r="H447" t="s">
        <v>42</v>
      </c>
      <c r="I447" t="e">
        <f ca="1">_xludf.XLOOKUP(H447,Base_Planos!$A:$A,Base_Planos!$B:$B,"Não encontrado")</f>
        <v>#NAME?</v>
      </c>
      <c r="J447" s="2">
        <f>VLOOKUP(H447,Base_Planos!$A:$G,4,FALSE)</f>
        <v>29.9</v>
      </c>
      <c r="K447" s="4">
        <v>45152</v>
      </c>
      <c r="L447" t="s">
        <v>162</v>
      </c>
      <c r="M447" t="s">
        <v>44</v>
      </c>
      <c r="N447" s="4"/>
      <c r="O447" s="10">
        <f t="shared" ca="1" si="40"/>
        <v>1017</v>
      </c>
      <c r="P447" s="10" t="str">
        <f t="shared" ca="1" si="37"/>
        <v>Mais de 1 ano</v>
      </c>
      <c r="Q447">
        <f t="shared" si="42"/>
        <v>0</v>
      </c>
      <c r="R447">
        <v>5</v>
      </c>
      <c r="S447" s="11">
        <f t="shared" si="41"/>
        <v>0</v>
      </c>
      <c r="T447" s="11" t="str">
        <f t="shared" si="38"/>
        <v>Detrator</v>
      </c>
      <c r="U447" s="11" t="str">
        <f t="shared" si="39"/>
        <v>Alto risco</v>
      </c>
      <c r="V447">
        <v>0</v>
      </c>
      <c r="W447">
        <v>77</v>
      </c>
      <c r="X447" s="2">
        <v>30.75</v>
      </c>
      <c r="Y447">
        <v>33</v>
      </c>
      <c r="Z447" t="s">
        <v>50</v>
      </c>
    </row>
    <row r="448" spans="1:26">
      <c r="A448" t="s">
        <v>884</v>
      </c>
      <c r="B448" t="s">
        <v>885</v>
      </c>
      <c r="C448" t="s">
        <v>90</v>
      </c>
      <c r="D448" t="s">
        <v>29</v>
      </c>
      <c r="E448">
        <v>49</v>
      </c>
      <c r="F448" t="s">
        <v>30</v>
      </c>
      <c r="G448" t="s">
        <v>41</v>
      </c>
      <c r="H448" t="s">
        <v>32</v>
      </c>
      <c r="I448" t="e">
        <f ca="1">_xludf.XLOOKUP(H448,Base_Planos!$A:$A,Base_Planos!$B:$B,"Não encontrado")</f>
        <v>#NAME?</v>
      </c>
      <c r="J448" s="2">
        <f>VLOOKUP(H448,Base_Planos!$A:$G,4,FALSE)</f>
        <v>39.9</v>
      </c>
      <c r="K448" s="4">
        <v>45858</v>
      </c>
      <c r="L448" t="s">
        <v>212</v>
      </c>
      <c r="M448" t="s">
        <v>44</v>
      </c>
      <c r="N448" s="4"/>
      <c r="O448" s="10">
        <f t="shared" ca="1" si="40"/>
        <v>311</v>
      </c>
      <c r="P448" s="10" t="str">
        <f t="shared" ca="1" si="37"/>
        <v>181 a 365 dias</v>
      </c>
      <c r="Q448">
        <f t="shared" si="42"/>
        <v>0</v>
      </c>
      <c r="R448">
        <v>2</v>
      </c>
      <c r="S448" s="11">
        <f t="shared" si="41"/>
        <v>0</v>
      </c>
      <c r="T448" s="11" t="str">
        <f t="shared" si="38"/>
        <v>Detrator</v>
      </c>
      <c r="U448" s="11" t="str">
        <f t="shared" si="39"/>
        <v>Alto risco</v>
      </c>
      <c r="V448">
        <v>1</v>
      </c>
      <c r="W448">
        <v>66</v>
      </c>
      <c r="X448" s="2">
        <v>41.7</v>
      </c>
      <c r="Y448">
        <v>10</v>
      </c>
      <c r="Z448" t="s">
        <v>35</v>
      </c>
    </row>
    <row r="449" spans="1:26">
      <c r="A449" t="s">
        <v>886</v>
      </c>
      <c r="B449" t="s">
        <v>887</v>
      </c>
      <c r="C449" t="s">
        <v>94</v>
      </c>
      <c r="D449" t="s">
        <v>95</v>
      </c>
      <c r="E449">
        <v>20</v>
      </c>
      <c r="F449" t="s">
        <v>40</v>
      </c>
      <c r="G449" t="s">
        <v>67</v>
      </c>
      <c r="H449" t="s">
        <v>42</v>
      </c>
      <c r="I449" t="e">
        <f ca="1">_xludf.XLOOKUP(H449,Base_Planos!$A:$A,Base_Planos!$B:$B,"Não encontrado")</f>
        <v>#NAME?</v>
      </c>
      <c r="J449" s="2">
        <f>VLOOKUP(H449,Base_Planos!$A:$G,4,FALSE)</f>
        <v>29.9</v>
      </c>
      <c r="K449" s="4">
        <v>45154</v>
      </c>
      <c r="L449" t="s">
        <v>162</v>
      </c>
      <c r="M449" t="s">
        <v>44</v>
      </c>
      <c r="N449" s="4"/>
      <c r="O449" s="10">
        <f t="shared" ca="1" si="40"/>
        <v>1015</v>
      </c>
      <c r="P449" s="10" t="str">
        <f t="shared" ca="1" si="37"/>
        <v>Mais de 1 ano</v>
      </c>
      <c r="Q449">
        <f t="shared" si="42"/>
        <v>0</v>
      </c>
      <c r="R449">
        <v>7</v>
      </c>
      <c r="S449" s="11">
        <f t="shared" si="41"/>
        <v>0</v>
      </c>
      <c r="T449" s="11" t="str">
        <f t="shared" si="38"/>
        <v>Neutro</v>
      </c>
      <c r="U449" s="11" t="str">
        <f t="shared" si="39"/>
        <v>Médio risco</v>
      </c>
      <c r="V449">
        <v>0</v>
      </c>
      <c r="W449">
        <v>61</v>
      </c>
      <c r="X449" s="2">
        <v>29.02</v>
      </c>
      <c r="Y449">
        <v>33</v>
      </c>
      <c r="Z449" t="s">
        <v>50</v>
      </c>
    </row>
    <row r="450" spans="1:26">
      <c r="A450" t="s">
        <v>888</v>
      </c>
      <c r="B450" t="s">
        <v>889</v>
      </c>
      <c r="C450" t="s">
        <v>94</v>
      </c>
      <c r="D450" t="s">
        <v>95</v>
      </c>
      <c r="E450">
        <v>54</v>
      </c>
      <c r="F450" t="s">
        <v>201</v>
      </c>
      <c r="G450" t="s">
        <v>31</v>
      </c>
      <c r="H450" t="s">
        <v>32</v>
      </c>
      <c r="I450" t="e">
        <f ca="1">_xludf.XLOOKUP(H450,Base_Planos!$A:$A,Base_Planos!$B:$B,"Não encontrado")</f>
        <v>#NAME?</v>
      </c>
      <c r="J450" s="2">
        <f>VLOOKUP(H450,Base_Planos!$A:$G,4,FALSE)</f>
        <v>39.9</v>
      </c>
      <c r="K450" s="4">
        <v>45995</v>
      </c>
      <c r="L450" t="s">
        <v>170</v>
      </c>
      <c r="M450" t="s">
        <v>44</v>
      </c>
      <c r="N450" s="4"/>
      <c r="O450" s="10">
        <f t="shared" ca="1" si="40"/>
        <v>174</v>
      </c>
      <c r="P450" s="10" t="str">
        <f t="shared" ref="P450:P513" ca="1" si="43">IF(O450&lt;=30,"Até 30 dias",IF(O450&lt;=90,"31 a 90 dias",IF(O450&lt;=180,"91 a 180 dias",IF(O450&lt;=365,"181 a 365 dias","Mais de 1 ano"))))</f>
        <v>91 a 180 dias</v>
      </c>
      <c r="Q450">
        <f t="shared" si="42"/>
        <v>0</v>
      </c>
      <c r="R450">
        <v>7</v>
      </c>
      <c r="S450" s="11">
        <f t="shared" si="41"/>
        <v>0</v>
      </c>
      <c r="T450" s="11" t="str">
        <f t="shared" ref="T450:T513" si="44">IF(R450&lt;=6,"Detrator",IF(R450&lt;=8,"Neutro","Promotor"))</f>
        <v>Neutro</v>
      </c>
      <c r="U450" s="11" t="str">
        <f t="shared" ref="U450:U513" si="45">IF(Q450=1,"Alto risco",IF(R450&lt;=6,"Alto risco",IF(R450&lt;=8,"Médio risco","Baixo risco")))</f>
        <v>Médio risco</v>
      </c>
      <c r="V450">
        <v>0</v>
      </c>
      <c r="W450">
        <v>42</v>
      </c>
      <c r="X450" s="2">
        <v>34.03</v>
      </c>
      <c r="Y450">
        <v>5</v>
      </c>
      <c r="Z450" t="s">
        <v>50</v>
      </c>
    </row>
    <row r="451" spans="1:26">
      <c r="A451" t="s">
        <v>890</v>
      </c>
      <c r="B451" t="s">
        <v>891</v>
      </c>
      <c r="C451" t="s">
        <v>59</v>
      </c>
      <c r="D451" t="s">
        <v>60</v>
      </c>
      <c r="E451">
        <v>38</v>
      </c>
      <c r="F451" t="s">
        <v>54</v>
      </c>
      <c r="G451" t="s">
        <v>31</v>
      </c>
      <c r="H451" t="s">
        <v>86</v>
      </c>
      <c r="I451" t="e">
        <f ca="1">_xludf.XLOOKUP(H451,Base_Planos!$A:$A,Base_Planos!$B:$B,"Não encontrado")</f>
        <v>#NAME?</v>
      </c>
      <c r="J451" s="2">
        <f>VLOOKUP(H451,Base_Planos!$A:$G,4,FALSE)</f>
        <v>119.9</v>
      </c>
      <c r="K451" s="4">
        <v>46138</v>
      </c>
      <c r="L451" t="s">
        <v>43</v>
      </c>
      <c r="M451" t="s">
        <v>34</v>
      </c>
      <c r="N451" s="4">
        <v>46169</v>
      </c>
      <c r="O451" s="10">
        <f t="shared" ref="O451:O514" ca="1" si="46">IF(M451="Cancelado",N451-K451,TODAY()-K451)</f>
        <v>31</v>
      </c>
      <c r="P451" s="10" t="str">
        <f t="shared" ca="1" si="43"/>
        <v>31 a 90 dias</v>
      </c>
      <c r="Q451">
        <f t="shared" si="42"/>
        <v>1</v>
      </c>
      <c r="R451">
        <v>2</v>
      </c>
      <c r="S451" s="11">
        <f t="shared" ref="S451:S514" si="47">IF(Q451=1,J451,0)</f>
        <v>119.9</v>
      </c>
      <c r="T451" s="11" t="str">
        <f t="shared" si="44"/>
        <v>Detrator</v>
      </c>
      <c r="U451" s="11" t="str">
        <f t="shared" si="45"/>
        <v>Alto risco</v>
      </c>
      <c r="V451">
        <v>0</v>
      </c>
      <c r="W451">
        <v>26</v>
      </c>
      <c r="X451" s="2">
        <v>114.01</v>
      </c>
      <c r="Y451">
        <v>1</v>
      </c>
      <c r="Z451" t="s">
        <v>45</v>
      </c>
    </row>
    <row r="452" spans="1:26">
      <c r="A452" t="s">
        <v>892</v>
      </c>
      <c r="B452" t="s">
        <v>706</v>
      </c>
      <c r="C452" t="s">
        <v>71</v>
      </c>
      <c r="D452" t="s">
        <v>72</v>
      </c>
      <c r="E452">
        <v>48</v>
      </c>
      <c r="F452" t="s">
        <v>40</v>
      </c>
      <c r="G452" t="s">
        <v>55</v>
      </c>
      <c r="H452" t="s">
        <v>112</v>
      </c>
      <c r="I452" t="e">
        <f ca="1">_xludf.XLOOKUP(H452,Base_Planos!$A:$A,Base_Planos!$B:$B,"Não encontrado")</f>
        <v>#NAME?</v>
      </c>
      <c r="J452" s="2">
        <f>VLOOKUP(H452,Base_Planos!$A:$G,4,FALSE)</f>
        <v>79.900000000000006</v>
      </c>
      <c r="K452" s="4">
        <v>45419</v>
      </c>
      <c r="L452" t="s">
        <v>130</v>
      </c>
      <c r="M452" t="s">
        <v>44</v>
      </c>
      <c r="N452" s="4"/>
      <c r="O452" s="10">
        <f t="shared" ca="1" si="46"/>
        <v>750</v>
      </c>
      <c r="P452" s="10" t="str">
        <f t="shared" ca="1" si="43"/>
        <v>Mais de 1 ano</v>
      </c>
      <c r="Q452">
        <f t="shared" si="42"/>
        <v>0</v>
      </c>
      <c r="R452">
        <v>1</v>
      </c>
      <c r="S452" s="11">
        <f t="shared" si="47"/>
        <v>0</v>
      </c>
      <c r="T452" s="11" t="str">
        <f t="shared" si="44"/>
        <v>Detrator</v>
      </c>
      <c r="U452" s="11" t="str">
        <f t="shared" si="45"/>
        <v>Alto risco</v>
      </c>
      <c r="V452">
        <v>1</v>
      </c>
      <c r="W452">
        <v>55</v>
      </c>
      <c r="X452" s="2">
        <v>70.040000000000006</v>
      </c>
      <c r="Y452">
        <v>25</v>
      </c>
      <c r="Z452" t="s">
        <v>35</v>
      </c>
    </row>
    <row r="453" spans="1:26">
      <c r="A453" t="s">
        <v>893</v>
      </c>
      <c r="B453" t="s">
        <v>158</v>
      </c>
      <c r="C453" t="s">
        <v>65</v>
      </c>
      <c r="D453" t="s">
        <v>29</v>
      </c>
      <c r="E453">
        <v>23</v>
      </c>
      <c r="F453" t="s">
        <v>30</v>
      </c>
      <c r="G453" t="s">
        <v>73</v>
      </c>
      <c r="H453" t="s">
        <v>32</v>
      </c>
      <c r="I453" t="e">
        <f ca="1">_xludf.XLOOKUP(H453,Base_Planos!$A:$A,Base_Planos!$B:$B,"Não encontrado")</f>
        <v>#NAME?</v>
      </c>
      <c r="J453" s="2">
        <f>VLOOKUP(H453,Base_Planos!$A:$G,4,FALSE)</f>
        <v>39.9</v>
      </c>
      <c r="K453" s="4">
        <v>45867</v>
      </c>
      <c r="L453" t="s">
        <v>212</v>
      </c>
      <c r="M453" t="s">
        <v>44</v>
      </c>
      <c r="N453" s="4"/>
      <c r="O453" s="10">
        <f t="shared" ca="1" si="46"/>
        <v>302</v>
      </c>
      <c r="P453" s="10" t="str">
        <f t="shared" ca="1" si="43"/>
        <v>181 a 365 dias</v>
      </c>
      <c r="Q453">
        <f t="shared" si="42"/>
        <v>0</v>
      </c>
      <c r="R453">
        <v>9</v>
      </c>
      <c r="S453" s="11">
        <f t="shared" si="47"/>
        <v>0</v>
      </c>
      <c r="T453" s="11" t="str">
        <f t="shared" si="44"/>
        <v>Promotor</v>
      </c>
      <c r="U453" s="11" t="str">
        <f t="shared" si="45"/>
        <v>Baixo risco</v>
      </c>
      <c r="V453">
        <v>0</v>
      </c>
      <c r="W453">
        <v>50</v>
      </c>
      <c r="X453" s="2">
        <v>40.89</v>
      </c>
      <c r="Y453">
        <v>10</v>
      </c>
      <c r="Z453" t="s">
        <v>50</v>
      </c>
    </row>
    <row r="454" spans="1:26">
      <c r="A454" t="s">
        <v>894</v>
      </c>
      <c r="B454" t="s">
        <v>780</v>
      </c>
      <c r="C454" t="s">
        <v>48</v>
      </c>
      <c r="D454" t="s">
        <v>29</v>
      </c>
      <c r="E454">
        <v>41</v>
      </c>
      <c r="F454" t="s">
        <v>40</v>
      </c>
      <c r="G454" t="s">
        <v>67</v>
      </c>
      <c r="H454" t="s">
        <v>86</v>
      </c>
      <c r="I454" t="e">
        <f ca="1">_xludf.XLOOKUP(H454,Base_Planos!$A:$A,Base_Planos!$B:$B,"Não encontrado")</f>
        <v>#NAME?</v>
      </c>
      <c r="J454" s="2">
        <f>VLOOKUP(H454,Base_Planos!$A:$G,4,FALSE)</f>
        <v>119.9</v>
      </c>
      <c r="K454" s="4">
        <v>45071</v>
      </c>
      <c r="L454" t="s">
        <v>115</v>
      </c>
      <c r="M454" t="s">
        <v>44</v>
      </c>
      <c r="N454" s="4"/>
      <c r="O454" s="10">
        <f t="shared" ca="1" si="46"/>
        <v>1098</v>
      </c>
      <c r="P454" s="10" t="str">
        <f t="shared" ca="1" si="43"/>
        <v>Mais de 1 ano</v>
      </c>
      <c r="Q454">
        <f t="shared" si="42"/>
        <v>0</v>
      </c>
      <c r="R454">
        <v>6</v>
      </c>
      <c r="S454" s="11">
        <f t="shared" si="47"/>
        <v>0</v>
      </c>
      <c r="T454" s="11" t="str">
        <f t="shared" si="44"/>
        <v>Detrator</v>
      </c>
      <c r="U454" s="11" t="str">
        <f t="shared" si="45"/>
        <v>Alto risco</v>
      </c>
      <c r="V454">
        <v>0</v>
      </c>
      <c r="W454">
        <v>41</v>
      </c>
      <c r="X454" s="2">
        <v>108.38</v>
      </c>
      <c r="Y454">
        <v>36</v>
      </c>
      <c r="Z454" t="s">
        <v>35</v>
      </c>
    </row>
    <row r="455" spans="1:26">
      <c r="A455" t="s">
        <v>895</v>
      </c>
      <c r="B455" t="s">
        <v>178</v>
      </c>
      <c r="C455" t="s">
        <v>90</v>
      </c>
      <c r="D455" t="s">
        <v>29</v>
      </c>
      <c r="E455">
        <v>31</v>
      </c>
      <c r="F455" t="s">
        <v>40</v>
      </c>
      <c r="G455" t="s">
        <v>55</v>
      </c>
      <c r="H455" t="s">
        <v>61</v>
      </c>
      <c r="I455" t="e">
        <f ca="1">_xludf.XLOOKUP(H455,Base_Planos!$A:$A,Base_Planos!$B:$B,"Não encontrado")</f>
        <v>#NAME?</v>
      </c>
      <c r="J455" s="2">
        <f>VLOOKUP(H455,Base_Planos!$A:$G,4,FALSE)</f>
        <v>59.9</v>
      </c>
      <c r="K455" s="4">
        <v>45614</v>
      </c>
      <c r="L455" t="s">
        <v>83</v>
      </c>
      <c r="M455" t="s">
        <v>34</v>
      </c>
      <c r="N455" s="4">
        <v>46036</v>
      </c>
      <c r="O455" s="10">
        <f t="shared" ca="1" si="46"/>
        <v>422</v>
      </c>
      <c r="P455" s="10" t="str">
        <f t="shared" ca="1" si="43"/>
        <v>Mais de 1 ano</v>
      </c>
      <c r="Q455">
        <f t="shared" si="42"/>
        <v>1</v>
      </c>
      <c r="R455">
        <v>0</v>
      </c>
      <c r="S455" s="11">
        <f t="shared" si="47"/>
        <v>59.9</v>
      </c>
      <c r="T455" s="11" t="str">
        <f t="shared" si="44"/>
        <v>Detrator</v>
      </c>
      <c r="U455" s="11" t="str">
        <f t="shared" si="45"/>
        <v>Alto risco</v>
      </c>
      <c r="V455">
        <v>0</v>
      </c>
      <c r="W455">
        <v>51</v>
      </c>
      <c r="X455" s="2">
        <v>58.33</v>
      </c>
      <c r="Y455">
        <v>14</v>
      </c>
      <c r="Z455" t="s">
        <v>35</v>
      </c>
    </row>
    <row r="456" spans="1:26">
      <c r="A456" t="s">
        <v>896</v>
      </c>
      <c r="B456" t="s">
        <v>58</v>
      </c>
      <c r="C456" t="s">
        <v>94</v>
      </c>
      <c r="D456" t="s">
        <v>95</v>
      </c>
      <c r="E456">
        <v>59</v>
      </c>
      <c r="F456" t="s">
        <v>54</v>
      </c>
      <c r="G456" t="s">
        <v>55</v>
      </c>
      <c r="H456" t="s">
        <v>61</v>
      </c>
      <c r="I456" t="e">
        <f ca="1">_xludf.XLOOKUP(H456,Base_Planos!$A:$A,Base_Planos!$B:$B,"Não encontrado")</f>
        <v>#NAME?</v>
      </c>
      <c r="J456" s="2">
        <f>VLOOKUP(H456,Base_Planos!$A:$G,4,FALSE)</f>
        <v>59.9</v>
      </c>
      <c r="K456" s="4">
        <v>45346</v>
      </c>
      <c r="L456" t="s">
        <v>297</v>
      </c>
      <c r="M456" t="s">
        <v>44</v>
      </c>
      <c r="N456" s="4"/>
      <c r="O456" s="10">
        <f t="shared" ca="1" si="46"/>
        <v>823</v>
      </c>
      <c r="P456" s="10" t="str">
        <f t="shared" ca="1" si="43"/>
        <v>Mais de 1 ano</v>
      </c>
      <c r="Q456">
        <f t="shared" si="42"/>
        <v>0</v>
      </c>
      <c r="R456">
        <v>2</v>
      </c>
      <c r="S456" s="11">
        <f t="shared" si="47"/>
        <v>0</v>
      </c>
      <c r="T456" s="11" t="str">
        <f t="shared" si="44"/>
        <v>Detrator</v>
      </c>
      <c r="U456" s="11" t="str">
        <f t="shared" si="45"/>
        <v>Alto risco</v>
      </c>
      <c r="V456">
        <v>0</v>
      </c>
      <c r="W456">
        <v>54</v>
      </c>
      <c r="X456" s="2">
        <v>62.17</v>
      </c>
      <c r="Y456">
        <v>27</v>
      </c>
      <c r="Z456" t="s">
        <v>35</v>
      </c>
    </row>
    <row r="457" spans="1:26">
      <c r="A457" t="s">
        <v>897</v>
      </c>
      <c r="B457" t="s">
        <v>266</v>
      </c>
      <c r="C457" t="s">
        <v>48</v>
      </c>
      <c r="D457" t="s">
        <v>29</v>
      </c>
      <c r="E457">
        <v>65</v>
      </c>
      <c r="F457" t="s">
        <v>40</v>
      </c>
      <c r="G457" t="s">
        <v>165</v>
      </c>
      <c r="H457" t="s">
        <v>112</v>
      </c>
      <c r="I457" t="e">
        <f ca="1">_xludf.XLOOKUP(H457,Base_Planos!$A:$A,Base_Planos!$B:$B,"Não encontrado")</f>
        <v>#NAME?</v>
      </c>
      <c r="J457" s="2">
        <f>VLOOKUP(H457,Base_Planos!$A:$G,4,FALSE)</f>
        <v>79.900000000000006</v>
      </c>
      <c r="K457" s="4">
        <v>45474</v>
      </c>
      <c r="L457" t="s">
        <v>142</v>
      </c>
      <c r="M457" t="s">
        <v>44</v>
      </c>
      <c r="N457" s="4"/>
      <c r="O457" s="10">
        <f t="shared" ca="1" si="46"/>
        <v>695</v>
      </c>
      <c r="P457" s="10" t="str">
        <f t="shared" ca="1" si="43"/>
        <v>Mais de 1 ano</v>
      </c>
      <c r="Q457">
        <f t="shared" si="42"/>
        <v>0</v>
      </c>
      <c r="R457">
        <v>8</v>
      </c>
      <c r="S457" s="11">
        <f t="shared" si="47"/>
        <v>0</v>
      </c>
      <c r="T457" s="11" t="str">
        <f t="shared" si="44"/>
        <v>Neutro</v>
      </c>
      <c r="U457" s="11" t="str">
        <f t="shared" si="45"/>
        <v>Médio risco</v>
      </c>
      <c r="V457">
        <v>0</v>
      </c>
      <c r="W457">
        <v>36</v>
      </c>
      <c r="X457" s="2">
        <v>75.680000000000007</v>
      </c>
      <c r="Y457">
        <v>23</v>
      </c>
      <c r="Z457" t="s">
        <v>50</v>
      </c>
    </row>
    <row r="458" spans="1:26">
      <c r="A458" t="s">
        <v>898</v>
      </c>
      <c r="B458" t="s">
        <v>899</v>
      </c>
      <c r="C458" t="s">
        <v>77</v>
      </c>
      <c r="D458" t="s">
        <v>78</v>
      </c>
      <c r="E458">
        <v>63</v>
      </c>
      <c r="F458" t="s">
        <v>54</v>
      </c>
      <c r="G458" t="s">
        <v>73</v>
      </c>
      <c r="H458" t="s">
        <v>112</v>
      </c>
      <c r="I458" t="e">
        <f ca="1">_xludf.XLOOKUP(H458,Base_Planos!$A:$A,Base_Planos!$B:$B,"Não encontrado")</f>
        <v>#NAME?</v>
      </c>
      <c r="J458" s="2">
        <f>VLOOKUP(H458,Base_Planos!$A:$G,4,FALSE)</f>
        <v>79.900000000000006</v>
      </c>
      <c r="K458" s="4">
        <v>45680</v>
      </c>
      <c r="L458" t="s">
        <v>261</v>
      </c>
      <c r="M458" t="s">
        <v>34</v>
      </c>
      <c r="N458" s="4">
        <v>46166</v>
      </c>
      <c r="O458" s="10">
        <f t="shared" ca="1" si="46"/>
        <v>486</v>
      </c>
      <c r="P458" s="10" t="str">
        <f t="shared" ca="1" si="43"/>
        <v>Mais de 1 ano</v>
      </c>
      <c r="Q458">
        <f t="shared" si="42"/>
        <v>1</v>
      </c>
      <c r="R458">
        <v>10</v>
      </c>
      <c r="S458" s="11">
        <f t="shared" si="47"/>
        <v>79.900000000000006</v>
      </c>
      <c r="T458" s="11" t="str">
        <f t="shared" si="44"/>
        <v>Promotor</v>
      </c>
      <c r="U458" s="11" t="str">
        <f t="shared" si="45"/>
        <v>Alto risco</v>
      </c>
      <c r="V458">
        <v>3</v>
      </c>
      <c r="W458">
        <v>39</v>
      </c>
      <c r="X458" s="2">
        <v>69.31</v>
      </c>
      <c r="Y458">
        <v>16</v>
      </c>
      <c r="Z458" t="s">
        <v>35</v>
      </c>
    </row>
    <row r="459" spans="1:26">
      <c r="A459" t="s">
        <v>900</v>
      </c>
      <c r="B459" t="s">
        <v>780</v>
      </c>
      <c r="C459" t="s">
        <v>140</v>
      </c>
      <c r="D459" t="s">
        <v>141</v>
      </c>
      <c r="E459">
        <v>22</v>
      </c>
      <c r="F459" t="s">
        <v>30</v>
      </c>
      <c r="G459" t="s">
        <v>73</v>
      </c>
      <c r="H459" t="s">
        <v>32</v>
      </c>
      <c r="I459" t="e">
        <f ca="1">_xludf.XLOOKUP(H459,Base_Planos!$A:$A,Base_Planos!$B:$B,"Não encontrado")</f>
        <v>#NAME?</v>
      </c>
      <c r="J459" s="2">
        <f>VLOOKUP(H459,Base_Planos!$A:$G,4,FALSE)</f>
        <v>39.9</v>
      </c>
      <c r="K459" s="4">
        <v>45230</v>
      </c>
      <c r="L459" t="s">
        <v>215</v>
      </c>
      <c r="M459" t="s">
        <v>34</v>
      </c>
      <c r="N459" s="4">
        <v>45686</v>
      </c>
      <c r="O459" s="10">
        <f t="shared" ca="1" si="46"/>
        <v>456</v>
      </c>
      <c r="P459" s="10" t="str">
        <f t="shared" ca="1" si="43"/>
        <v>Mais de 1 ano</v>
      </c>
      <c r="Q459">
        <f t="shared" si="42"/>
        <v>1</v>
      </c>
      <c r="R459">
        <v>7</v>
      </c>
      <c r="S459" s="11">
        <f t="shared" si="47"/>
        <v>39.9</v>
      </c>
      <c r="T459" s="11" t="str">
        <f t="shared" si="44"/>
        <v>Neutro</v>
      </c>
      <c r="U459" s="11" t="str">
        <f t="shared" si="45"/>
        <v>Alto risco</v>
      </c>
      <c r="V459">
        <v>3</v>
      </c>
      <c r="W459">
        <v>72</v>
      </c>
      <c r="X459" s="2">
        <v>37.700000000000003</v>
      </c>
      <c r="Y459">
        <v>15</v>
      </c>
      <c r="Z459" t="s">
        <v>50</v>
      </c>
    </row>
    <row r="460" spans="1:26">
      <c r="A460" t="s">
        <v>901</v>
      </c>
      <c r="B460" t="s">
        <v>902</v>
      </c>
      <c r="C460" t="s">
        <v>137</v>
      </c>
      <c r="D460" t="s">
        <v>29</v>
      </c>
      <c r="E460">
        <v>59</v>
      </c>
      <c r="F460" t="s">
        <v>30</v>
      </c>
      <c r="G460" t="s">
        <v>31</v>
      </c>
      <c r="H460" t="s">
        <v>32</v>
      </c>
      <c r="I460" t="e">
        <f ca="1">_xludf.XLOOKUP(H460,Base_Planos!$A:$A,Base_Planos!$B:$B,"Não encontrado")</f>
        <v>#NAME?</v>
      </c>
      <c r="J460" s="2">
        <f>VLOOKUP(H460,Base_Planos!$A:$G,4,FALSE)</f>
        <v>39.9</v>
      </c>
      <c r="K460" s="4">
        <v>45402</v>
      </c>
      <c r="L460" t="s">
        <v>56</v>
      </c>
      <c r="M460" t="s">
        <v>44</v>
      </c>
      <c r="N460" s="4"/>
      <c r="O460" s="10">
        <f t="shared" ca="1" si="46"/>
        <v>767</v>
      </c>
      <c r="P460" s="10" t="str">
        <f t="shared" ca="1" si="43"/>
        <v>Mais de 1 ano</v>
      </c>
      <c r="Q460">
        <f t="shared" si="42"/>
        <v>0</v>
      </c>
      <c r="R460">
        <v>8</v>
      </c>
      <c r="S460" s="11">
        <f t="shared" si="47"/>
        <v>0</v>
      </c>
      <c r="T460" s="11" t="str">
        <f t="shared" si="44"/>
        <v>Neutro</v>
      </c>
      <c r="U460" s="11" t="str">
        <f t="shared" si="45"/>
        <v>Médio risco</v>
      </c>
      <c r="V460">
        <v>0</v>
      </c>
      <c r="W460">
        <v>34</v>
      </c>
      <c r="X460" s="2">
        <v>36.520000000000003</v>
      </c>
      <c r="Y460">
        <v>25</v>
      </c>
      <c r="Z460" t="s">
        <v>50</v>
      </c>
    </row>
    <row r="461" spans="1:26">
      <c r="A461" t="s">
        <v>903</v>
      </c>
      <c r="B461" t="s">
        <v>633</v>
      </c>
      <c r="C461" t="s">
        <v>53</v>
      </c>
      <c r="D461" t="s">
        <v>29</v>
      </c>
      <c r="E461">
        <v>53</v>
      </c>
      <c r="F461" t="s">
        <v>54</v>
      </c>
      <c r="G461" t="s">
        <v>73</v>
      </c>
      <c r="H461" t="s">
        <v>61</v>
      </c>
      <c r="I461" t="e">
        <f ca="1">_xludf.XLOOKUP(H461,Base_Planos!$A:$A,Base_Planos!$B:$B,"Não encontrado")</f>
        <v>#NAME?</v>
      </c>
      <c r="J461" s="2">
        <f>VLOOKUP(H461,Base_Planos!$A:$G,4,FALSE)</f>
        <v>59.9</v>
      </c>
      <c r="K461" s="4">
        <v>45554</v>
      </c>
      <c r="L461" t="s">
        <v>91</v>
      </c>
      <c r="M461" t="s">
        <v>34</v>
      </c>
      <c r="N461" s="4">
        <v>45632</v>
      </c>
      <c r="O461" s="10">
        <f t="shared" ca="1" si="46"/>
        <v>78</v>
      </c>
      <c r="P461" s="10" t="str">
        <f t="shared" ca="1" si="43"/>
        <v>31 a 90 dias</v>
      </c>
      <c r="Q461">
        <f t="shared" si="42"/>
        <v>1</v>
      </c>
      <c r="R461">
        <v>2</v>
      </c>
      <c r="S461" s="11">
        <f t="shared" si="47"/>
        <v>59.9</v>
      </c>
      <c r="T461" s="11" t="str">
        <f t="shared" si="44"/>
        <v>Detrator</v>
      </c>
      <c r="U461" s="11" t="str">
        <f t="shared" si="45"/>
        <v>Alto risco</v>
      </c>
      <c r="V461">
        <v>0</v>
      </c>
      <c r="W461">
        <v>37</v>
      </c>
      <c r="X461" s="2">
        <v>54.32</v>
      </c>
      <c r="Y461">
        <v>2</v>
      </c>
      <c r="Z461" t="s">
        <v>45</v>
      </c>
    </row>
    <row r="462" spans="1:26">
      <c r="A462" t="s">
        <v>904</v>
      </c>
      <c r="B462" t="s">
        <v>299</v>
      </c>
      <c r="C462" t="s">
        <v>94</v>
      </c>
      <c r="D462" t="s">
        <v>95</v>
      </c>
      <c r="E462">
        <v>63</v>
      </c>
      <c r="F462" t="s">
        <v>54</v>
      </c>
      <c r="G462" t="s">
        <v>96</v>
      </c>
      <c r="H462" t="s">
        <v>166</v>
      </c>
      <c r="I462" t="e">
        <f ca="1">_xludf.XLOOKUP(H462,Base_Planos!$A:$A,Base_Planos!$B:$B,"Não encontrado")</f>
        <v>#NAME?</v>
      </c>
      <c r="J462" s="2">
        <f>VLOOKUP(H462,Base_Planos!$A:$G,4,FALSE)</f>
        <v>399.9</v>
      </c>
      <c r="K462" s="4">
        <v>45241</v>
      </c>
      <c r="L462" t="s">
        <v>79</v>
      </c>
      <c r="M462" t="s">
        <v>34</v>
      </c>
      <c r="N462" s="4">
        <v>45537</v>
      </c>
      <c r="O462" s="10">
        <f t="shared" ca="1" si="46"/>
        <v>296</v>
      </c>
      <c r="P462" s="10" t="str">
        <f t="shared" ca="1" si="43"/>
        <v>181 a 365 dias</v>
      </c>
      <c r="Q462">
        <f t="shared" si="42"/>
        <v>1</v>
      </c>
      <c r="R462">
        <v>2</v>
      </c>
      <c r="S462" s="11">
        <f t="shared" si="47"/>
        <v>399.9</v>
      </c>
      <c r="T462" s="11" t="str">
        <f t="shared" si="44"/>
        <v>Detrator</v>
      </c>
      <c r="U462" s="11" t="str">
        <f t="shared" si="45"/>
        <v>Alto risco</v>
      </c>
      <c r="V462">
        <v>0</v>
      </c>
      <c r="W462">
        <v>65</v>
      </c>
      <c r="X462" s="2">
        <v>356.32</v>
      </c>
      <c r="Y462">
        <v>9</v>
      </c>
      <c r="Z462" t="s">
        <v>35</v>
      </c>
    </row>
    <row r="463" spans="1:26">
      <c r="A463" t="s">
        <v>905</v>
      </c>
      <c r="B463" t="s">
        <v>798</v>
      </c>
      <c r="C463" t="s">
        <v>65</v>
      </c>
      <c r="D463" t="s">
        <v>29</v>
      </c>
      <c r="E463">
        <v>38</v>
      </c>
      <c r="F463" t="s">
        <v>201</v>
      </c>
      <c r="G463" t="s">
        <v>96</v>
      </c>
      <c r="H463" t="s">
        <v>112</v>
      </c>
      <c r="I463" t="e">
        <f ca="1">_xludf.XLOOKUP(H463,Base_Planos!$A:$A,Base_Planos!$B:$B,"Não encontrado")</f>
        <v>#NAME?</v>
      </c>
      <c r="J463" s="2">
        <f>VLOOKUP(H463,Base_Planos!$A:$G,4,FALSE)</f>
        <v>79.900000000000006</v>
      </c>
      <c r="K463" s="4">
        <v>46032</v>
      </c>
      <c r="L463" t="s">
        <v>148</v>
      </c>
      <c r="M463" t="s">
        <v>44</v>
      </c>
      <c r="N463" s="4"/>
      <c r="O463" s="10">
        <f t="shared" ca="1" si="46"/>
        <v>137</v>
      </c>
      <c r="P463" s="10" t="str">
        <f t="shared" ca="1" si="43"/>
        <v>91 a 180 dias</v>
      </c>
      <c r="Q463">
        <f t="shared" si="42"/>
        <v>0</v>
      </c>
      <c r="R463">
        <v>2</v>
      </c>
      <c r="S463" s="11">
        <f t="shared" si="47"/>
        <v>0</v>
      </c>
      <c r="T463" s="11" t="str">
        <f t="shared" si="44"/>
        <v>Detrator</v>
      </c>
      <c r="U463" s="11" t="str">
        <f t="shared" si="45"/>
        <v>Alto risco</v>
      </c>
      <c r="V463">
        <v>0</v>
      </c>
      <c r="W463">
        <v>54</v>
      </c>
      <c r="X463" s="2">
        <v>80.2</v>
      </c>
      <c r="Y463">
        <v>4</v>
      </c>
      <c r="Z463" t="s">
        <v>35</v>
      </c>
    </row>
    <row r="464" spans="1:26">
      <c r="A464" t="s">
        <v>906</v>
      </c>
      <c r="B464" t="s">
        <v>907</v>
      </c>
      <c r="C464" t="s">
        <v>94</v>
      </c>
      <c r="D464" t="s">
        <v>95</v>
      </c>
      <c r="E464">
        <v>18</v>
      </c>
      <c r="F464" t="s">
        <v>201</v>
      </c>
      <c r="G464" t="s">
        <v>165</v>
      </c>
      <c r="H464" t="s">
        <v>61</v>
      </c>
      <c r="I464" t="e">
        <f ca="1">_xludf.XLOOKUP(H464,Base_Planos!$A:$A,Base_Planos!$B:$B,"Não encontrado")</f>
        <v>#NAME?</v>
      </c>
      <c r="J464" s="2">
        <f>VLOOKUP(H464,Base_Planos!$A:$G,4,FALSE)</f>
        <v>59.9</v>
      </c>
      <c r="K464" s="4">
        <v>45532</v>
      </c>
      <c r="L464" t="s">
        <v>156</v>
      </c>
      <c r="M464" t="s">
        <v>44</v>
      </c>
      <c r="N464" s="4"/>
      <c r="O464" s="10">
        <f t="shared" ca="1" si="46"/>
        <v>637</v>
      </c>
      <c r="P464" s="10" t="str">
        <f t="shared" ca="1" si="43"/>
        <v>Mais de 1 ano</v>
      </c>
      <c r="Q464">
        <f t="shared" si="42"/>
        <v>0</v>
      </c>
      <c r="R464">
        <v>7</v>
      </c>
      <c r="S464" s="11">
        <f t="shared" si="47"/>
        <v>0</v>
      </c>
      <c r="T464" s="11" t="str">
        <f t="shared" si="44"/>
        <v>Neutro</v>
      </c>
      <c r="U464" s="11" t="str">
        <f t="shared" si="45"/>
        <v>Médio risco</v>
      </c>
      <c r="V464">
        <v>1</v>
      </c>
      <c r="W464">
        <v>11</v>
      </c>
      <c r="X464" s="2">
        <v>58.9</v>
      </c>
      <c r="Y464">
        <v>21</v>
      </c>
      <c r="Z464" t="s">
        <v>45</v>
      </c>
    </row>
    <row r="465" spans="1:26">
      <c r="A465" t="s">
        <v>908</v>
      </c>
      <c r="B465" t="s">
        <v>304</v>
      </c>
      <c r="C465" t="s">
        <v>137</v>
      </c>
      <c r="D465" t="s">
        <v>29</v>
      </c>
      <c r="E465">
        <v>46</v>
      </c>
      <c r="F465" t="s">
        <v>30</v>
      </c>
      <c r="G465" t="s">
        <v>55</v>
      </c>
      <c r="H465" t="s">
        <v>82</v>
      </c>
      <c r="I465" t="e">
        <f ca="1">_xludf.XLOOKUP(H465,Base_Planos!$A:$A,Base_Planos!$B:$B,"Não encontrado")</f>
        <v>#NAME?</v>
      </c>
      <c r="J465" s="2">
        <f>VLOOKUP(H465,Base_Planos!$A:$G,4,FALSE)</f>
        <v>149.9</v>
      </c>
      <c r="K465" s="4">
        <v>45009</v>
      </c>
      <c r="L465" t="s">
        <v>68</v>
      </c>
      <c r="M465" t="s">
        <v>44</v>
      </c>
      <c r="N465" s="4"/>
      <c r="O465" s="10">
        <f t="shared" ca="1" si="46"/>
        <v>1160</v>
      </c>
      <c r="P465" s="10" t="str">
        <f t="shared" ca="1" si="43"/>
        <v>Mais de 1 ano</v>
      </c>
      <c r="Q465">
        <f t="shared" si="42"/>
        <v>0</v>
      </c>
      <c r="R465">
        <v>2</v>
      </c>
      <c r="S465" s="11">
        <f t="shared" si="47"/>
        <v>0</v>
      </c>
      <c r="T465" s="11" t="str">
        <f t="shared" si="44"/>
        <v>Detrator</v>
      </c>
      <c r="U465" s="11" t="str">
        <f t="shared" si="45"/>
        <v>Alto risco</v>
      </c>
      <c r="V465">
        <v>0</v>
      </c>
      <c r="W465">
        <v>44</v>
      </c>
      <c r="X465" s="2">
        <v>134.02000000000001</v>
      </c>
      <c r="Y465">
        <v>38</v>
      </c>
      <c r="Z465" t="s">
        <v>35</v>
      </c>
    </row>
    <row r="466" spans="1:26">
      <c r="A466" t="s">
        <v>909</v>
      </c>
      <c r="B466" t="s">
        <v>400</v>
      </c>
      <c r="C466" t="s">
        <v>108</v>
      </c>
      <c r="D466" t="s">
        <v>109</v>
      </c>
      <c r="E466">
        <v>21</v>
      </c>
      <c r="F466" t="s">
        <v>40</v>
      </c>
      <c r="G466" t="s">
        <v>31</v>
      </c>
      <c r="H466" t="s">
        <v>61</v>
      </c>
      <c r="I466" t="e">
        <f ca="1">_xludf.XLOOKUP(H466,Base_Planos!$A:$A,Base_Planos!$B:$B,"Não encontrado")</f>
        <v>#NAME?</v>
      </c>
      <c r="J466" s="2">
        <f>VLOOKUP(H466,Base_Planos!$A:$G,4,FALSE)</f>
        <v>59.9</v>
      </c>
      <c r="K466" s="4">
        <v>45381</v>
      </c>
      <c r="L466" t="s">
        <v>126</v>
      </c>
      <c r="M466" t="s">
        <v>44</v>
      </c>
      <c r="N466" s="4"/>
      <c r="O466" s="10">
        <f t="shared" ca="1" si="46"/>
        <v>788</v>
      </c>
      <c r="P466" s="10" t="str">
        <f t="shared" ca="1" si="43"/>
        <v>Mais de 1 ano</v>
      </c>
      <c r="Q466">
        <f t="shared" si="42"/>
        <v>0</v>
      </c>
      <c r="R466">
        <v>4</v>
      </c>
      <c r="S466" s="11">
        <f t="shared" si="47"/>
        <v>0</v>
      </c>
      <c r="T466" s="11" t="str">
        <f t="shared" si="44"/>
        <v>Detrator</v>
      </c>
      <c r="U466" s="11" t="str">
        <f t="shared" si="45"/>
        <v>Alto risco</v>
      </c>
      <c r="V466">
        <v>2</v>
      </c>
      <c r="W466">
        <v>68</v>
      </c>
      <c r="X466" s="2">
        <v>62.39</v>
      </c>
      <c r="Y466">
        <v>26</v>
      </c>
      <c r="Z466" t="s">
        <v>45</v>
      </c>
    </row>
    <row r="467" spans="1:26">
      <c r="A467" t="s">
        <v>910</v>
      </c>
      <c r="B467" t="s">
        <v>836</v>
      </c>
      <c r="C467" t="s">
        <v>59</v>
      </c>
      <c r="D467" t="s">
        <v>60</v>
      </c>
      <c r="E467">
        <v>49</v>
      </c>
      <c r="F467" t="s">
        <v>30</v>
      </c>
      <c r="G467" t="s">
        <v>67</v>
      </c>
      <c r="H467" t="s">
        <v>86</v>
      </c>
      <c r="I467" t="e">
        <f ca="1">_xludf.XLOOKUP(H467,Base_Planos!$A:$A,Base_Planos!$B:$B,"Não encontrado")</f>
        <v>#NAME?</v>
      </c>
      <c r="J467" s="2">
        <f>VLOOKUP(H467,Base_Planos!$A:$G,4,FALSE)</f>
        <v>119.9</v>
      </c>
      <c r="K467" s="4">
        <v>45666</v>
      </c>
      <c r="L467" t="s">
        <v>261</v>
      </c>
      <c r="M467" t="s">
        <v>44</v>
      </c>
      <c r="N467" s="4"/>
      <c r="O467" s="10">
        <f t="shared" ca="1" si="46"/>
        <v>503</v>
      </c>
      <c r="P467" s="10" t="str">
        <f t="shared" ca="1" si="43"/>
        <v>Mais de 1 ano</v>
      </c>
      <c r="Q467">
        <f t="shared" si="42"/>
        <v>0</v>
      </c>
      <c r="R467">
        <v>6</v>
      </c>
      <c r="S467" s="11">
        <f t="shared" si="47"/>
        <v>0</v>
      </c>
      <c r="T467" s="11" t="str">
        <f t="shared" si="44"/>
        <v>Detrator</v>
      </c>
      <c r="U467" s="11" t="str">
        <f t="shared" si="45"/>
        <v>Alto risco</v>
      </c>
      <c r="V467">
        <v>0</v>
      </c>
      <c r="W467">
        <v>100</v>
      </c>
      <c r="X467" s="2">
        <v>108.74</v>
      </c>
      <c r="Y467">
        <v>16</v>
      </c>
      <c r="Z467" t="s">
        <v>35</v>
      </c>
    </row>
    <row r="468" spans="1:26">
      <c r="A468" t="s">
        <v>911</v>
      </c>
      <c r="B468" t="s">
        <v>912</v>
      </c>
      <c r="C468" t="s">
        <v>77</v>
      </c>
      <c r="D468" t="s">
        <v>78</v>
      </c>
      <c r="E468">
        <v>53</v>
      </c>
      <c r="F468" t="s">
        <v>30</v>
      </c>
      <c r="G468" t="s">
        <v>104</v>
      </c>
      <c r="H468" t="s">
        <v>82</v>
      </c>
      <c r="I468" t="e">
        <f ca="1">_xludf.XLOOKUP(H468,Base_Planos!$A:$A,Base_Planos!$B:$B,"Não encontrado")</f>
        <v>#NAME?</v>
      </c>
      <c r="J468" s="2">
        <f>VLOOKUP(H468,Base_Planos!$A:$G,4,FALSE)</f>
        <v>149.9</v>
      </c>
      <c r="K468" s="4">
        <v>45778</v>
      </c>
      <c r="L468" t="s">
        <v>97</v>
      </c>
      <c r="M468" t="s">
        <v>44</v>
      </c>
      <c r="N468" s="4"/>
      <c r="O468" s="10">
        <f t="shared" ca="1" si="46"/>
        <v>391</v>
      </c>
      <c r="P468" s="10" t="str">
        <f t="shared" ca="1" si="43"/>
        <v>Mais de 1 ano</v>
      </c>
      <c r="Q468">
        <f t="shared" si="42"/>
        <v>0</v>
      </c>
      <c r="R468">
        <v>7</v>
      </c>
      <c r="S468" s="11">
        <f t="shared" si="47"/>
        <v>0</v>
      </c>
      <c r="T468" s="11" t="str">
        <f t="shared" si="44"/>
        <v>Neutro</v>
      </c>
      <c r="U468" s="11" t="str">
        <f t="shared" si="45"/>
        <v>Médio risco</v>
      </c>
      <c r="V468">
        <v>4</v>
      </c>
      <c r="W468">
        <v>100</v>
      </c>
      <c r="X468" s="2">
        <v>154.29</v>
      </c>
      <c r="Y468">
        <v>13</v>
      </c>
      <c r="Z468" t="s">
        <v>50</v>
      </c>
    </row>
    <row r="469" spans="1:26">
      <c r="A469" t="s">
        <v>913</v>
      </c>
      <c r="B469" t="s">
        <v>687</v>
      </c>
      <c r="C469" t="s">
        <v>90</v>
      </c>
      <c r="D469" t="s">
        <v>29</v>
      </c>
      <c r="E469">
        <v>23</v>
      </c>
      <c r="F469" t="s">
        <v>30</v>
      </c>
      <c r="G469" t="s">
        <v>73</v>
      </c>
      <c r="H469" t="s">
        <v>112</v>
      </c>
      <c r="I469" t="e">
        <f ca="1">_xludf.XLOOKUP(H469,Base_Planos!$A:$A,Base_Planos!$B:$B,"Não encontrado")</f>
        <v>#NAME?</v>
      </c>
      <c r="J469" s="2">
        <f>VLOOKUP(H469,Base_Planos!$A:$G,4,FALSE)</f>
        <v>79.900000000000006</v>
      </c>
      <c r="K469" s="4">
        <v>46002</v>
      </c>
      <c r="L469" t="s">
        <v>170</v>
      </c>
      <c r="M469" t="s">
        <v>34</v>
      </c>
      <c r="N469" s="4">
        <v>46136</v>
      </c>
      <c r="O469" s="10">
        <f t="shared" ca="1" si="46"/>
        <v>134</v>
      </c>
      <c r="P469" s="10" t="str">
        <f t="shared" ca="1" si="43"/>
        <v>91 a 180 dias</v>
      </c>
      <c r="Q469">
        <f>IF(M246="Cancelado",1,0)</f>
        <v>0</v>
      </c>
      <c r="R469">
        <v>5</v>
      </c>
      <c r="S469" s="11">
        <f t="shared" si="47"/>
        <v>0</v>
      </c>
      <c r="T469" s="11" t="str">
        <f t="shared" si="44"/>
        <v>Detrator</v>
      </c>
      <c r="U469" s="11" t="str">
        <f t="shared" si="45"/>
        <v>Alto risco</v>
      </c>
      <c r="V469">
        <v>1</v>
      </c>
      <c r="W469">
        <v>85</v>
      </c>
      <c r="X469" s="2">
        <v>74.540000000000006</v>
      </c>
      <c r="Y469">
        <v>4</v>
      </c>
      <c r="Z469" t="s">
        <v>35</v>
      </c>
    </row>
    <row r="470" spans="1:26">
      <c r="A470" t="s">
        <v>914</v>
      </c>
      <c r="B470" t="s">
        <v>226</v>
      </c>
      <c r="C470" t="s">
        <v>137</v>
      </c>
      <c r="D470" t="s">
        <v>29</v>
      </c>
      <c r="E470">
        <v>54</v>
      </c>
      <c r="F470" t="s">
        <v>40</v>
      </c>
      <c r="G470" t="s">
        <v>96</v>
      </c>
      <c r="H470" t="s">
        <v>42</v>
      </c>
      <c r="I470" t="e">
        <f ca="1">_xludf.XLOOKUP(H470,Base_Planos!$A:$A,Base_Planos!$B:$B,"Não encontrado")</f>
        <v>#NAME?</v>
      </c>
      <c r="J470" s="2">
        <f>VLOOKUP(H470,Base_Planos!$A:$G,4,FALSE)</f>
        <v>29.9</v>
      </c>
      <c r="K470" s="4">
        <v>45708</v>
      </c>
      <c r="L470" t="s">
        <v>289</v>
      </c>
      <c r="M470" t="s">
        <v>44</v>
      </c>
      <c r="N470" s="4"/>
      <c r="O470" s="10">
        <f t="shared" ca="1" si="46"/>
        <v>461</v>
      </c>
      <c r="P470" s="10" t="str">
        <f t="shared" ca="1" si="43"/>
        <v>Mais de 1 ano</v>
      </c>
      <c r="Q470">
        <f t="shared" ref="Q470:Q533" si="48">IF(M247="Cancelado",1,0)</f>
        <v>0</v>
      </c>
      <c r="R470">
        <v>4</v>
      </c>
      <c r="S470" s="11">
        <f t="shared" si="47"/>
        <v>0</v>
      </c>
      <c r="T470" s="11" t="str">
        <f t="shared" si="44"/>
        <v>Detrator</v>
      </c>
      <c r="U470" s="11" t="str">
        <f t="shared" si="45"/>
        <v>Alto risco</v>
      </c>
      <c r="V470">
        <v>2</v>
      </c>
      <c r="W470">
        <v>54</v>
      </c>
      <c r="X470" s="2">
        <v>27.23</v>
      </c>
      <c r="Y470">
        <v>15</v>
      </c>
      <c r="Z470" t="s">
        <v>35</v>
      </c>
    </row>
    <row r="471" spans="1:26">
      <c r="A471" t="s">
        <v>915</v>
      </c>
      <c r="B471" t="s">
        <v>226</v>
      </c>
      <c r="C471" t="s">
        <v>59</v>
      </c>
      <c r="D471" t="s">
        <v>60</v>
      </c>
      <c r="E471">
        <v>19</v>
      </c>
      <c r="F471" t="s">
        <v>40</v>
      </c>
      <c r="G471" t="s">
        <v>96</v>
      </c>
      <c r="H471" t="s">
        <v>42</v>
      </c>
      <c r="I471" t="e">
        <f ca="1">_xludf.XLOOKUP(H471,Base_Planos!$A:$A,Base_Planos!$B:$B,"Não encontrado")</f>
        <v>#NAME?</v>
      </c>
      <c r="J471" s="2">
        <f>VLOOKUP(H471,Base_Planos!$A:$G,4,FALSE)</f>
        <v>29.9</v>
      </c>
      <c r="K471" s="4">
        <v>45894</v>
      </c>
      <c r="L471" t="s">
        <v>159</v>
      </c>
      <c r="M471" t="s">
        <v>34</v>
      </c>
      <c r="N471" s="4">
        <v>46100</v>
      </c>
      <c r="O471" s="10">
        <f t="shared" ca="1" si="46"/>
        <v>206</v>
      </c>
      <c r="P471" s="10" t="str">
        <f t="shared" ca="1" si="43"/>
        <v>181 a 365 dias</v>
      </c>
      <c r="Q471">
        <f t="shared" si="48"/>
        <v>1</v>
      </c>
      <c r="R471">
        <v>1</v>
      </c>
      <c r="S471" s="11">
        <f t="shared" si="47"/>
        <v>29.9</v>
      </c>
      <c r="T471" s="11" t="str">
        <f t="shared" si="44"/>
        <v>Detrator</v>
      </c>
      <c r="U471" s="11" t="str">
        <f t="shared" si="45"/>
        <v>Alto risco</v>
      </c>
      <c r="V471">
        <v>0</v>
      </c>
      <c r="W471">
        <v>8</v>
      </c>
      <c r="X471" s="2">
        <v>25.59</v>
      </c>
      <c r="Y471">
        <v>6</v>
      </c>
      <c r="Z471" t="s">
        <v>45</v>
      </c>
    </row>
    <row r="472" spans="1:26">
      <c r="A472" t="s">
        <v>916</v>
      </c>
      <c r="B472" t="s">
        <v>917</v>
      </c>
      <c r="C472" t="s">
        <v>77</v>
      </c>
      <c r="D472" t="s">
        <v>78</v>
      </c>
      <c r="E472">
        <v>22</v>
      </c>
      <c r="F472" t="s">
        <v>54</v>
      </c>
      <c r="G472" t="s">
        <v>165</v>
      </c>
      <c r="H472" t="s">
        <v>61</v>
      </c>
      <c r="I472" t="e">
        <f ca="1">_xludf.XLOOKUP(H472,Base_Planos!$A:$A,Base_Planos!$B:$B,"Não encontrado")</f>
        <v>#NAME?</v>
      </c>
      <c r="J472" s="2">
        <f>VLOOKUP(H472,Base_Planos!$A:$G,4,FALSE)</f>
        <v>59.9</v>
      </c>
      <c r="K472" s="4">
        <v>46085</v>
      </c>
      <c r="L472" t="s">
        <v>292</v>
      </c>
      <c r="M472" t="s">
        <v>44</v>
      </c>
      <c r="N472" s="4"/>
      <c r="O472" s="10">
        <f t="shared" ca="1" si="46"/>
        <v>84</v>
      </c>
      <c r="P472" s="10" t="str">
        <f t="shared" ca="1" si="43"/>
        <v>31 a 90 dias</v>
      </c>
      <c r="Q472">
        <f t="shared" si="48"/>
        <v>0</v>
      </c>
      <c r="R472">
        <v>6</v>
      </c>
      <c r="S472" s="11">
        <f t="shared" si="47"/>
        <v>0</v>
      </c>
      <c r="T472" s="11" t="str">
        <f t="shared" si="44"/>
        <v>Detrator</v>
      </c>
      <c r="U472" s="11" t="str">
        <f t="shared" si="45"/>
        <v>Alto risco</v>
      </c>
      <c r="V472">
        <v>0</v>
      </c>
      <c r="W472">
        <v>28</v>
      </c>
      <c r="X472" s="2">
        <v>52.35</v>
      </c>
      <c r="Y472">
        <v>2</v>
      </c>
      <c r="Z472" t="s">
        <v>35</v>
      </c>
    </row>
    <row r="473" spans="1:26">
      <c r="A473" t="s">
        <v>918</v>
      </c>
      <c r="B473" t="s">
        <v>919</v>
      </c>
      <c r="C473" t="s">
        <v>28</v>
      </c>
      <c r="D473" t="s">
        <v>29</v>
      </c>
      <c r="E473">
        <v>34</v>
      </c>
      <c r="F473" t="s">
        <v>30</v>
      </c>
      <c r="G473" t="s">
        <v>67</v>
      </c>
      <c r="H473" t="s">
        <v>32</v>
      </c>
      <c r="I473" t="e">
        <f ca="1">_xludf.XLOOKUP(H473,Base_Planos!$A:$A,Base_Planos!$B:$B,"Não encontrado")</f>
        <v>#NAME?</v>
      </c>
      <c r="J473" s="2">
        <f>VLOOKUP(H473,Base_Planos!$A:$G,4,FALSE)</f>
        <v>39.9</v>
      </c>
      <c r="K473" s="4">
        <v>45871</v>
      </c>
      <c r="L473" t="s">
        <v>159</v>
      </c>
      <c r="M473" t="s">
        <v>44</v>
      </c>
      <c r="N473" s="4"/>
      <c r="O473" s="10">
        <f t="shared" ca="1" si="46"/>
        <v>298</v>
      </c>
      <c r="P473" s="10" t="str">
        <f t="shared" ca="1" si="43"/>
        <v>181 a 365 dias</v>
      </c>
      <c r="Q473">
        <f t="shared" si="48"/>
        <v>0</v>
      </c>
      <c r="R473">
        <v>2</v>
      </c>
      <c r="S473" s="11">
        <f t="shared" si="47"/>
        <v>0</v>
      </c>
      <c r="T473" s="11" t="str">
        <f t="shared" si="44"/>
        <v>Detrator</v>
      </c>
      <c r="U473" s="11" t="str">
        <f t="shared" si="45"/>
        <v>Alto risco</v>
      </c>
      <c r="V473">
        <v>0</v>
      </c>
      <c r="W473">
        <v>64</v>
      </c>
      <c r="X473" s="2">
        <v>41.54</v>
      </c>
      <c r="Y473">
        <v>9</v>
      </c>
      <c r="Z473" t="s">
        <v>35</v>
      </c>
    </row>
    <row r="474" spans="1:26">
      <c r="A474" t="s">
        <v>920</v>
      </c>
      <c r="B474" t="s">
        <v>260</v>
      </c>
      <c r="C474" t="s">
        <v>140</v>
      </c>
      <c r="D474" t="s">
        <v>141</v>
      </c>
      <c r="E474">
        <v>51</v>
      </c>
      <c r="F474" t="s">
        <v>40</v>
      </c>
      <c r="G474" t="s">
        <v>55</v>
      </c>
      <c r="H474" t="s">
        <v>112</v>
      </c>
      <c r="I474" t="e">
        <f ca="1">_xludf.XLOOKUP(H474,Base_Planos!$A:$A,Base_Planos!$B:$B,"Não encontrado")</f>
        <v>#NAME?</v>
      </c>
      <c r="J474" s="2">
        <f>VLOOKUP(H474,Base_Planos!$A:$G,4,FALSE)</f>
        <v>79.900000000000006</v>
      </c>
      <c r="K474" s="4">
        <v>45302</v>
      </c>
      <c r="L474" t="s">
        <v>516</v>
      </c>
      <c r="M474" t="s">
        <v>34</v>
      </c>
      <c r="N474" s="4">
        <v>46033</v>
      </c>
      <c r="O474" s="10">
        <f t="shared" ca="1" si="46"/>
        <v>731</v>
      </c>
      <c r="P474" s="10" t="str">
        <f t="shared" ca="1" si="43"/>
        <v>Mais de 1 ano</v>
      </c>
      <c r="Q474">
        <f t="shared" si="48"/>
        <v>1</v>
      </c>
      <c r="R474">
        <v>1</v>
      </c>
      <c r="S474" s="11">
        <f t="shared" si="47"/>
        <v>79.900000000000006</v>
      </c>
      <c r="T474" s="11" t="str">
        <f t="shared" si="44"/>
        <v>Detrator</v>
      </c>
      <c r="U474" s="11" t="str">
        <f t="shared" si="45"/>
        <v>Alto risco</v>
      </c>
      <c r="V474">
        <v>0</v>
      </c>
      <c r="W474">
        <v>47</v>
      </c>
      <c r="X474" s="2">
        <v>72.25</v>
      </c>
      <c r="Y474">
        <v>24</v>
      </c>
      <c r="Z474" t="s">
        <v>35</v>
      </c>
    </row>
    <row r="475" spans="1:26">
      <c r="A475" t="s">
        <v>921</v>
      </c>
      <c r="B475" t="s">
        <v>922</v>
      </c>
      <c r="C475" t="s">
        <v>102</v>
      </c>
      <c r="D475" t="s">
        <v>103</v>
      </c>
      <c r="E475">
        <v>52</v>
      </c>
      <c r="F475" t="s">
        <v>54</v>
      </c>
      <c r="G475" t="s">
        <v>96</v>
      </c>
      <c r="H475" t="s">
        <v>32</v>
      </c>
      <c r="I475" t="e">
        <f ca="1">_xludf.XLOOKUP(H475,Base_Planos!$A:$A,Base_Planos!$B:$B,"Não encontrado")</f>
        <v>#NAME?</v>
      </c>
      <c r="J475" s="2">
        <f>VLOOKUP(H475,Base_Planos!$A:$G,4,FALSE)</f>
        <v>39.9</v>
      </c>
      <c r="K475" s="4">
        <v>45988</v>
      </c>
      <c r="L475" t="s">
        <v>87</v>
      </c>
      <c r="M475" t="s">
        <v>44</v>
      </c>
      <c r="N475" s="4"/>
      <c r="O475" s="10">
        <f t="shared" ca="1" si="46"/>
        <v>181</v>
      </c>
      <c r="P475" s="10" t="str">
        <f t="shared" ca="1" si="43"/>
        <v>181 a 365 dias</v>
      </c>
      <c r="Q475">
        <f t="shared" si="48"/>
        <v>1</v>
      </c>
      <c r="R475">
        <v>4</v>
      </c>
      <c r="S475" s="11">
        <f t="shared" si="47"/>
        <v>39.9</v>
      </c>
      <c r="T475" s="11" t="str">
        <f t="shared" si="44"/>
        <v>Detrator</v>
      </c>
      <c r="U475" s="11" t="str">
        <f t="shared" si="45"/>
        <v>Alto risco</v>
      </c>
      <c r="V475">
        <v>0</v>
      </c>
      <c r="W475">
        <v>80</v>
      </c>
      <c r="X475" s="2">
        <v>34.729999999999997</v>
      </c>
      <c r="Y475">
        <v>6</v>
      </c>
      <c r="Z475" t="s">
        <v>35</v>
      </c>
    </row>
    <row r="476" spans="1:26">
      <c r="A476" t="s">
        <v>923</v>
      </c>
      <c r="B476" t="s">
        <v>76</v>
      </c>
      <c r="C476" t="s">
        <v>59</v>
      </c>
      <c r="D476" t="s">
        <v>60</v>
      </c>
      <c r="E476">
        <v>30</v>
      </c>
      <c r="F476" t="s">
        <v>40</v>
      </c>
      <c r="G476" t="s">
        <v>55</v>
      </c>
      <c r="H476" t="s">
        <v>112</v>
      </c>
      <c r="I476" t="e">
        <f ca="1">_xludf.XLOOKUP(H476,Base_Planos!$A:$A,Base_Planos!$B:$B,"Não encontrado")</f>
        <v>#NAME?</v>
      </c>
      <c r="J476" s="2">
        <f>VLOOKUP(H476,Base_Planos!$A:$G,4,FALSE)</f>
        <v>79.900000000000006</v>
      </c>
      <c r="K476" s="4">
        <v>45083</v>
      </c>
      <c r="L476" t="s">
        <v>328</v>
      </c>
      <c r="M476" t="s">
        <v>34</v>
      </c>
      <c r="N476" s="4">
        <v>45855</v>
      </c>
      <c r="O476" s="10">
        <f t="shared" ca="1" si="46"/>
        <v>772</v>
      </c>
      <c r="P476" s="10" t="str">
        <f t="shared" ca="1" si="43"/>
        <v>Mais de 1 ano</v>
      </c>
      <c r="Q476">
        <f t="shared" si="48"/>
        <v>0</v>
      </c>
      <c r="R476">
        <v>1</v>
      </c>
      <c r="S476" s="11">
        <f t="shared" si="47"/>
        <v>0</v>
      </c>
      <c r="T476" s="11" t="str">
        <f t="shared" si="44"/>
        <v>Detrator</v>
      </c>
      <c r="U476" s="11" t="str">
        <f t="shared" si="45"/>
        <v>Alto risco</v>
      </c>
      <c r="V476">
        <v>0</v>
      </c>
      <c r="W476">
        <v>0</v>
      </c>
      <c r="X476" s="2">
        <v>74.98</v>
      </c>
      <c r="Y476">
        <v>25</v>
      </c>
      <c r="Z476" t="s">
        <v>45</v>
      </c>
    </row>
    <row r="477" spans="1:26">
      <c r="A477" t="s">
        <v>924</v>
      </c>
      <c r="B477" t="s">
        <v>273</v>
      </c>
      <c r="C477" t="s">
        <v>48</v>
      </c>
      <c r="D477" t="s">
        <v>29</v>
      </c>
      <c r="E477">
        <v>39</v>
      </c>
      <c r="F477" t="s">
        <v>30</v>
      </c>
      <c r="G477" t="s">
        <v>73</v>
      </c>
      <c r="H477" t="s">
        <v>32</v>
      </c>
      <c r="I477" t="e">
        <f ca="1">_xludf.XLOOKUP(H477,Base_Planos!$A:$A,Base_Planos!$B:$B,"Não encontrado")</f>
        <v>#NAME?</v>
      </c>
      <c r="J477" s="2">
        <f>VLOOKUP(H477,Base_Planos!$A:$G,4,FALSE)</f>
        <v>39.9</v>
      </c>
      <c r="K477" s="4">
        <v>45169</v>
      </c>
      <c r="L477" t="s">
        <v>162</v>
      </c>
      <c r="M477" t="s">
        <v>34</v>
      </c>
      <c r="N477" s="4">
        <v>45413</v>
      </c>
      <c r="O477" s="10">
        <f t="shared" ca="1" si="46"/>
        <v>244</v>
      </c>
      <c r="P477" s="10" t="str">
        <f t="shared" ca="1" si="43"/>
        <v>181 a 365 dias</v>
      </c>
      <c r="Q477">
        <f t="shared" si="48"/>
        <v>0</v>
      </c>
      <c r="R477">
        <v>3</v>
      </c>
      <c r="S477" s="11">
        <f t="shared" si="47"/>
        <v>0</v>
      </c>
      <c r="T477" s="11" t="str">
        <f t="shared" si="44"/>
        <v>Detrator</v>
      </c>
      <c r="U477" s="11" t="str">
        <f t="shared" si="45"/>
        <v>Alto risco</v>
      </c>
      <c r="V477">
        <v>1</v>
      </c>
      <c r="W477">
        <v>88</v>
      </c>
      <c r="X477" s="2">
        <v>34.54</v>
      </c>
      <c r="Y477">
        <v>8</v>
      </c>
      <c r="Z477" t="s">
        <v>45</v>
      </c>
    </row>
    <row r="478" spans="1:26">
      <c r="A478" t="s">
        <v>925</v>
      </c>
      <c r="B478" t="s">
        <v>567</v>
      </c>
      <c r="C478" t="s">
        <v>102</v>
      </c>
      <c r="D478" t="s">
        <v>103</v>
      </c>
      <c r="E478">
        <v>19</v>
      </c>
      <c r="F478" t="s">
        <v>40</v>
      </c>
      <c r="G478" t="s">
        <v>41</v>
      </c>
      <c r="H478" t="s">
        <v>32</v>
      </c>
      <c r="I478" t="e">
        <f ca="1">_xludf.XLOOKUP(H478,Base_Planos!$A:$A,Base_Planos!$B:$B,"Não encontrado")</f>
        <v>#NAME?</v>
      </c>
      <c r="J478" s="2">
        <f>VLOOKUP(H478,Base_Planos!$A:$G,4,FALSE)</f>
        <v>39.9</v>
      </c>
      <c r="K478" s="4">
        <v>45147</v>
      </c>
      <c r="L478" t="s">
        <v>162</v>
      </c>
      <c r="M478" t="s">
        <v>34</v>
      </c>
      <c r="N478" s="4">
        <v>45436</v>
      </c>
      <c r="O478" s="10">
        <f t="shared" ca="1" si="46"/>
        <v>289</v>
      </c>
      <c r="P478" s="10" t="str">
        <f t="shared" ca="1" si="43"/>
        <v>181 a 365 dias</v>
      </c>
      <c r="Q478">
        <f t="shared" si="48"/>
        <v>1</v>
      </c>
      <c r="R478">
        <v>0</v>
      </c>
      <c r="S478" s="11">
        <f t="shared" si="47"/>
        <v>39.9</v>
      </c>
      <c r="T478" s="11" t="str">
        <f t="shared" si="44"/>
        <v>Detrator</v>
      </c>
      <c r="U478" s="11" t="str">
        <f t="shared" si="45"/>
        <v>Alto risco</v>
      </c>
      <c r="V478">
        <v>0</v>
      </c>
      <c r="W478">
        <v>24</v>
      </c>
      <c r="X478" s="2">
        <v>36.32</v>
      </c>
      <c r="Y478">
        <v>9</v>
      </c>
      <c r="Z478" t="s">
        <v>45</v>
      </c>
    </row>
    <row r="479" spans="1:26">
      <c r="A479" t="s">
        <v>926</v>
      </c>
      <c r="B479" t="s">
        <v>927</v>
      </c>
      <c r="C479" t="s">
        <v>48</v>
      </c>
      <c r="D479" t="s">
        <v>29</v>
      </c>
      <c r="E479">
        <v>25</v>
      </c>
      <c r="F479" t="s">
        <v>66</v>
      </c>
      <c r="G479" t="s">
        <v>31</v>
      </c>
      <c r="H479" t="s">
        <v>61</v>
      </c>
      <c r="I479" t="e">
        <f ca="1">_xludf.XLOOKUP(H479,Base_Planos!$A:$A,Base_Planos!$B:$B,"Não encontrado")</f>
        <v>#NAME?</v>
      </c>
      <c r="J479" s="2">
        <f>VLOOKUP(H479,Base_Planos!$A:$G,4,FALSE)</f>
        <v>59.9</v>
      </c>
      <c r="K479" s="4">
        <v>45336</v>
      </c>
      <c r="L479" t="s">
        <v>297</v>
      </c>
      <c r="M479" t="s">
        <v>44</v>
      </c>
      <c r="N479" s="4"/>
      <c r="O479" s="10">
        <f t="shared" ca="1" si="46"/>
        <v>833</v>
      </c>
      <c r="P479" s="10" t="str">
        <f t="shared" ca="1" si="43"/>
        <v>Mais de 1 ano</v>
      </c>
      <c r="Q479">
        <f t="shared" si="48"/>
        <v>0</v>
      </c>
      <c r="R479">
        <v>2</v>
      </c>
      <c r="S479" s="11">
        <f t="shared" si="47"/>
        <v>0</v>
      </c>
      <c r="T479" s="11" t="str">
        <f t="shared" si="44"/>
        <v>Detrator</v>
      </c>
      <c r="U479" s="11" t="str">
        <f t="shared" si="45"/>
        <v>Alto risco</v>
      </c>
      <c r="V479">
        <v>0</v>
      </c>
      <c r="W479">
        <v>51</v>
      </c>
      <c r="X479" s="2">
        <v>54.24</v>
      </c>
      <c r="Y479">
        <v>27</v>
      </c>
      <c r="Z479" t="s">
        <v>35</v>
      </c>
    </row>
    <row r="480" spans="1:26">
      <c r="A480" t="s">
        <v>928</v>
      </c>
      <c r="B480" t="s">
        <v>198</v>
      </c>
      <c r="C480" t="s">
        <v>108</v>
      </c>
      <c r="D480" t="s">
        <v>109</v>
      </c>
      <c r="E480">
        <v>28</v>
      </c>
      <c r="F480" t="s">
        <v>66</v>
      </c>
      <c r="G480" t="s">
        <v>31</v>
      </c>
      <c r="H480" t="s">
        <v>112</v>
      </c>
      <c r="I480" t="e">
        <f ca="1">_xludf.XLOOKUP(H480,Base_Planos!$A:$A,Base_Planos!$B:$B,"Não encontrado")</f>
        <v>#NAME?</v>
      </c>
      <c r="J480" s="2">
        <f>VLOOKUP(H480,Base_Planos!$A:$G,4,FALSE)</f>
        <v>79.900000000000006</v>
      </c>
      <c r="K480" s="4">
        <v>45066</v>
      </c>
      <c r="L480" t="s">
        <v>115</v>
      </c>
      <c r="M480" t="s">
        <v>44</v>
      </c>
      <c r="N480" s="4"/>
      <c r="O480" s="10">
        <f t="shared" ca="1" si="46"/>
        <v>1103</v>
      </c>
      <c r="P480" s="10" t="str">
        <f t="shared" ca="1" si="43"/>
        <v>Mais de 1 ano</v>
      </c>
      <c r="Q480">
        <f t="shared" si="48"/>
        <v>0</v>
      </c>
      <c r="R480">
        <v>1</v>
      </c>
      <c r="S480" s="11">
        <f t="shared" si="47"/>
        <v>0</v>
      </c>
      <c r="T480" s="11" t="str">
        <f t="shared" si="44"/>
        <v>Detrator</v>
      </c>
      <c r="U480" s="11" t="str">
        <f t="shared" si="45"/>
        <v>Alto risco</v>
      </c>
      <c r="V480">
        <v>0</v>
      </c>
      <c r="W480">
        <v>13</v>
      </c>
      <c r="X480" s="2">
        <v>83.32</v>
      </c>
      <c r="Y480">
        <v>36</v>
      </c>
      <c r="Z480" t="s">
        <v>45</v>
      </c>
    </row>
    <row r="481" spans="1:26">
      <c r="A481" t="s">
        <v>929</v>
      </c>
      <c r="B481" t="s">
        <v>475</v>
      </c>
      <c r="C481" t="s">
        <v>28</v>
      </c>
      <c r="D481" t="s">
        <v>29</v>
      </c>
      <c r="E481">
        <v>64</v>
      </c>
      <c r="F481" t="s">
        <v>30</v>
      </c>
      <c r="G481" t="s">
        <v>31</v>
      </c>
      <c r="H481" t="s">
        <v>86</v>
      </c>
      <c r="I481" t="e">
        <f ca="1">_xludf.XLOOKUP(H481,Base_Planos!$A:$A,Base_Planos!$B:$B,"Não encontrado")</f>
        <v>#NAME?</v>
      </c>
      <c r="J481" s="2">
        <f>VLOOKUP(H481,Base_Planos!$A:$G,4,FALSE)</f>
        <v>119.9</v>
      </c>
      <c r="K481" s="4">
        <v>45899</v>
      </c>
      <c r="L481" t="s">
        <v>159</v>
      </c>
      <c r="M481" t="s">
        <v>34</v>
      </c>
      <c r="N481" s="4">
        <v>46142</v>
      </c>
      <c r="O481" s="10">
        <f t="shared" ca="1" si="46"/>
        <v>243</v>
      </c>
      <c r="P481" s="10" t="str">
        <f t="shared" ca="1" si="43"/>
        <v>181 a 365 dias</v>
      </c>
      <c r="Q481">
        <f t="shared" si="48"/>
        <v>0</v>
      </c>
      <c r="R481">
        <v>5</v>
      </c>
      <c r="S481" s="11">
        <f t="shared" si="47"/>
        <v>0</v>
      </c>
      <c r="T481" s="11" t="str">
        <f t="shared" si="44"/>
        <v>Detrator</v>
      </c>
      <c r="U481" s="11" t="str">
        <f t="shared" si="45"/>
        <v>Alto risco</v>
      </c>
      <c r="V481">
        <v>1</v>
      </c>
      <c r="W481">
        <v>40</v>
      </c>
      <c r="X481" s="2">
        <v>125.45</v>
      </c>
      <c r="Y481">
        <v>8</v>
      </c>
      <c r="Z481" t="s">
        <v>35</v>
      </c>
    </row>
    <row r="482" spans="1:26">
      <c r="A482" t="s">
        <v>930</v>
      </c>
      <c r="B482" t="s">
        <v>931</v>
      </c>
      <c r="C482" t="s">
        <v>38</v>
      </c>
      <c r="D482" t="s">
        <v>39</v>
      </c>
      <c r="E482">
        <v>32</v>
      </c>
      <c r="F482" t="s">
        <v>54</v>
      </c>
      <c r="G482" t="s">
        <v>165</v>
      </c>
      <c r="H482" t="s">
        <v>32</v>
      </c>
      <c r="I482" t="e">
        <f ca="1">_xludf.XLOOKUP(H482,Base_Planos!$A:$A,Base_Planos!$B:$B,"Não encontrado")</f>
        <v>#NAME?</v>
      </c>
      <c r="J482" s="2">
        <f>VLOOKUP(H482,Base_Planos!$A:$G,4,FALSE)</f>
        <v>39.9</v>
      </c>
      <c r="K482" s="4">
        <v>45152</v>
      </c>
      <c r="L482" t="s">
        <v>162</v>
      </c>
      <c r="M482" t="s">
        <v>44</v>
      </c>
      <c r="N482" s="4"/>
      <c r="O482" s="10">
        <f t="shared" ca="1" si="46"/>
        <v>1017</v>
      </c>
      <c r="P482" s="10" t="str">
        <f t="shared" ca="1" si="43"/>
        <v>Mais de 1 ano</v>
      </c>
      <c r="Q482">
        <f t="shared" si="48"/>
        <v>0</v>
      </c>
      <c r="R482">
        <v>8</v>
      </c>
      <c r="S482" s="11">
        <f t="shared" si="47"/>
        <v>0</v>
      </c>
      <c r="T482" s="11" t="str">
        <f t="shared" si="44"/>
        <v>Neutro</v>
      </c>
      <c r="U482" s="11" t="str">
        <f t="shared" si="45"/>
        <v>Médio risco</v>
      </c>
      <c r="V482">
        <v>1</v>
      </c>
      <c r="W482">
        <v>92</v>
      </c>
      <c r="X482" s="2">
        <v>34.24</v>
      </c>
      <c r="Y482">
        <v>33</v>
      </c>
      <c r="Z482" t="s">
        <v>35</v>
      </c>
    </row>
    <row r="483" spans="1:26">
      <c r="A483" t="s">
        <v>932</v>
      </c>
      <c r="B483" t="s">
        <v>730</v>
      </c>
      <c r="C483" t="s">
        <v>102</v>
      </c>
      <c r="D483" t="s">
        <v>103</v>
      </c>
      <c r="E483">
        <v>42</v>
      </c>
      <c r="F483" t="s">
        <v>30</v>
      </c>
      <c r="G483" t="s">
        <v>73</v>
      </c>
      <c r="H483" t="s">
        <v>61</v>
      </c>
      <c r="I483" t="e">
        <f ca="1">_xludf.XLOOKUP(H483,Base_Planos!$A:$A,Base_Planos!$B:$B,"Não encontrado")</f>
        <v>#NAME?</v>
      </c>
      <c r="J483" s="2">
        <f>VLOOKUP(H483,Base_Planos!$A:$G,4,FALSE)</f>
        <v>59.9</v>
      </c>
      <c r="K483" s="4">
        <v>45836</v>
      </c>
      <c r="L483" t="s">
        <v>167</v>
      </c>
      <c r="M483" t="s">
        <v>34</v>
      </c>
      <c r="N483" s="4">
        <v>45901</v>
      </c>
      <c r="O483" s="10">
        <f t="shared" ca="1" si="46"/>
        <v>65</v>
      </c>
      <c r="P483" s="10" t="str">
        <f t="shared" ca="1" si="43"/>
        <v>31 a 90 dias</v>
      </c>
      <c r="Q483">
        <f t="shared" si="48"/>
        <v>0</v>
      </c>
      <c r="R483">
        <v>3</v>
      </c>
      <c r="S483" s="11">
        <f t="shared" si="47"/>
        <v>0</v>
      </c>
      <c r="T483" s="11" t="str">
        <f t="shared" si="44"/>
        <v>Detrator</v>
      </c>
      <c r="U483" s="11" t="str">
        <f t="shared" si="45"/>
        <v>Alto risco</v>
      </c>
      <c r="V483">
        <v>2</v>
      </c>
      <c r="W483">
        <v>49</v>
      </c>
      <c r="X483" s="2">
        <v>60.53</v>
      </c>
      <c r="Y483">
        <v>2</v>
      </c>
      <c r="Z483" t="s">
        <v>35</v>
      </c>
    </row>
    <row r="484" spans="1:26">
      <c r="A484" t="s">
        <v>933</v>
      </c>
      <c r="B484" t="s">
        <v>99</v>
      </c>
      <c r="C484" t="s">
        <v>94</v>
      </c>
      <c r="D484" t="s">
        <v>95</v>
      </c>
      <c r="E484">
        <v>18</v>
      </c>
      <c r="F484" t="s">
        <v>201</v>
      </c>
      <c r="G484" t="s">
        <v>104</v>
      </c>
      <c r="H484" t="s">
        <v>61</v>
      </c>
      <c r="I484" t="e">
        <f ca="1">_xludf.XLOOKUP(H484,Base_Planos!$A:$A,Base_Planos!$B:$B,"Não encontrado")</f>
        <v>#NAME?</v>
      </c>
      <c r="J484" s="2">
        <f>VLOOKUP(H484,Base_Planos!$A:$G,4,FALSE)</f>
        <v>59.9</v>
      </c>
      <c r="K484" s="4">
        <v>45738</v>
      </c>
      <c r="L484" t="s">
        <v>454</v>
      </c>
      <c r="M484" t="s">
        <v>44</v>
      </c>
      <c r="N484" s="4"/>
      <c r="O484" s="10">
        <f t="shared" ca="1" si="46"/>
        <v>431</v>
      </c>
      <c r="P484" s="10" t="str">
        <f t="shared" ca="1" si="43"/>
        <v>Mais de 1 ano</v>
      </c>
      <c r="Q484">
        <f>IF(M261="Cancelado",1,0)</f>
        <v>0</v>
      </c>
      <c r="R484">
        <v>7</v>
      </c>
      <c r="S484" s="11">
        <f t="shared" si="47"/>
        <v>0</v>
      </c>
      <c r="T484" s="11" t="str">
        <f t="shared" si="44"/>
        <v>Neutro</v>
      </c>
      <c r="U484" s="11" t="str">
        <f t="shared" si="45"/>
        <v>Médio risco</v>
      </c>
      <c r="V484">
        <v>0</v>
      </c>
      <c r="W484">
        <v>51</v>
      </c>
      <c r="X484" s="2">
        <v>59.24</v>
      </c>
      <c r="Y484">
        <v>14</v>
      </c>
      <c r="Z484" t="s">
        <v>50</v>
      </c>
    </row>
    <row r="485" spans="1:26">
      <c r="A485" t="s">
        <v>934</v>
      </c>
      <c r="B485" t="s">
        <v>654</v>
      </c>
      <c r="C485" t="s">
        <v>102</v>
      </c>
      <c r="D485" t="s">
        <v>103</v>
      </c>
      <c r="E485">
        <v>41</v>
      </c>
      <c r="F485" t="s">
        <v>201</v>
      </c>
      <c r="G485" t="s">
        <v>165</v>
      </c>
      <c r="H485" t="s">
        <v>42</v>
      </c>
      <c r="I485" t="e">
        <f ca="1">_xludf.XLOOKUP(H485,Base_Planos!$A:$A,Base_Planos!$B:$B,"Não encontrado")</f>
        <v>#NAME?</v>
      </c>
      <c r="J485" s="2">
        <f>VLOOKUP(H485,Base_Planos!$A:$G,4,FALSE)</f>
        <v>29.9</v>
      </c>
      <c r="K485" s="4">
        <v>45754</v>
      </c>
      <c r="L485" t="s">
        <v>222</v>
      </c>
      <c r="M485" t="s">
        <v>44</v>
      </c>
      <c r="N485" s="4"/>
      <c r="O485" s="10">
        <f t="shared" ca="1" si="46"/>
        <v>415</v>
      </c>
      <c r="P485" s="10" t="str">
        <f t="shared" ca="1" si="43"/>
        <v>Mais de 1 ano</v>
      </c>
      <c r="Q485">
        <f t="shared" si="48"/>
        <v>0</v>
      </c>
      <c r="R485">
        <v>1</v>
      </c>
      <c r="S485" s="11">
        <f t="shared" si="47"/>
        <v>0</v>
      </c>
      <c r="T485" s="11" t="str">
        <f t="shared" si="44"/>
        <v>Detrator</v>
      </c>
      <c r="U485" s="11" t="str">
        <f t="shared" si="45"/>
        <v>Alto risco</v>
      </c>
      <c r="V485">
        <v>0</v>
      </c>
      <c r="W485">
        <v>86</v>
      </c>
      <c r="X485" s="2">
        <v>30</v>
      </c>
      <c r="Y485">
        <v>13</v>
      </c>
      <c r="Z485" t="s">
        <v>35</v>
      </c>
    </row>
    <row r="486" spans="1:26">
      <c r="A486" t="s">
        <v>935</v>
      </c>
      <c r="B486" t="s">
        <v>936</v>
      </c>
      <c r="C486" t="s">
        <v>48</v>
      </c>
      <c r="D486" t="s">
        <v>29</v>
      </c>
      <c r="E486">
        <v>59</v>
      </c>
      <c r="F486" t="s">
        <v>66</v>
      </c>
      <c r="G486" t="s">
        <v>165</v>
      </c>
      <c r="H486" t="s">
        <v>112</v>
      </c>
      <c r="I486" t="e">
        <f ca="1">_xludf.XLOOKUP(H486,Base_Planos!$A:$A,Base_Planos!$B:$B,"Não encontrado")</f>
        <v>#NAME?</v>
      </c>
      <c r="J486" s="2">
        <f>VLOOKUP(H486,Base_Planos!$A:$G,4,FALSE)</f>
        <v>79.900000000000006</v>
      </c>
      <c r="K486" s="4">
        <v>45755</v>
      </c>
      <c r="L486" t="s">
        <v>222</v>
      </c>
      <c r="M486" t="s">
        <v>34</v>
      </c>
      <c r="N486" s="4">
        <v>46035</v>
      </c>
      <c r="O486" s="10">
        <f t="shared" ca="1" si="46"/>
        <v>280</v>
      </c>
      <c r="P486" s="10" t="str">
        <f t="shared" ca="1" si="43"/>
        <v>181 a 365 dias</v>
      </c>
      <c r="Q486">
        <f t="shared" si="48"/>
        <v>0</v>
      </c>
      <c r="R486">
        <v>7</v>
      </c>
      <c r="S486" s="11">
        <f t="shared" si="47"/>
        <v>0</v>
      </c>
      <c r="T486" s="11" t="str">
        <f t="shared" si="44"/>
        <v>Neutro</v>
      </c>
      <c r="U486" s="11" t="str">
        <f t="shared" si="45"/>
        <v>Médio risco</v>
      </c>
      <c r="V486">
        <v>0</v>
      </c>
      <c r="W486">
        <v>55</v>
      </c>
      <c r="X486" s="2">
        <v>71.599999999999994</v>
      </c>
      <c r="Y486">
        <v>9</v>
      </c>
      <c r="Z486" t="s">
        <v>50</v>
      </c>
    </row>
    <row r="487" spans="1:26">
      <c r="A487" t="s">
        <v>937</v>
      </c>
      <c r="B487" t="s">
        <v>431</v>
      </c>
      <c r="C487" t="s">
        <v>102</v>
      </c>
      <c r="D487" t="s">
        <v>103</v>
      </c>
      <c r="E487">
        <v>65</v>
      </c>
      <c r="F487" t="s">
        <v>30</v>
      </c>
      <c r="G487" t="s">
        <v>55</v>
      </c>
      <c r="H487" t="s">
        <v>112</v>
      </c>
      <c r="I487" t="e">
        <f ca="1">_xludf.XLOOKUP(H487,Base_Planos!$A:$A,Base_Planos!$B:$B,"Não encontrado")</f>
        <v>#NAME?</v>
      </c>
      <c r="J487" s="2">
        <f>VLOOKUP(H487,Base_Planos!$A:$G,4,FALSE)</f>
        <v>79.900000000000006</v>
      </c>
      <c r="K487" s="4">
        <v>44981</v>
      </c>
      <c r="L487" t="s">
        <v>425</v>
      </c>
      <c r="M487" t="s">
        <v>44</v>
      </c>
      <c r="N487" s="4"/>
      <c r="O487" s="10">
        <f t="shared" ca="1" si="46"/>
        <v>1188</v>
      </c>
      <c r="P487" s="10" t="str">
        <f t="shared" ca="1" si="43"/>
        <v>Mais de 1 ano</v>
      </c>
      <c r="Q487">
        <f t="shared" si="48"/>
        <v>1</v>
      </c>
      <c r="R487">
        <v>2</v>
      </c>
      <c r="S487" s="11">
        <f t="shared" si="47"/>
        <v>79.900000000000006</v>
      </c>
      <c r="T487" s="11" t="str">
        <f t="shared" si="44"/>
        <v>Detrator</v>
      </c>
      <c r="U487" s="11" t="str">
        <f t="shared" si="45"/>
        <v>Alto risco</v>
      </c>
      <c r="V487">
        <v>0</v>
      </c>
      <c r="W487">
        <v>85</v>
      </c>
      <c r="X487" s="2">
        <v>69.45</v>
      </c>
      <c r="Y487">
        <v>39</v>
      </c>
      <c r="Z487" t="s">
        <v>35</v>
      </c>
    </row>
    <row r="488" spans="1:26">
      <c r="A488" t="s">
        <v>938</v>
      </c>
      <c r="B488" t="s">
        <v>613</v>
      </c>
      <c r="C488" t="s">
        <v>48</v>
      </c>
      <c r="D488" t="s">
        <v>29</v>
      </c>
      <c r="E488">
        <v>49</v>
      </c>
      <c r="F488" t="s">
        <v>40</v>
      </c>
      <c r="G488" t="s">
        <v>31</v>
      </c>
      <c r="H488" t="s">
        <v>42</v>
      </c>
      <c r="I488" t="e">
        <f ca="1">_xludf.XLOOKUP(H488,Base_Planos!$A:$A,Base_Planos!$B:$B,"Não encontrado")</f>
        <v>#NAME?</v>
      </c>
      <c r="J488" s="2">
        <f>VLOOKUP(H488,Base_Planos!$A:$G,4,FALSE)</f>
        <v>29.9</v>
      </c>
      <c r="K488" s="4">
        <v>45946</v>
      </c>
      <c r="L488" t="s">
        <v>196</v>
      </c>
      <c r="M488" t="s">
        <v>44</v>
      </c>
      <c r="N488" s="4"/>
      <c r="O488" s="10">
        <f t="shared" ca="1" si="46"/>
        <v>223</v>
      </c>
      <c r="P488" s="10" t="str">
        <f t="shared" ca="1" si="43"/>
        <v>181 a 365 dias</v>
      </c>
      <c r="Q488">
        <f t="shared" si="48"/>
        <v>0</v>
      </c>
      <c r="R488">
        <v>7</v>
      </c>
      <c r="S488" s="11">
        <f t="shared" si="47"/>
        <v>0</v>
      </c>
      <c r="T488" s="11" t="str">
        <f t="shared" si="44"/>
        <v>Neutro</v>
      </c>
      <c r="U488" s="11" t="str">
        <f t="shared" si="45"/>
        <v>Médio risco</v>
      </c>
      <c r="V488">
        <v>2</v>
      </c>
      <c r="W488">
        <v>55</v>
      </c>
      <c r="X488" s="2">
        <v>25.52</v>
      </c>
      <c r="Y488">
        <v>7</v>
      </c>
      <c r="Z488" t="s">
        <v>50</v>
      </c>
    </row>
    <row r="489" spans="1:26">
      <c r="A489" t="s">
        <v>939</v>
      </c>
      <c r="B489" t="s">
        <v>940</v>
      </c>
      <c r="C489" t="s">
        <v>71</v>
      </c>
      <c r="D489" t="s">
        <v>72</v>
      </c>
      <c r="E489">
        <v>25</v>
      </c>
      <c r="F489" t="s">
        <v>54</v>
      </c>
      <c r="G489" t="s">
        <v>165</v>
      </c>
      <c r="H489" t="s">
        <v>86</v>
      </c>
      <c r="I489" t="e">
        <f ca="1">_xludf.XLOOKUP(H489,Base_Planos!$A:$A,Base_Planos!$B:$B,"Não encontrado")</f>
        <v>#NAME?</v>
      </c>
      <c r="J489" s="2">
        <f>VLOOKUP(H489,Base_Planos!$A:$G,4,FALSE)</f>
        <v>119.9</v>
      </c>
      <c r="K489" s="4">
        <v>45833</v>
      </c>
      <c r="L489" t="s">
        <v>167</v>
      </c>
      <c r="M489" t="s">
        <v>44</v>
      </c>
      <c r="N489" s="4"/>
      <c r="O489" s="10">
        <f t="shared" ca="1" si="46"/>
        <v>336</v>
      </c>
      <c r="P489" s="10" t="str">
        <f t="shared" ca="1" si="43"/>
        <v>181 a 365 dias</v>
      </c>
      <c r="Q489">
        <f t="shared" si="48"/>
        <v>1</v>
      </c>
      <c r="R489">
        <v>7</v>
      </c>
      <c r="S489" s="11">
        <f t="shared" si="47"/>
        <v>119.9</v>
      </c>
      <c r="T489" s="11" t="str">
        <f t="shared" si="44"/>
        <v>Neutro</v>
      </c>
      <c r="U489" s="11" t="str">
        <f t="shared" si="45"/>
        <v>Alto risco</v>
      </c>
      <c r="V489">
        <v>1</v>
      </c>
      <c r="W489">
        <v>60</v>
      </c>
      <c r="X489" s="2">
        <v>123.13</v>
      </c>
      <c r="Y489">
        <v>11</v>
      </c>
      <c r="Z489" t="s">
        <v>50</v>
      </c>
    </row>
    <row r="490" spans="1:26">
      <c r="A490" t="s">
        <v>941</v>
      </c>
      <c r="B490" t="s">
        <v>169</v>
      </c>
      <c r="C490" t="s">
        <v>71</v>
      </c>
      <c r="D490" t="s">
        <v>72</v>
      </c>
      <c r="E490">
        <v>26</v>
      </c>
      <c r="F490" t="s">
        <v>30</v>
      </c>
      <c r="G490" t="s">
        <v>41</v>
      </c>
      <c r="H490" t="s">
        <v>112</v>
      </c>
      <c r="I490" t="e">
        <f ca="1">_xludf.XLOOKUP(H490,Base_Planos!$A:$A,Base_Planos!$B:$B,"Não encontrado")</f>
        <v>#NAME?</v>
      </c>
      <c r="J490" s="2">
        <f>VLOOKUP(H490,Base_Planos!$A:$G,4,FALSE)</f>
        <v>79.900000000000006</v>
      </c>
      <c r="K490" s="4">
        <v>45151</v>
      </c>
      <c r="L490" t="s">
        <v>162</v>
      </c>
      <c r="M490" t="s">
        <v>44</v>
      </c>
      <c r="N490" s="4"/>
      <c r="O490" s="10">
        <f t="shared" ca="1" si="46"/>
        <v>1018</v>
      </c>
      <c r="P490" s="10" t="str">
        <f t="shared" ca="1" si="43"/>
        <v>Mais de 1 ano</v>
      </c>
      <c r="Q490">
        <f t="shared" si="48"/>
        <v>1</v>
      </c>
      <c r="R490">
        <v>9</v>
      </c>
      <c r="S490" s="11">
        <f t="shared" si="47"/>
        <v>79.900000000000006</v>
      </c>
      <c r="T490" s="11" t="str">
        <f t="shared" si="44"/>
        <v>Promotor</v>
      </c>
      <c r="U490" s="11" t="str">
        <f t="shared" si="45"/>
        <v>Alto risco</v>
      </c>
      <c r="V490">
        <v>1</v>
      </c>
      <c r="W490">
        <v>20</v>
      </c>
      <c r="X490" s="2">
        <v>75.52</v>
      </c>
      <c r="Y490">
        <v>33</v>
      </c>
      <c r="Z490" t="s">
        <v>50</v>
      </c>
    </row>
    <row r="491" spans="1:26">
      <c r="A491" t="s">
        <v>942</v>
      </c>
      <c r="B491" t="s">
        <v>943</v>
      </c>
      <c r="C491" t="s">
        <v>38</v>
      </c>
      <c r="D491" t="s">
        <v>39</v>
      </c>
      <c r="E491">
        <v>21</v>
      </c>
      <c r="F491" t="s">
        <v>54</v>
      </c>
      <c r="G491" t="s">
        <v>104</v>
      </c>
      <c r="H491" t="s">
        <v>61</v>
      </c>
      <c r="I491" t="e">
        <f ca="1">_xludf.XLOOKUP(H491,Base_Planos!$A:$A,Base_Planos!$B:$B,"Não encontrado")</f>
        <v>#NAME?</v>
      </c>
      <c r="J491" s="2">
        <f>VLOOKUP(H491,Base_Planos!$A:$G,4,FALSE)</f>
        <v>59.9</v>
      </c>
      <c r="K491" s="4">
        <v>45700</v>
      </c>
      <c r="L491" t="s">
        <v>289</v>
      </c>
      <c r="M491" t="s">
        <v>34</v>
      </c>
      <c r="N491" s="4">
        <v>46032</v>
      </c>
      <c r="O491" s="10">
        <f t="shared" ca="1" si="46"/>
        <v>332</v>
      </c>
      <c r="P491" s="10" t="str">
        <f t="shared" ca="1" si="43"/>
        <v>181 a 365 dias</v>
      </c>
      <c r="Q491">
        <f t="shared" si="48"/>
        <v>1</v>
      </c>
      <c r="R491">
        <v>9</v>
      </c>
      <c r="S491" s="11">
        <f t="shared" si="47"/>
        <v>59.9</v>
      </c>
      <c r="T491" s="11" t="str">
        <f t="shared" si="44"/>
        <v>Promotor</v>
      </c>
      <c r="U491" s="11" t="str">
        <f t="shared" si="45"/>
        <v>Alto risco</v>
      </c>
      <c r="V491">
        <v>0</v>
      </c>
      <c r="W491">
        <v>14</v>
      </c>
      <c r="X491" s="2">
        <v>60.94</v>
      </c>
      <c r="Y491">
        <v>11</v>
      </c>
      <c r="Z491" t="s">
        <v>35</v>
      </c>
    </row>
    <row r="492" spans="1:26">
      <c r="A492" t="s">
        <v>944</v>
      </c>
      <c r="B492" t="s">
        <v>945</v>
      </c>
      <c r="C492" t="s">
        <v>28</v>
      </c>
      <c r="D492" t="s">
        <v>29</v>
      </c>
      <c r="E492">
        <v>58</v>
      </c>
      <c r="F492" t="s">
        <v>30</v>
      </c>
      <c r="G492" t="s">
        <v>55</v>
      </c>
      <c r="H492" t="s">
        <v>112</v>
      </c>
      <c r="I492" t="e">
        <f ca="1">_xludf.XLOOKUP(H492,Base_Planos!$A:$A,Base_Planos!$B:$B,"Não encontrado")</f>
        <v>#NAME?</v>
      </c>
      <c r="J492" s="2">
        <f>VLOOKUP(H492,Base_Planos!$A:$G,4,FALSE)</f>
        <v>79.900000000000006</v>
      </c>
      <c r="K492" s="4">
        <v>45658</v>
      </c>
      <c r="L492" t="s">
        <v>261</v>
      </c>
      <c r="M492" t="s">
        <v>44</v>
      </c>
      <c r="N492" s="4"/>
      <c r="O492" s="10">
        <f t="shared" ca="1" si="46"/>
        <v>511</v>
      </c>
      <c r="P492" s="10" t="str">
        <f t="shared" ca="1" si="43"/>
        <v>Mais de 1 ano</v>
      </c>
      <c r="Q492">
        <f>IF(M269="Cancelado",1,0)</f>
        <v>1</v>
      </c>
      <c r="R492">
        <v>6</v>
      </c>
      <c r="S492" s="11">
        <f t="shared" si="47"/>
        <v>79.900000000000006</v>
      </c>
      <c r="T492" s="11" t="str">
        <f t="shared" si="44"/>
        <v>Detrator</v>
      </c>
      <c r="U492" s="11" t="str">
        <f t="shared" si="45"/>
        <v>Alto risco</v>
      </c>
      <c r="V492">
        <v>0</v>
      </c>
      <c r="W492">
        <v>90</v>
      </c>
      <c r="X492" s="2">
        <v>77.38</v>
      </c>
      <c r="Y492">
        <v>17</v>
      </c>
      <c r="Z492" t="s">
        <v>50</v>
      </c>
    </row>
    <row r="493" spans="1:26">
      <c r="A493" t="s">
        <v>946</v>
      </c>
      <c r="B493" t="s">
        <v>125</v>
      </c>
      <c r="C493" t="s">
        <v>53</v>
      </c>
      <c r="D493" t="s">
        <v>29</v>
      </c>
      <c r="E493">
        <v>37</v>
      </c>
      <c r="F493" t="s">
        <v>30</v>
      </c>
      <c r="G493" t="s">
        <v>96</v>
      </c>
      <c r="H493" t="s">
        <v>32</v>
      </c>
      <c r="I493" t="e">
        <f ca="1">_xludf.XLOOKUP(H493,Base_Planos!$A:$A,Base_Planos!$B:$B,"Não encontrado")</f>
        <v>#NAME?</v>
      </c>
      <c r="J493" s="2">
        <f>VLOOKUP(H493,Base_Planos!$A:$G,4,FALSE)</f>
        <v>39.9</v>
      </c>
      <c r="K493" s="4">
        <v>45594</v>
      </c>
      <c r="L493" t="s">
        <v>123</v>
      </c>
      <c r="M493" t="s">
        <v>44</v>
      </c>
      <c r="N493" s="4"/>
      <c r="O493" s="10">
        <f t="shared" ca="1" si="46"/>
        <v>575</v>
      </c>
      <c r="P493" s="10" t="str">
        <f t="shared" ca="1" si="43"/>
        <v>Mais de 1 ano</v>
      </c>
      <c r="Q493">
        <f t="shared" si="48"/>
        <v>0</v>
      </c>
      <c r="R493">
        <v>0</v>
      </c>
      <c r="S493" s="11">
        <f t="shared" si="47"/>
        <v>0</v>
      </c>
      <c r="T493" s="11" t="str">
        <f t="shared" si="44"/>
        <v>Detrator</v>
      </c>
      <c r="U493" s="11" t="str">
        <f t="shared" si="45"/>
        <v>Alto risco</v>
      </c>
      <c r="V493">
        <v>0</v>
      </c>
      <c r="W493">
        <v>70</v>
      </c>
      <c r="X493" s="2">
        <v>36.04</v>
      </c>
      <c r="Y493">
        <v>19</v>
      </c>
      <c r="Z493" t="s">
        <v>35</v>
      </c>
    </row>
    <row r="494" spans="1:26">
      <c r="A494" t="s">
        <v>947</v>
      </c>
      <c r="B494" t="s">
        <v>324</v>
      </c>
      <c r="C494" t="s">
        <v>90</v>
      </c>
      <c r="D494" t="s">
        <v>29</v>
      </c>
      <c r="E494">
        <v>19</v>
      </c>
      <c r="F494" t="s">
        <v>201</v>
      </c>
      <c r="G494" t="s">
        <v>41</v>
      </c>
      <c r="H494" t="s">
        <v>61</v>
      </c>
      <c r="I494" t="e">
        <f ca="1">_xludf.XLOOKUP(H494,Base_Planos!$A:$A,Base_Planos!$B:$B,"Não encontrado")</f>
        <v>#NAME?</v>
      </c>
      <c r="J494" s="2">
        <f>VLOOKUP(H494,Base_Planos!$A:$G,4,FALSE)</f>
        <v>59.9</v>
      </c>
      <c r="K494" s="4">
        <v>45587</v>
      </c>
      <c r="L494" t="s">
        <v>123</v>
      </c>
      <c r="M494" t="s">
        <v>44</v>
      </c>
      <c r="N494" s="4"/>
      <c r="O494" s="10">
        <f t="shared" ca="1" si="46"/>
        <v>582</v>
      </c>
      <c r="P494" s="10" t="str">
        <f t="shared" ca="1" si="43"/>
        <v>Mais de 1 ano</v>
      </c>
      <c r="Q494">
        <f t="shared" si="48"/>
        <v>0</v>
      </c>
      <c r="R494">
        <v>9</v>
      </c>
      <c r="S494" s="11">
        <f t="shared" si="47"/>
        <v>0</v>
      </c>
      <c r="T494" s="11" t="str">
        <f t="shared" si="44"/>
        <v>Promotor</v>
      </c>
      <c r="U494" s="11" t="str">
        <f t="shared" si="45"/>
        <v>Baixo risco</v>
      </c>
      <c r="V494">
        <v>1</v>
      </c>
      <c r="W494">
        <v>75</v>
      </c>
      <c r="X494" s="2">
        <v>56.87</v>
      </c>
      <c r="Y494">
        <v>19</v>
      </c>
      <c r="Z494" t="s">
        <v>50</v>
      </c>
    </row>
    <row r="495" spans="1:26">
      <c r="A495" t="s">
        <v>948</v>
      </c>
      <c r="B495" t="s">
        <v>308</v>
      </c>
      <c r="C495" t="s">
        <v>94</v>
      </c>
      <c r="D495" t="s">
        <v>95</v>
      </c>
      <c r="E495">
        <v>57</v>
      </c>
      <c r="F495" t="s">
        <v>30</v>
      </c>
      <c r="G495" t="s">
        <v>41</v>
      </c>
      <c r="H495" t="s">
        <v>42</v>
      </c>
      <c r="I495" t="e">
        <f ca="1">_xludf.XLOOKUP(H495,Base_Planos!$A:$A,Base_Planos!$B:$B,"Não encontrado")</f>
        <v>#NAME?</v>
      </c>
      <c r="J495" s="2">
        <f>VLOOKUP(H495,Base_Planos!$A:$G,4,FALSE)</f>
        <v>29.9</v>
      </c>
      <c r="K495" s="4">
        <v>45081</v>
      </c>
      <c r="L495" t="s">
        <v>328</v>
      </c>
      <c r="M495" t="s">
        <v>44</v>
      </c>
      <c r="N495" s="4"/>
      <c r="O495" s="10">
        <f t="shared" ca="1" si="46"/>
        <v>1088</v>
      </c>
      <c r="P495" s="10" t="str">
        <f t="shared" ca="1" si="43"/>
        <v>Mais de 1 ano</v>
      </c>
      <c r="Q495">
        <f t="shared" si="48"/>
        <v>0</v>
      </c>
      <c r="R495">
        <v>8</v>
      </c>
      <c r="S495" s="11">
        <f t="shared" si="47"/>
        <v>0</v>
      </c>
      <c r="T495" s="11" t="str">
        <f t="shared" si="44"/>
        <v>Neutro</v>
      </c>
      <c r="U495" s="11" t="str">
        <f t="shared" si="45"/>
        <v>Médio risco</v>
      </c>
      <c r="V495">
        <v>0</v>
      </c>
      <c r="W495">
        <v>78</v>
      </c>
      <c r="X495" s="2">
        <v>30.23</v>
      </c>
      <c r="Y495">
        <v>36</v>
      </c>
      <c r="Z495" t="s">
        <v>50</v>
      </c>
    </row>
    <row r="496" spans="1:26">
      <c r="A496" t="s">
        <v>949</v>
      </c>
      <c r="B496" t="s">
        <v>667</v>
      </c>
      <c r="C496" t="s">
        <v>137</v>
      </c>
      <c r="D496" t="s">
        <v>29</v>
      </c>
      <c r="E496">
        <v>55</v>
      </c>
      <c r="F496" t="s">
        <v>30</v>
      </c>
      <c r="G496" t="s">
        <v>165</v>
      </c>
      <c r="H496" t="s">
        <v>42</v>
      </c>
      <c r="I496" t="e">
        <f ca="1">_xludf.XLOOKUP(H496,Base_Planos!$A:$A,Base_Planos!$B:$B,"Não encontrado")</f>
        <v>#NAME?</v>
      </c>
      <c r="J496" s="2">
        <f>VLOOKUP(H496,Base_Planos!$A:$G,4,FALSE)</f>
        <v>29.9</v>
      </c>
      <c r="K496" s="4">
        <v>46087</v>
      </c>
      <c r="L496" t="s">
        <v>292</v>
      </c>
      <c r="M496" t="s">
        <v>44</v>
      </c>
      <c r="N496" s="4"/>
      <c r="O496" s="10">
        <f t="shared" ca="1" si="46"/>
        <v>82</v>
      </c>
      <c r="P496" s="10" t="str">
        <f t="shared" ca="1" si="43"/>
        <v>31 a 90 dias</v>
      </c>
      <c r="Q496">
        <f t="shared" si="48"/>
        <v>0</v>
      </c>
      <c r="R496">
        <v>8</v>
      </c>
      <c r="S496" s="11">
        <f t="shared" si="47"/>
        <v>0</v>
      </c>
      <c r="T496" s="11" t="str">
        <f t="shared" si="44"/>
        <v>Neutro</v>
      </c>
      <c r="U496" s="11" t="str">
        <f t="shared" si="45"/>
        <v>Médio risco</v>
      </c>
      <c r="V496">
        <v>1</v>
      </c>
      <c r="W496">
        <v>59</v>
      </c>
      <c r="X496" s="2">
        <v>27.22</v>
      </c>
      <c r="Y496">
        <v>2</v>
      </c>
      <c r="Z496" t="s">
        <v>50</v>
      </c>
    </row>
    <row r="497" spans="1:26">
      <c r="A497" t="s">
        <v>950</v>
      </c>
      <c r="B497" t="s">
        <v>629</v>
      </c>
      <c r="C497" t="s">
        <v>71</v>
      </c>
      <c r="D497" t="s">
        <v>72</v>
      </c>
      <c r="E497">
        <v>60</v>
      </c>
      <c r="F497" t="s">
        <v>54</v>
      </c>
      <c r="G497" t="s">
        <v>31</v>
      </c>
      <c r="H497" t="s">
        <v>112</v>
      </c>
      <c r="I497" t="e">
        <f ca="1">_xludf.XLOOKUP(H497,Base_Planos!$A:$A,Base_Planos!$B:$B,"Não encontrado")</f>
        <v>#NAME?</v>
      </c>
      <c r="J497" s="2">
        <f>VLOOKUP(H497,Base_Planos!$A:$G,4,FALSE)</f>
        <v>79.900000000000006</v>
      </c>
      <c r="K497" s="4">
        <v>45441</v>
      </c>
      <c r="L497" t="s">
        <v>130</v>
      </c>
      <c r="M497" t="s">
        <v>44</v>
      </c>
      <c r="N497" s="4"/>
      <c r="O497" s="10">
        <f t="shared" ca="1" si="46"/>
        <v>728</v>
      </c>
      <c r="P497" s="10" t="str">
        <f t="shared" ca="1" si="43"/>
        <v>Mais de 1 ano</v>
      </c>
      <c r="Q497">
        <f t="shared" si="48"/>
        <v>0</v>
      </c>
      <c r="R497">
        <v>9</v>
      </c>
      <c r="S497" s="11">
        <f t="shared" si="47"/>
        <v>0</v>
      </c>
      <c r="T497" s="11" t="str">
        <f t="shared" si="44"/>
        <v>Promotor</v>
      </c>
      <c r="U497" s="11" t="str">
        <f t="shared" si="45"/>
        <v>Baixo risco</v>
      </c>
      <c r="V497">
        <v>0</v>
      </c>
      <c r="W497">
        <v>52</v>
      </c>
      <c r="X497" s="2">
        <v>77.95</v>
      </c>
      <c r="Y497">
        <v>24</v>
      </c>
      <c r="Z497" t="s">
        <v>50</v>
      </c>
    </row>
    <row r="498" spans="1:26">
      <c r="A498" t="s">
        <v>951</v>
      </c>
      <c r="B498" t="s">
        <v>85</v>
      </c>
      <c r="C498" t="s">
        <v>90</v>
      </c>
      <c r="D498" t="s">
        <v>29</v>
      </c>
      <c r="E498">
        <v>49</v>
      </c>
      <c r="F498" t="s">
        <v>30</v>
      </c>
      <c r="G498" t="s">
        <v>104</v>
      </c>
      <c r="H498" t="s">
        <v>42</v>
      </c>
      <c r="I498" t="e">
        <f ca="1">_xludf.XLOOKUP(H498,Base_Planos!$A:$A,Base_Planos!$B:$B,"Não encontrado")</f>
        <v>#NAME?</v>
      </c>
      <c r="J498" s="2">
        <f>VLOOKUP(H498,Base_Planos!$A:$G,4,FALSE)</f>
        <v>29.9</v>
      </c>
      <c r="K498" s="4">
        <v>46018</v>
      </c>
      <c r="L498" t="s">
        <v>170</v>
      </c>
      <c r="M498" t="s">
        <v>44</v>
      </c>
      <c r="N498" s="4"/>
      <c r="O498" s="10">
        <f t="shared" ca="1" si="46"/>
        <v>151</v>
      </c>
      <c r="P498" s="10" t="str">
        <f t="shared" ca="1" si="43"/>
        <v>91 a 180 dias</v>
      </c>
      <c r="Q498">
        <f t="shared" si="48"/>
        <v>0</v>
      </c>
      <c r="R498">
        <v>9</v>
      </c>
      <c r="S498" s="11">
        <f t="shared" si="47"/>
        <v>0</v>
      </c>
      <c r="T498" s="11" t="str">
        <f t="shared" si="44"/>
        <v>Promotor</v>
      </c>
      <c r="U498" s="11" t="str">
        <f t="shared" si="45"/>
        <v>Baixo risco</v>
      </c>
      <c r="V498">
        <v>3</v>
      </c>
      <c r="W498">
        <v>8</v>
      </c>
      <c r="X498" s="2">
        <v>25.77</v>
      </c>
      <c r="Y498">
        <v>5</v>
      </c>
      <c r="Z498" t="s">
        <v>45</v>
      </c>
    </row>
    <row r="499" spans="1:26">
      <c r="A499" t="s">
        <v>952</v>
      </c>
      <c r="B499" t="s">
        <v>953</v>
      </c>
      <c r="C499" t="s">
        <v>77</v>
      </c>
      <c r="D499" t="s">
        <v>78</v>
      </c>
      <c r="E499">
        <v>27</v>
      </c>
      <c r="F499" t="s">
        <v>30</v>
      </c>
      <c r="G499" t="s">
        <v>73</v>
      </c>
      <c r="H499" t="s">
        <v>86</v>
      </c>
      <c r="I499" t="e">
        <f ca="1">_xludf.XLOOKUP(H499,Base_Planos!$A:$A,Base_Planos!$B:$B,"Não encontrado")</f>
        <v>#NAME?</v>
      </c>
      <c r="J499" s="2">
        <f>VLOOKUP(H499,Base_Planos!$A:$G,4,FALSE)</f>
        <v>119.9</v>
      </c>
      <c r="K499" s="4">
        <v>45767</v>
      </c>
      <c r="L499" t="s">
        <v>222</v>
      </c>
      <c r="M499" t="s">
        <v>44</v>
      </c>
      <c r="N499" s="4"/>
      <c r="O499" s="10">
        <f t="shared" ca="1" si="46"/>
        <v>402</v>
      </c>
      <c r="P499" s="10" t="str">
        <f t="shared" ca="1" si="43"/>
        <v>Mais de 1 ano</v>
      </c>
      <c r="Q499">
        <f t="shared" si="48"/>
        <v>1</v>
      </c>
      <c r="R499">
        <v>5</v>
      </c>
      <c r="S499" s="11">
        <f t="shared" si="47"/>
        <v>119.9</v>
      </c>
      <c r="T499" s="11" t="str">
        <f t="shared" si="44"/>
        <v>Detrator</v>
      </c>
      <c r="U499" s="11" t="str">
        <f t="shared" si="45"/>
        <v>Alto risco</v>
      </c>
      <c r="V499">
        <v>1</v>
      </c>
      <c r="W499">
        <v>9</v>
      </c>
      <c r="X499" s="2">
        <v>108.32</v>
      </c>
      <c r="Y499">
        <v>13</v>
      </c>
      <c r="Z499" t="s">
        <v>45</v>
      </c>
    </row>
    <row r="500" spans="1:26">
      <c r="A500" t="s">
        <v>954</v>
      </c>
      <c r="B500" t="s">
        <v>509</v>
      </c>
      <c r="C500" t="s">
        <v>140</v>
      </c>
      <c r="D500" t="s">
        <v>141</v>
      </c>
      <c r="E500">
        <v>61</v>
      </c>
      <c r="F500" t="s">
        <v>40</v>
      </c>
      <c r="G500" t="s">
        <v>41</v>
      </c>
      <c r="H500" t="s">
        <v>42</v>
      </c>
      <c r="I500" t="e">
        <f ca="1">_xludf.XLOOKUP(H500,Base_Planos!$A:$A,Base_Planos!$B:$B,"Não encontrado")</f>
        <v>#NAME?</v>
      </c>
      <c r="J500" s="2">
        <f>VLOOKUP(H500,Base_Planos!$A:$G,4,FALSE)</f>
        <v>29.9</v>
      </c>
      <c r="K500" s="4">
        <v>45234</v>
      </c>
      <c r="L500" t="s">
        <v>79</v>
      </c>
      <c r="M500" t="s">
        <v>44</v>
      </c>
      <c r="N500" s="4"/>
      <c r="O500" s="10">
        <f t="shared" ca="1" si="46"/>
        <v>935</v>
      </c>
      <c r="P500" s="10" t="str">
        <f t="shared" ca="1" si="43"/>
        <v>Mais de 1 ano</v>
      </c>
      <c r="Q500">
        <f t="shared" si="48"/>
        <v>1</v>
      </c>
      <c r="R500">
        <v>3</v>
      </c>
      <c r="S500" s="11">
        <f t="shared" si="47"/>
        <v>29.9</v>
      </c>
      <c r="T500" s="11" t="str">
        <f t="shared" si="44"/>
        <v>Detrator</v>
      </c>
      <c r="U500" s="11" t="str">
        <f t="shared" si="45"/>
        <v>Alto risco</v>
      </c>
      <c r="V500">
        <v>0</v>
      </c>
      <c r="W500">
        <v>65</v>
      </c>
      <c r="X500" s="2">
        <v>31.34</v>
      </c>
      <c r="Y500">
        <v>31</v>
      </c>
      <c r="Z500" t="s">
        <v>45</v>
      </c>
    </row>
    <row r="501" spans="1:26">
      <c r="A501" t="s">
        <v>955</v>
      </c>
      <c r="B501" t="s">
        <v>956</v>
      </c>
      <c r="C501" t="s">
        <v>59</v>
      </c>
      <c r="D501" t="s">
        <v>60</v>
      </c>
      <c r="E501">
        <v>28</v>
      </c>
      <c r="F501" t="s">
        <v>30</v>
      </c>
      <c r="G501" t="s">
        <v>67</v>
      </c>
      <c r="H501" t="s">
        <v>42</v>
      </c>
      <c r="I501" t="e">
        <f ca="1">_xludf.XLOOKUP(H501,Base_Planos!$A:$A,Base_Planos!$B:$B,"Não encontrado")</f>
        <v>#NAME?</v>
      </c>
      <c r="J501" s="2">
        <f>VLOOKUP(H501,Base_Planos!$A:$G,4,FALSE)</f>
        <v>29.9</v>
      </c>
      <c r="K501" s="4">
        <v>45495</v>
      </c>
      <c r="L501" t="s">
        <v>142</v>
      </c>
      <c r="M501" t="s">
        <v>44</v>
      </c>
      <c r="N501" s="4"/>
      <c r="O501" s="10">
        <f t="shared" ca="1" si="46"/>
        <v>674</v>
      </c>
      <c r="P501" s="10" t="str">
        <f t="shared" ca="1" si="43"/>
        <v>Mais de 1 ano</v>
      </c>
      <c r="Q501">
        <f t="shared" si="48"/>
        <v>0</v>
      </c>
      <c r="R501">
        <v>10</v>
      </c>
      <c r="S501" s="11">
        <f t="shared" si="47"/>
        <v>0</v>
      </c>
      <c r="T501" s="11" t="str">
        <f t="shared" si="44"/>
        <v>Promotor</v>
      </c>
      <c r="U501" s="11" t="str">
        <f t="shared" si="45"/>
        <v>Baixo risco</v>
      </c>
      <c r="V501">
        <v>0</v>
      </c>
      <c r="W501">
        <v>44</v>
      </c>
      <c r="X501" s="2">
        <v>30.09</v>
      </c>
      <c r="Y501">
        <v>22</v>
      </c>
      <c r="Z501" t="s">
        <v>50</v>
      </c>
    </row>
    <row r="502" spans="1:26">
      <c r="A502" t="s">
        <v>957</v>
      </c>
      <c r="B502" t="s">
        <v>823</v>
      </c>
      <c r="C502" t="s">
        <v>108</v>
      </c>
      <c r="D502" t="s">
        <v>109</v>
      </c>
      <c r="E502">
        <v>56</v>
      </c>
      <c r="F502" t="s">
        <v>30</v>
      </c>
      <c r="G502" t="s">
        <v>55</v>
      </c>
      <c r="H502" t="s">
        <v>86</v>
      </c>
      <c r="I502" t="e">
        <f ca="1">_xludf.XLOOKUP(H502,Base_Planos!$A:$A,Base_Planos!$B:$B,"Não encontrado")</f>
        <v>#NAME?</v>
      </c>
      <c r="J502" s="2">
        <f>VLOOKUP(H502,Base_Planos!$A:$G,4,FALSE)</f>
        <v>119.9</v>
      </c>
      <c r="K502" s="4">
        <v>45760</v>
      </c>
      <c r="L502" t="s">
        <v>222</v>
      </c>
      <c r="M502" t="s">
        <v>44</v>
      </c>
      <c r="N502" s="4"/>
      <c r="O502" s="10">
        <f t="shared" ca="1" si="46"/>
        <v>409</v>
      </c>
      <c r="P502" s="10" t="str">
        <f t="shared" ca="1" si="43"/>
        <v>Mais de 1 ano</v>
      </c>
      <c r="Q502">
        <f t="shared" si="48"/>
        <v>0</v>
      </c>
      <c r="R502">
        <v>5</v>
      </c>
      <c r="S502" s="11">
        <f t="shared" si="47"/>
        <v>0</v>
      </c>
      <c r="T502" s="11" t="str">
        <f t="shared" si="44"/>
        <v>Detrator</v>
      </c>
      <c r="U502" s="11" t="str">
        <f t="shared" si="45"/>
        <v>Alto risco</v>
      </c>
      <c r="V502">
        <v>0</v>
      </c>
      <c r="W502">
        <v>5</v>
      </c>
      <c r="X502" s="2">
        <v>122.12</v>
      </c>
      <c r="Y502">
        <v>13</v>
      </c>
      <c r="Z502" t="s">
        <v>35</v>
      </c>
    </row>
    <row r="503" spans="1:26">
      <c r="A503" t="s">
        <v>958</v>
      </c>
      <c r="B503" t="s">
        <v>959</v>
      </c>
      <c r="C503" t="s">
        <v>90</v>
      </c>
      <c r="D503" t="s">
        <v>29</v>
      </c>
      <c r="E503">
        <v>65</v>
      </c>
      <c r="F503" t="s">
        <v>54</v>
      </c>
      <c r="G503" t="s">
        <v>55</v>
      </c>
      <c r="H503" t="s">
        <v>112</v>
      </c>
      <c r="I503" t="e">
        <f ca="1">_xludf.XLOOKUP(H503,Base_Planos!$A:$A,Base_Planos!$B:$B,"Não encontrado")</f>
        <v>#NAME?</v>
      </c>
      <c r="J503" s="2">
        <f>VLOOKUP(H503,Base_Planos!$A:$G,4,FALSE)</f>
        <v>79.900000000000006</v>
      </c>
      <c r="K503" s="4">
        <v>46115</v>
      </c>
      <c r="L503" t="s">
        <v>43</v>
      </c>
      <c r="M503" t="s">
        <v>34</v>
      </c>
      <c r="N503" s="4">
        <v>46155</v>
      </c>
      <c r="O503" s="10">
        <f t="shared" ca="1" si="46"/>
        <v>40</v>
      </c>
      <c r="P503" s="10" t="str">
        <f t="shared" ca="1" si="43"/>
        <v>31 a 90 dias</v>
      </c>
      <c r="Q503">
        <f t="shared" si="48"/>
        <v>1</v>
      </c>
      <c r="R503">
        <v>8</v>
      </c>
      <c r="S503" s="11">
        <f t="shared" si="47"/>
        <v>79.900000000000006</v>
      </c>
      <c r="T503" s="11" t="str">
        <f t="shared" si="44"/>
        <v>Neutro</v>
      </c>
      <c r="U503" s="11" t="str">
        <f t="shared" si="45"/>
        <v>Alto risco</v>
      </c>
      <c r="V503">
        <v>0</v>
      </c>
      <c r="W503">
        <v>100</v>
      </c>
      <c r="X503" s="2">
        <v>81.22</v>
      </c>
      <c r="Y503">
        <v>1</v>
      </c>
      <c r="Z503" t="s">
        <v>50</v>
      </c>
    </row>
    <row r="504" spans="1:26">
      <c r="A504" t="s">
        <v>960</v>
      </c>
      <c r="B504" t="s">
        <v>961</v>
      </c>
      <c r="C504" t="s">
        <v>48</v>
      </c>
      <c r="D504" t="s">
        <v>29</v>
      </c>
      <c r="E504">
        <v>65</v>
      </c>
      <c r="F504" t="s">
        <v>40</v>
      </c>
      <c r="G504" t="s">
        <v>41</v>
      </c>
      <c r="H504" t="s">
        <v>42</v>
      </c>
      <c r="I504" t="e">
        <f ca="1">_xludf.XLOOKUP(H504,Base_Planos!$A:$A,Base_Planos!$B:$B,"Não encontrado")</f>
        <v>#NAME?</v>
      </c>
      <c r="J504" s="2">
        <f>VLOOKUP(H504,Base_Planos!$A:$G,4,FALSE)</f>
        <v>29.9</v>
      </c>
      <c r="K504" s="4">
        <v>45145</v>
      </c>
      <c r="L504" t="s">
        <v>162</v>
      </c>
      <c r="M504" t="s">
        <v>44</v>
      </c>
      <c r="N504" s="4"/>
      <c r="O504" s="10">
        <f t="shared" ca="1" si="46"/>
        <v>1024</v>
      </c>
      <c r="P504" s="10" t="str">
        <f t="shared" ca="1" si="43"/>
        <v>Mais de 1 ano</v>
      </c>
      <c r="Q504">
        <f t="shared" si="48"/>
        <v>1</v>
      </c>
      <c r="R504">
        <v>2</v>
      </c>
      <c r="S504" s="11">
        <f t="shared" si="47"/>
        <v>29.9</v>
      </c>
      <c r="T504" s="11" t="str">
        <f t="shared" si="44"/>
        <v>Detrator</v>
      </c>
      <c r="U504" s="11" t="str">
        <f t="shared" si="45"/>
        <v>Alto risco</v>
      </c>
      <c r="V504">
        <v>0</v>
      </c>
      <c r="W504">
        <v>78</v>
      </c>
      <c r="X504" s="2">
        <v>25.75</v>
      </c>
      <c r="Y504">
        <v>34</v>
      </c>
      <c r="Z504" t="s">
        <v>35</v>
      </c>
    </row>
    <row r="505" spans="1:26">
      <c r="A505" t="s">
        <v>962</v>
      </c>
      <c r="B505" t="s">
        <v>254</v>
      </c>
      <c r="C505" t="s">
        <v>137</v>
      </c>
      <c r="D505" t="s">
        <v>29</v>
      </c>
      <c r="E505">
        <v>25</v>
      </c>
      <c r="F505" t="s">
        <v>30</v>
      </c>
      <c r="G505" t="s">
        <v>41</v>
      </c>
      <c r="H505" t="s">
        <v>112</v>
      </c>
      <c r="I505" t="e">
        <f ca="1">_xludf.XLOOKUP(H505,Base_Planos!$A:$A,Base_Planos!$B:$B,"Não encontrado")</f>
        <v>#NAME?</v>
      </c>
      <c r="J505" s="2">
        <f>VLOOKUP(H505,Base_Planos!$A:$G,4,FALSE)</f>
        <v>79.900000000000006</v>
      </c>
      <c r="K505" s="4">
        <v>45431</v>
      </c>
      <c r="L505" t="s">
        <v>130</v>
      </c>
      <c r="M505" t="s">
        <v>44</v>
      </c>
      <c r="N505" s="4"/>
      <c r="O505" s="10">
        <f t="shared" ca="1" si="46"/>
        <v>738</v>
      </c>
      <c r="P505" s="10" t="str">
        <f t="shared" ca="1" si="43"/>
        <v>Mais de 1 ano</v>
      </c>
      <c r="Q505">
        <f t="shared" si="48"/>
        <v>1</v>
      </c>
      <c r="R505">
        <v>4</v>
      </c>
      <c r="S505" s="11">
        <f t="shared" si="47"/>
        <v>79.900000000000006</v>
      </c>
      <c r="T505" s="11" t="str">
        <f t="shared" si="44"/>
        <v>Detrator</v>
      </c>
      <c r="U505" s="11" t="str">
        <f t="shared" si="45"/>
        <v>Alto risco</v>
      </c>
      <c r="V505">
        <v>0</v>
      </c>
      <c r="W505">
        <v>11</v>
      </c>
      <c r="X505" s="2">
        <v>81.040000000000006</v>
      </c>
      <c r="Y505">
        <v>24</v>
      </c>
      <c r="Z505" t="s">
        <v>45</v>
      </c>
    </row>
    <row r="506" spans="1:26">
      <c r="A506" t="s">
        <v>963</v>
      </c>
      <c r="B506" t="s">
        <v>327</v>
      </c>
      <c r="C506" t="s">
        <v>28</v>
      </c>
      <c r="D506" t="s">
        <v>29</v>
      </c>
      <c r="E506">
        <v>65</v>
      </c>
      <c r="F506" t="s">
        <v>40</v>
      </c>
      <c r="G506" t="s">
        <v>67</v>
      </c>
      <c r="H506" t="s">
        <v>61</v>
      </c>
      <c r="I506" t="e">
        <f ca="1">_xludf.XLOOKUP(H506,Base_Planos!$A:$A,Base_Planos!$B:$B,"Não encontrado")</f>
        <v>#NAME?</v>
      </c>
      <c r="J506" s="2">
        <f>VLOOKUP(H506,Base_Planos!$A:$G,4,FALSE)</f>
        <v>59.9</v>
      </c>
      <c r="K506" s="4">
        <v>45417</v>
      </c>
      <c r="L506" t="s">
        <v>130</v>
      </c>
      <c r="M506" t="s">
        <v>34</v>
      </c>
      <c r="N506" s="4">
        <v>46148</v>
      </c>
      <c r="O506" s="10">
        <f t="shared" ca="1" si="46"/>
        <v>731</v>
      </c>
      <c r="P506" s="10" t="str">
        <f t="shared" ca="1" si="43"/>
        <v>Mais de 1 ano</v>
      </c>
      <c r="Q506">
        <f t="shared" si="48"/>
        <v>0</v>
      </c>
      <c r="R506">
        <v>4</v>
      </c>
      <c r="S506" s="11">
        <f t="shared" si="47"/>
        <v>0</v>
      </c>
      <c r="T506" s="11" t="str">
        <f t="shared" si="44"/>
        <v>Detrator</v>
      </c>
      <c r="U506" s="11" t="str">
        <f t="shared" si="45"/>
        <v>Alto risco</v>
      </c>
      <c r="V506">
        <v>3</v>
      </c>
      <c r="W506">
        <v>49</v>
      </c>
      <c r="X506" s="2">
        <v>61.3</v>
      </c>
      <c r="Y506">
        <v>24</v>
      </c>
      <c r="Z506" t="s">
        <v>35</v>
      </c>
    </row>
    <row r="507" spans="1:26">
      <c r="A507" t="s">
        <v>964</v>
      </c>
      <c r="B507" t="s">
        <v>238</v>
      </c>
      <c r="C507" t="s">
        <v>71</v>
      </c>
      <c r="D507" t="s">
        <v>72</v>
      </c>
      <c r="E507">
        <v>18</v>
      </c>
      <c r="F507" t="s">
        <v>66</v>
      </c>
      <c r="G507" t="s">
        <v>41</v>
      </c>
      <c r="H507" t="s">
        <v>86</v>
      </c>
      <c r="I507" t="e">
        <f ca="1">_xludf.XLOOKUP(H507,Base_Planos!$A:$A,Base_Planos!$B:$B,"Não encontrado")</f>
        <v>#NAME?</v>
      </c>
      <c r="J507" s="2">
        <f>VLOOKUP(H507,Base_Planos!$A:$G,4,FALSE)</f>
        <v>119.9</v>
      </c>
      <c r="K507" s="4">
        <v>45450</v>
      </c>
      <c r="L507" t="s">
        <v>145</v>
      </c>
      <c r="M507" t="s">
        <v>34</v>
      </c>
      <c r="N507" s="4">
        <v>45644</v>
      </c>
      <c r="O507" s="10">
        <f t="shared" ca="1" si="46"/>
        <v>194</v>
      </c>
      <c r="P507" s="10" t="str">
        <f t="shared" ca="1" si="43"/>
        <v>181 a 365 dias</v>
      </c>
      <c r="Q507">
        <f t="shared" si="48"/>
        <v>1</v>
      </c>
      <c r="R507">
        <v>4</v>
      </c>
      <c r="S507" s="11">
        <f t="shared" si="47"/>
        <v>119.9</v>
      </c>
      <c r="T507" s="11" t="str">
        <f t="shared" si="44"/>
        <v>Detrator</v>
      </c>
      <c r="U507" s="11" t="str">
        <f t="shared" si="45"/>
        <v>Alto risco</v>
      </c>
      <c r="V507">
        <v>0</v>
      </c>
      <c r="W507">
        <v>84</v>
      </c>
      <c r="X507" s="2">
        <v>117.05</v>
      </c>
      <c r="Y507">
        <v>6</v>
      </c>
      <c r="Z507" t="s">
        <v>45</v>
      </c>
    </row>
    <row r="508" spans="1:26">
      <c r="A508" t="s">
        <v>965</v>
      </c>
      <c r="B508" t="s">
        <v>263</v>
      </c>
      <c r="C508" t="s">
        <v>48</v>
      </c>
      <c r="D508" t="s">
        <v>29</v>
      </c>
      <c r="E508">
        <v>20</v>
      </c>
      <c r="F508" t="s">
        <v>30</v>
      </c>
      <c r="G508" t="s">
        <v>55</v>
      </c>
      <c r="H508" t="s">
        <v>82</v>
      </c>
      <c r="I508" t="e">
        <f ca="1">_xludf.XLOOKUP(H508,Base_Planos!$A:$A,Base_Planos!$B:$B,"Não encontrado")</f>
        <v>#NAME?</v>
      </c>
      <c r="J508" s="2">
        <f>VLOOKUP(H508,Base_Planos!$A:$G,4,FALSE)</f>
        <v>149.9</v>
      </c>
      <c r="K508" s="4">
        <v>45933</v>
      </c>
      <c r="L508" t="s">
        <v>196</v>
      </c>
      <c r="M508" t="s">
        <v>44</v>
      </c>
      <c r="N508" s="4"/>
      <c r="O508" s="10">
        <f t="shared" ca="1" si="46"/>
        <v>236</v>
      </c>
      <c r="P508" s="10" t="str">
        <f t="shared" ca="1" si="43"/>
        <v>181 a 365 dias</v>
      </c>
      <c r="Q508">
        <f t="shared" si="48"/>
        <v>0</v>
      </c>
      <c r="R508">
        <v>7</v>
      </c>
      <c r="S508" s="11">
        <f t="shared" si="47"/>
        <v>0</v>
      </c>
      <c r="T508" s="11" t="str">
        <f t="shared" si="44"/>
        <v>Neutro</v>
      </c>
      <c r="U508" s="11" t="str">
        <f t="shared" si="45"/>
        <v>Médio risco</v>
      </c>
      <c r="V508">
        <v>0</v>
      </c>
      <c r="W508">
        <v>0</v>
      </c>
      <c r="X508" s="2">
        <v>154.94999999999999</v>
      </c>
      <c r="Y508">
        <v>7</v>
      </c>
      <c r="Z508" t="s">
        <v>35</v>
      </c>
    </row>
    <row r="509" spans="1:26">
      <c r="A509" t="s">
        <v>966</v>
      </c>
      <c r="B509" t="s">
        <v>654</v>
      </c>
      <c r="C509" t="s">
        <v>137</v>
      </c>
      <c r="D509" t="s">
        <v>29</v>
      </c>
      <c r="E509">
        <v>34</v>
      </c>
      <c r="F509" t="s">
        <v>54</v>
      </c>
      <c r="G509" t="s">
        <v>165</v>
      </c>
      <c r="H509" t="s">
        <v>112</v>
      </c>
      <c r="I509" t="e">
        <f ca="1">_xludf.XLOOKUP(H509,Base_Planos!$A:$A,Base_Planos!$B:$B,"Não encontrado")</f>
        <v>#NAME?</v>
      </c>
      <c r="J509" s="2">
        <f>VLOOKUP(H509,Base_Planos!$A:$G,4,FALSE)</f>
        <v>79.900000000000006</v>
      </c>
      <c r="K509" s="4">
        <v>46048</v>
      </c>
      <c r="L509" t="s">
        <v>148</v>
      </c>
      <c r="M509" t="s">
        <v>44</v>
      </c>
      <c r="N509" s="4"/>
      <c r="O509" s="10">
        <f t="shared" ca="1" si="46"/>
        <v>121</v>
      </c>
      <c r="P509" s="10" t="str">
        <f t="shared" ca="1" si="43"/>
        <v>91 a 180 dias</v>
      </c>
      <c r="Q509">
        <f t="shared" si="48"/>
        <v>1</v>
      </c>
      <c r="R509">
        <v>5</v>
      </c>
      <c r="S509" s="11">
        <f t="shared" si="47"/>
        <v>79.900000000000006</v>
      </c>
      <c r="T509" s="11" t="str">
        <f t="shared" si="44"/>
        <v>Detrator</v>
      </c>
      <c r="U509" s="11" t="str">
        <f t="shared" si="45"/>
        <v>Alto risco</v>
      </c>
      <c r="V509">
        <v>0</v>
      </c>
      <c r="W509">
        <v>58</v>
      </c>
      <c r="X509" s="2">
        <v>77.98</v>
      </c>
      <c r="Y509">
        <v>4</v>
      </c>
      <c r="Z509" t="s">
        <v>50</v>
      </c>
    </row>
    <row r="510" spans="1:26">
      <c r="A510" t="s">
        <v>967</v>
      </c>
      <c r="B510" t="s">
        <v>507</v>
      </c>
      <c r="C510" t="s">
        <v>28</v>
      </c>
      <c r="D510" t="s">
        <v>29</v>
      </c>
      <c r="E510">
        <v>43</v>
      </c>
      <c r="F510" t="s">
        <v>30</v>
      </c>
      <c r="G510" t="s">
        <v>73</v>
      </c>
      <c r="H510" t="s">
        <v>42</v>
      </c>
      <c r="I510" t="e">
        <f ca="1">_xludf.XLOOKUP(H510,Base_Planos!$A:$A,Base_Planos!$B:$B,"Não encontrado")</f>
        <v>#NAME?</v>
      </c>
      <c r="J510" s="2">
        <f>VLOOKUP(H510,Base_Planos!$A:$G,4,FALSE)</f>
        <v>29.9</v>
      </c>
      <c r="K510" s="4">
        <v>45095</v>
      </c>
      <c r="L510" t="s">
        <v>328</v>
      </c>
      <c r="M510" t="s">
        <v>44</v>
      </c>
      <c r="N510" s="4"/>
      <c r="O510" s="10">
        <f t="shared" ca="1" si="46"/>
        <v>1074</v>
      </c>
      <c r="P510" s="10" t="str">
        <f t="shared" ca="1" si="43"/>
        <v>Mais de 1 ano</v>
      </c>
      <c r="Q510">
        <f t="shared" si="48"/>
        <v>0</v>
      </c>
      <c r="R510">
        <v>1</v>
      </c>
      <c r="S510" s="11">
        <f t="shared" si="47"/>
        <v>0</v>
      </c>
      <c r="T510" s="11" t="str">
        <f t="shared" si="44"/>
        <v>Detrator</v>
      </c>
      <c r="U510" s="11" t="str">
        <f t="shared" si="45"/>
        <v>Alto risco</v>
      </c>
      <c r="V510">
        <v>3</v>
      </c>
      <c r="W510">
        <v>85</v>
      </c>
      <c r="X510" s="2">
        <v>29.98</v>
      </c>
      <c r="Y510">
        <v>35</v>
      </c>
      <c r="Z510" t="s">
        <v>45</v>
      </c>
    </row>
    <row r="511" spans="1:26">
      <c r="A511" t="s">
        <v>968</v>
      </c>
      <c r="B511" t="s">
        <v>819</v>
      </c>
      <c r="C511" t="s">
        <v>65</v>
      </c>
      <c r="D511" t="s">
        <v>29</v>
      </c>
      <c r="E511">
        <v>44</v>
      </c>
      <c r="F511" t="s">
        <v>40</v>
      </c>
      <c r="G511" t="s">
        <v>165</v>
      </c>
      <c r="H511" t="s">
        <v>112</v>
      </c>
      <c r="I511" t="e">
        <f ca="1">_xludf.XLOOKUP(H511,Base_Planos!$A:$A,Base_Planos!$B:$B,"Não encontrado")</f>
        <v>#NAME?</v>
      </c>
      <c r="J511" s="2">
        <f>VLOOKUP(H511,Base_Planos!$A:$G,4,FALSE)</f>
        <v>79.900000000000006</v>
      </c>
      <c r="K511" s="4">
        <v>45200</v>
      </c>
      <c r="L511" t="s">
        <v>215</v>
      </c>
      <c r="M511" t="s">
        <v>34</v>
      </c>
      <c r="N511" s="4">
        <v>45316</v>
      </c>
      <c r="O511" s="10">
        <f t="shared" ca="1" si="46"/>
        <v>116</v>
      </c>
      <c r="P511" s="10" t="str">
        <f t="shared" ca="1" si="43"/>
        <v>91 a 180 dias</v>
      </c>
      <c r="Q511">
        <f t="shared" si="48"/>
        <v>0</v>
      </c>
      <c r="R511">
        <v>4</v>
      </c>
      <c r="S511" s="11">
        <f t="shared" si="47"/>
        <v>0</v>
      </c>
      <c r="T511" s="11" t="str">
        <f t="shared" si="44"/>
        <v>Detrator</v>
      </c>
      <c r="U511" s="11" t="str">
        <f t="shared" si="45"/>
        <v>Alto risco</v>
      </c>
      <c r="V511">
        <v>0</v>
      </c>
      <c r="W511">
        <v>90</v>
      </c>
      <c r="X511" s="2">
        <v>70.819999999999993</v>
      </c>
      <c r="Y511">
        <v>3</v>
      </c>
      <c r="Z511" t="s">
        <v>35</v>
      </c>
    </row>
    <row r="512" spans="1:26">
      <c r="A512" t="s">
        <v>969</v>
      </c>
      <c r="B512" t="s">
        <v>970</v>
      </c>
      <c r="C512" t="s">
        <v>53</v>
      </c>
      <c r="D512" t="s">
        <v>29</v>
      </c>
      <c r="E512">
        <v>54</v>
      </c>
      <c r="F512" t="s">
        <v>30</v>
      </c>
      <c r="G512" t="s">
        <v>67</v>
      </c>
      <c r="H512" t="s">
        <v>86</v>
      </c>
      <c r="I512" t="e">
        <f ca="1">_xludf.XLOOKUP(H512,Base_Planos!$A:$A,Base_Planos!$B:$B,"Não encontrado")</f>
        <v>#NAME?</v>
      </c>
      <c r="J512" s="2">
        <f>VLOOKUP(H512,Base_Planos!$A:$G,4,FALSE)</f>
        <v>119.9</v>
      </c>
      <c r="K512" s="4">
        <v>45395</v>
      </c>
      <c r="L512" t="s">
        <v>56</v>
      </c>
      <c r="M512" t="s">
        <v>34</v>
      </c>
      <c r="N512" s="4">
        <v>45835</v>
      </c>
      <c r="O512" s="10">
        <f t="shared" ca="1" si="46"/>
        <v>440</v>
      </c>
      <c r="P512" s="10" t="str">
        <f t="shared" ca="1" si="43"/>
        <v>Mais de 1 ano</v>
      </c>
      <c r="Q512">
        <f t="shared" si="48"/>
        <v>0</v>
      </c>
      <c r="R512">
        <v>1</v>
      </c>
      <c r="S512" s="11">
        <f t="shared" si="47"/>
        <v>0</v>
      </c>
      <c r="T512" s="11" t="str">
        <f t="shared" si="44"/>
        <v>Detrator</v>
      </c>
      <c r="U512" s="11" t="str">
        <f t="shared" si="45"/>
        <v>Alto risco</v>
      </c>
      <c r="V512">
        <v>1</v>
      </c>
      <c r="W512">
        <v>53</v>
      </c>
      <c r="X512" s="2">
        <v>116.31</v>
      </c>
      <c r="Y512">
        <v>14</v>
      </c>
      <c r="Z512" t="s">
        <v>35</v>
      </c>
    </row>
    <row r="513" spans="1:26">
      <c r="A513" t="s">
        <v>971</v>
      </c>
      <c r="B513" t="s">
        <v>972</v>
      </c>
      <c r="C513" t="s">
        <v>108</v>
      </c>
      <c r="D513" t="s">
        <v>109</v>
      </c>
      <c r="E513">
        <v>28</v>
      </c>
      <c r="F513" t="s">
        <v>66</v>
      </c>
      <c r="G513" t="s">
        <v>55</v>
      </c>
      <c r="H513" t="s">
        <v>32</v>
      </c>
      <c r="I513" t="e">
        <f ca="1">_xludf.XLOOKUP(H513,Base_Planos!$A:$A,Base_Planos!$B:$B,"Não encontrado")</f>
        <v>#NAME?</v>
      </c>
      <c r="J513" s="2">
        <f>VLOOKUP(H513,Base_Planos!$A:$G,4,FALSE)</f>
        <v>39.9</v>
      </c>
      <c r="K513" s="4">
        <v>46003</v>
      </c>
      <c r="L513" t="s">
        <v>170</v>
      </c>
      <c r="M513" t="s">
        <v>44</v>
      </c>
      <c r="N513" s="4"/>
      <c r="O513" s="10">
        <f t="shared" ca="1" si="46"/>
        <v>166</v>
      </c>
      <c r="P513" s="10" t="str">
        <f t="shared" ca="1" si="43"/>
        <v>91 a 180 dias</v>
      </c>
      <c r="Q513">
        <f t="shared" si="48"/>
        <v>1</v>
      </c>
      <c r="R513">
        <v>6</v>
      </c>
      <c r="S513" s="11">
        <f t="shared" si="47"/>
        <v>39.9</v>
      </c>
      <c r="T513" s="11" t="str">
        <f t="shared" si="44"/>
        <v>Detrator</v>
      </c>
      <c r="U513" s="11" t="str">
        <f t="shared" si="45"/>
        <v>Alto risco</v>
      </c>
      <c r="V513">
        <v>2</v>
      </c>
      <c r="W513">
        <v>0</v>
      </c>
      <c r="X513" s="2">
        <v>35.71</v>
      </c>
      <c r="Y513">
        <v>5</v>
      </c>
      <c r="Z513" t="s">
        <v>45</v>
      </c>
    </row>
    <row r="514" spans="1:26">
      <c r="A514" t="s">
        <v>973</v>
      </c>
      <c r="B514" t="s">
        <v>974</v>
      </c>
      <c r="C514" t="s">
        <v>53</v>
      </c>
      <c r="D514" t="s">
        <v>29</v>
      </c>
      <c r="E514">
        <v>35</v>
      </c>
      <c r="F514" t="s">
        <v>30</v>
      </c>
      <c r="G514" t="s">
        <v>104</v>
      </c>
      <c r="H514" t="s">
        <v>112</v>
      </c>
      <c r="I514" t="e">
        <f ca="1">_xludf.XLOOKUP(H514,Base_Planos!$A:$A,Base_Planos!$B:$B,"Não encontrado")</f>
        <v>#NAME?</v>
      </c>
      <c r="J514" s="2">
        <f>VLOOKUP(H514,Base_Planos!$A:$G,4,FALSE)</f>
        <v>79.900000000000006</v>
      </c>
      <c r="K514" s="4">
        <v>45810</v>
      </c>
      <c r="L514" t="s">
        <v>167</v>
      </c>
      <c r="M514" t="s">
        <v>44</v>
      </c>
      <c r="N514" s="4"/>
      <c r="O514" s="10">
        <f t="shared" ca="1" si="46"/>
        <v>359</v>
      </c>
      <c r="P514" s="10" t="str">
        <f t="shared" ref="P514:P577" ca="1" si="49">IF(O514&lt;=30,"Até 30 dias",IF(O514&lt;=90,"31 a 90 dias",IF(O514&lt;=180,"91 a 180 dias",IF(O514&lt;=365,"181 a 365 dias","Mais de 1 ano"))))</f>
        <v>181 a 365 dias</v>
      </c>
      <c r="Q514">
        <f t="shared" si="48"/>
        <v>0</v>
      </c>
      <c r="R514">
        <v>3</v>
      </c>
      <c r="S514" s="11">
        <f t="shared" si="47"/>
        <v>0</v>
      </c>
      <c r="T514" s="11" t="str">
        <f t="shared" ref="T514:T577" si="50">IF(R514&lt;=6,"Detrator",IF(R514&lt;=8,"Neutro","Promotor"))</f>
        <v>Detrator</v>
      </c>
      <c r="U514" s="11" t="str">
        <f t="shared" ref="U514:U577" si="51">IF(Q514=1,"Alto risco",IF(R514&lt;=6,"Alto risco",IF(R514&lt;=8,"Médio risco","Baixo risco")))</f>
        <v>Alto risco</v>
      </c>
      <c r="V514">
        <v>0</v>
      </c>
      <c r="W514">
        <v>3</v>
      </c>
      <c r="X514" s="2">
        <v>74.599999999999994</v>
      </c>
      <c r="Y514">
        <v>11</v>
      </c>
      <c r="Z514" t="s">
        <v>45</v>
      </c>
    </row>
    <row r="515" spans="1:26">
      <c r="A515" t="s">
        <v>975</v>
      </c>
      <c r="B515" t="s">
        <v>495</v>
      </c>
      <c r="C515" t="s">
        <v>28</v>
      </c>
      <c r="D515" t="s">
        <v>29</v>
      </c>
      <c r="E515">
        <v>36</v>
      </c>
      <c r="F515" t="s">
        <v>201</v>
      </c>
      <c r="G515" t="s">
        <v>31</v>
      </c>
      <c r="H515" t="s">
        <v>61</v>
      </c>
      <c r="I515" t="e">
        <f ca="1">_xludf.XLOOKUP(H515,Base_Planos!$A:$A,Base_Planos!$B:$B,"Não encontrado")</f>
        <v>#NAME?</v>
      </c>
      <c r="J515" s="2">
        <f>VLOOKUP(H515,Base_Planos!$A:$G,4,FALSE)</f>
        <v>59.9</v>
      </c>
      <c r="K515" s="4">
        <v>45435</v>
      </c>
      <c r="L515" t="s">
        <v>130</v>
      </c>
      <c r="M515" t="s">
        <v>44</v>
      </c>
      <c r="N515" s="4"/>
      <c r="O515" s="10">
        <f t="shared" ref="O515:O578" ca="1" si="52">IF(M515="Cancelado",N515-K515,TODAY()-K515)</f>
        <v>734</v>
      </c>
      <c r="P515" s="10" t="str">
        <f t="shared" ca="1" si="49"/>
        <v>Mais de 1 ano</v>
      </c>
      <c r="Q515">
        <f t="shared" si="48"/>
        <v>0</v>
      </c>
      <c r="R515">
        <v>5</v>
      </c>
      <c r="S515" s="11">
        <f t="shared" ref="S515:S578" si="53">IF(Q515=1,J515,0)</f>
        <v>0</v>
      </c>
      <c r="T515" s="11" t="str">
        <f t="shared" si="50"/>
        <v>Detrator</v>
      </c>
      <c r="U515" s="11" t="str">
        <f t="shared" si="51"/>
        <v>Alto risco</v>
      </c>
      <c r="V515">
        <v>0</v>
      </c>
      <c r="W515">
        <v>36</v>
      </c>
      <c r="X515" s="2">
        <v>61.35</v>
      </c>
      <c r="Y515">
        <v>24</v>
      </c>
      <c r="Z515" t="s">
        <v>35</v>
      </c>
    </row>
    <row r="516" spans="1:26">
      <c r="A516" t="s">
        <v>976</v>
      </c>
      <c r="B516" t="s">
        <v>161</v>
      </c>
      <c r="C516" t="s">
        <v>65</v>
      </c>
      <c r="D516" t="s">
        <v>29</v>
      </c>
      <c r="E516">
        <v>31</v>
      </c>
      <c r="F516" t="s">
        <v>40</v>
      </c>
      <c r="G516" t="s">
        <v>41</v>
      </c>
      <c r="H516" t="s">
        <v>82</v>
      </c>
      <c r="I516" t="e">
        <f ca="1">_xludf.XLOOKUP(H516,Base_Planos!$A:$A,Base_Planos!$B:$B,"Não encontrado")</f>
        <v>#NAME?</v>
      </c>
      <c r="J516" s="2">
        <f>VLOOKUP(H516,Base_Planos!$A:$G,4,FALSE)</f>
        <v>149.9</v>
      </c>
      <c r="K516" s="4">
        <v>45451</v>
      </c>
      <c r="L516" t="s">
        <v>145</v>
      </c>
      <c r="M516" t="s">
        <v>34</v>
      </c>
      <c r="N516" s="4">
        <v>45843</v>
      </c>
      <c r="O516" s="10">
        <f t="shared" ca="1" si="52"/>
        <v>392</v>
      </c>
      <c r="P516" s="10" t="str">
        <f t="shared" ca="1" si="49"/>
        <v>Mais de 1 ano</v>
      </c>
      <c r="Q516">
        <f t="shared" si="48"/>
        <v>0</v>
      </c>
      <c r="R516">
        <v>1</v>
      </c>
      <c r="S516" s="11">
        <f t="shared" si="53"/>
        <v>0</v>
      </c>
      <c r="T516" s="11" t="str">
        <f t="shared" si="50"/>
        <v>Detrator</v>
      </c>
      <c r="U516" s="11" t="str">
        <f t="shared" si="51"/>
        <v>Alto risco</v>
      </c>
      <c r="V516">
        <v>0</v>
      </c>
      <c r="W516">
        <v>62</v>
      </c>
      <c r="X516" s="2">
        <v>155.58000000000001</v>
      </c>
      <c r="Y516">
        <v>13</v>
      </c>
      <c r="Z516" t="s">
        <v>35</v>
      </c>
    </row>
    <row r="517" spans="1:26">
      <c r="A517" t="s">
        <v>977</v>
      </c>
      <c r="B517" t="s">
        <v>889</v>
      </c>
      <c r="C517" t="s">
        <v>137</v>
      </c>
      <c r="D517" t="s">
        <v>29</v>
      </c>
      <c r="E517">
        <v>65</v>
      </c>
      <c r="F517" t="s">
        <v>40</v>
      </c>
      <c r="G517" t="s">
        <v>67</v>
      </c>
      <c r="H517" t="s">
        <v>42</v>
      </c>
      <c r="I517" t="e">
        <f ca="1">_xludf.XLOOKUP(H517,Base_Planos!$A:$A,Base_Planos!$B:$B,"Não encontrado")</f>
        <v>#NAME?</v>
      </c>
      <c r="J517" s="2">
        <f>VLOOKUP(H517,Base_Planos!$A:$G,4,FALSE)</f>
        <v>29.9</v>
      </c>
      <c r="K517" s="4">
        <v>45707</v>
      </c>
      <c r="L517" t="s">
        <v>289</v>
      </c>
      <c r="M517" t="s">
        <v>44</v>
      </c>
      <c r="N517" s="4"/>
      <c r="O517" s="10">
        <f t="shared" ca="1" si="52"/>
        <v>462</v>
      </c>
      <c r="P517" s="10" t="str">
        <f t="shared" ca="1" si="49"/>
        <v>Mais de 1 ano</v>
      </c>
      <c r="Q517">
        <f t="shared" si="48"/>
        <v>0</v>
      </c>
      <c r="R517">
        <v>4</v>
      </c>
      <c r="S517" s="11">
        <f t="shared" si="53"/>
        <v>0</v>
      </c>
      <c r="T517" s="11" t="str">
        <f t="shared" si="50"/>
        <v>Detrator</v>
      </c>
      <c r="U517" s="11" t="str">
        <f t="shared" si="51"/>
        <v>Alto risco</v>
      </c>
      <c r="V517">
        <v>0</v>
      </c>
      <c r="W517">
        <v>51</v>
      </c>
      <c r="X517" s="2">
        <v>25.66</v>
      </c>
      <c r="Y517">
        <v>15</v>
      </c>
      <c r="Z517" t="s">
        <v>45</v>
      </c>
    </row>
    <row r="518" spans="1:26">
      <c r="A518" t="s">
        <v>978</v>
      </c>
      <c r="B518" t="s">
        <v>111</v>
      </c>
      <c r="C518" t="s">
        <v>94</v>
      </c>
      <c r="D518" t="s">
        <v>95</v>
      </c>
      <c r="E518">
        <v>50</v>
      </c>
      <c r="F518" t="s">
        <v>54</v>
      </c>
      <c r="G518" t="s">
        <v>165</v>
      </c>
      <c r="H518" t="s">
        <v>86</v>
      </c>
      <c r="I518" t="e">
        <f ca="1">_xludf.XLOOKUP(H518,Base_Planos!$A:$A,Base_Planos!$B:$B,"Não encontrado")</f>
        <v>#NAME?</v>
      </c>
      <c r="J518" s="2">
        <f>VLOOKUP(H518,Base_Planos!$A:$G,4,FALSE)</f>
        <v>119.9</v>
      </c>
      <c r="K518" s="4">
        <v>45197</v>
      </c>
      <c r="L518" t="s">
        <v>105</v>
      </c>
      <c r="M518" t="s">
        <v>34</v>
      </c>
      <c r="N518" s="4">
        <v>45272</v>
      </c>
      <c r="O518" s="10">
        <f t="shared" ca="1" si="52"/>
        <v>75</v>
      </c>
      <c r="P518" s="10" t="str">
        <f t="shared" ca="1" si="49"/>
        <v>31 a 90 dias</v>
      </c>
      <c r="Q518">
        <f t="shared" si="48"/>
        <v>0</v>
      </c>
      <c r="R518">
        <v>1</v>
      </c>
      <c r="S518" s="11">
        <f t="shared" si="53"/>
        <v>0</v>
      </c>
      <c r="T518" s="11" t="str">
        <f t="shared" si="50"/>
        <v>Detrator</v>
      </c>
      <c r="U518" s="11" t="str">
        <f t="shared" si="51"/>
        <v>Alto risco</v>
      </c>
      <c r="V518">
        <v>0</v>
      </c>
      <c r="W518">
        <v>88</v>
      </c>
      <c r="X518" s="2">
        <v>113.89</v>
      </c>
      <c r="Y518">
        <v>2</v>
      </c>
      <c r="Z518" t="s">
        <v>35</v>
      </c>
    </row>
    <row r="519" spans="1:26">
      <c r="A519" t="s">
        <v>979</v>
      </c>
      <c r="B519" t="s">
        <v>980</v>
      </c>
      <c r="C519" t="s">
        <v>137</v>
      </c>
      <c r="D519" t="s">
        <v>29</v>
      </c>
      <c r="E519">
        <v>41</v>
      </c>
      <c r="F519" t="s">
        <v>66</v>
      </c>
      <c r="G519" t="s">
        <v>73</v>
      </c>
      <c r="H519" t="s">
        <v>86</v>
      </c>
      <c r="I519" t="e">
        <f ca="1">_xludf.XLOOKUP(H519,Base_Planos!$A:$A,Base_Planos!$B:$B,"Não encontrado")</f>
        <v>#NAME?</v>
      </c>
      <c r="J519" s="2">
        <f>VLOOKUP(H519,Base_Planos!$A:$G,4,FALSE)</f>
        <v>119.9</v>
      </c>
      <c r="K519" s="4">
        <v>45466</v>
      </c>
      <c r="L519" t="s">
        <v>145</v>
      </c>
      <c r="M519" t="s">
        <v>44</v>
      </c>
      <c r="N519" s="4"/>
      <c r="O519" s="10">
        <f t="shared" ca="1" si="52"/>
        <v>703</v>
      </c>
      <c r="P519" s="10" t="str">
        <f t="shared" ca="1" si="49"/>
        <v>Mais de 1 ano</v>
      </c>
      <c r="Q519">
        <f t="shared" si="48"/>
        <v>0</v>
      </c>
      <c r="R519">
        <v>9</v>
      </c>
      <c r="S519" s="11">
        <f t="shared" si="53"/>
        <v>0</v>
      </c>
      <c r="T519" s="11" t="str">
        <f t="shared" si="50"/>
        <v>Promotor</v>
      </c>
      <c r="U519" s="11" t="str">
        <f t="shared" si="51"/>
        <v>Baixo risco</v>
      </c>
      <c r="V519">
        <v>0</v>
      </c>
      <c r="W519">
        <v>0</v>
      </c>
      <c r="X519" s="2">
        <v>105.87</v>
      </c>
      <c r="Y519">
        <v>23</v>
      </c>
      <c r="Z519" t="s">
        <v>35</v>
      </c>
    </row>
    <row r="520" spans="1:26">
      <c r="A520" t="s">
        <v>981</v>
      </c>
      <c r="B520" t="s">
        <v>982</v>
      </c>
      <c r="C520" t="s">
        <v>48</v>
      </c>
      <c r="D520" t="s">
        <v>29</v>
      </c>
      <c r="E520">
        <v>27</v>
      </c>
      <c r="F520" t="s">
        <v>54</v>
      </c>
      <c r="G520" t="s">
        <v>104</v>
      </c>
      <c r="H520" t="s">
        <v>32</v>
      </c>
      <c r="I520" t="e">
        <f ca="1">_xludf.XLOOKUP(H520,Base_Planos!$A:$A,Base_Planos!$B:$B,"Não encontrado")</f>
        <v>#NAME?</v>
      </c>
      <c r="J520" s="2">
        <f>VLOOKUP(H520,Base_Planos!$A:$G,4,FALSE)</f>
        <v>39.9</v>
      </c>
      <c r="K520" s="4">
        <v>45231</v>
      </c>
      <c r="L520" t="s">
        <v>79</v>
      </c>
      <c r="M520" t="s">
        <v>44</v>
      </c>
      <c r="N520" s="4"/>
      <c r="O520" s="10">
        <f t="shared" ca="1" si="52"/>
        <v>938</v>
      </c>
      <c r="P520" s="10" t="str">
        <f t="shared" ca="1" si="49"/>
        <v>Mais de 1 ano</v>
      </c>
      <c r="Q520">
        <f t="shared" si="48"/>
        <v>0</v>
      </c>
      <c r="R520">
        <v>0</v>
      </c>
      <c r="S520" s="11">
        <f t="shared" si="53"/>
        <v>0</v>
      </c>
      <c r="T520" s="11" t="str">
        <f t="shared" si="50"/>
        <v>Detrator</v>
      </c>
      <c r="U520" s="11" t="str">
        <f t="shared" si="51"/>
        <v>Alto risco</v>
      </c>
      <c r="V520">
        <v>0</v>
      </c>
      <c r="W520">
        <v>64</v>
      </c>
      <c r="X520" s="2">
        <v>37.4</v>
      </c>
      <c r="Y520">
        <v>31</v>
      </c>
      <c r="Z520" t="s">
        <v>35</v>
      </c>
    </row>
    <row r="521" spans="1:26">
      <c r="A521" t="s">
        <v>983</v>
      </c>
      <c r="B521" t="s">
        <v>228</v>
      </c>
      <c r="C521" t="s">
        <v>28</v>
      </c>
      <c r="D521" t="s">
        <v>29</v>
      </c>
      <c r="E521">
        <v>46</v>
      </c>
      <c r="F521" t="s">
        <v>54</v>
      </c>
      <c r="G521" t="s">
        <v>104</v>
      </c>
      <c r="H521" t="s">
        <v>112</v>
      </c>
      <c r="I521" t="e">
        <f ca="1">_xludf.XLOOKUP(H521,Base_Planos!$A:$A,Base_Planos!$B:$B,"Não encontrado")</f>
        <v>#NAME?</v>
      </c>
      <c r="J521" s="2">
        <f>VLOOKUP(H521,Base_Planos!$A:$G,4,FALSE)</f>
        <v>79.900000000000006</v>
      </c>
      <c r="K521" s="4">
        <v>45157</v>
      </c>
      <c r="L521" t="s">
        <v>162</v>
      </c>
      <c r="M521" t="s">
        <v>34</v>
      </c>
      <c r="N521" s="4">
        <v>45359</v>
      </c>
      <c r="O521" s="10">
        <f t="shared" ca="1" si="52"/>
        <v>202</v>
      </c>
      <c r="P521" s="10" t="str">
        <f t="shared" ca="1" si="49"/>
        <v>181 a 365 dias</v>
      </c>
      <c r="Q521">
        <f t="shared" si="48"/>
        <v>0</v>
      </c>
      <c r="R521">
        <v>2</v>
      </c>
      <c r="S521" s="11">
        <f t="shared" si="53"/>
        <v>0</v>
      </c>
      <c r="T521" s="11" t="str">
        <f t="shared" si="50"/>
        <v>Detrator</v>
      </c>
      <c r="U521" s="11" t="str">
        <f t="shared" si="51"/>
        <v>Alto risco</v>
      </c>
      <c r="V521">
        <v>2</v>
      </c>
      <c r="W521">
        <v>65</v>
      </c>
      <c r="X521" s="2">
        <v>81.06</v>
      </c>
      <c r="Y521">
        <v>6</v>
      </c>
      <c r="Z521" t="s">
        <v>45</v>
      </c>
    </row>
    <row r="522" spans="1:26">
      <c r="A522" t="s">
        <v>984</v>
      </c>
      <c r="B522" t="s">
        <v>545</v>
      </c>
      <c r="C522" t="s">
        <v>59</v>
      </c>
      <c r="D522" t="s">
        <v>60</v>
      </c>
      <c r="E522">
        <v>55</v>
      </c>
      <c r="F522" t="s">
        <v>201</v>
      </c>
      <c r="G522" t="s">
        <v>67</v>
      </c>
      <c r="H522" t="s">
        <v>112</v>
      </c>
      <c r="I522" t="e">
        <f ca="1">_xludf.XLOOKUP(H522,Base_Planos!$A:$A,Base_Planos!$B:$B,"Não encontrado")</f>
        <v>#NAME?</v>
      </c>
      <c r="J522" s="2">
        <f>VLOOKUP(H522,Base_Planos!$A:$G,4,FALSE)</f>
        <v>79.900000000000006</v>
      </c>
      <c r="K522" s="4">
        <v>46095</v>
      </c>
      <c r="L522" t="s">
        <v>292</v>
      </c>
      <c r="M522" t="s">
        <v>44</v>
      </c>
      <c r="N522" s="4"/>
      <c r="O522" s="10">
        <f t="shared" ca="1" si="52"/>
        <v>74</v>
      </c>
      <c r="P522" s="10" t="str">
        <f t="shared" ca="1" si="49"/>
        <v>31 a 90 dias</v>
      </c>
      <c r="Q522">
        <f t="shared" si="48"/>
        <v>0</v>
      </c>
      <c r="R522">
        <v>2</v>
      </c>
      <c r="S522" s="11">
        <f t="shared" si="53"/>
        <v>0</v>
      </c>
      <c r="T522" s="11" t="str">
        <f t="shared" si="50"/>
        <v>Detrator</v>
      </c>
      <c r="U522" s="11" t="str">
        <f t="shared" si="51"/>
        <v>Alto risco</v>
      </c>
      <c r="V522">
        <v>1</v>
      </c>
      <c r="W522">
        <v>62</v>
      </c>
      <c r="X522" s="2">
        <v>82.1</v>
      </c>
      <c r="Y522">
        <v>2</v>
      </c>
      <c r="Z522" t="s">
        <v>35</v>
      </c>
    </row>
    <row r="523" spans="1:26">
      <c r="A523" t="s">
        <v>985</v>
      </c>
      <c r="B523" t="s">
        <v>986</v>
      </c>
      <c r="C523" t="s">
        <v>65</v>
      </c>
      <c r="D523" t="s">
        <v>29</v>
      </c>
      <c r="E523">
        <v>61</v>
      </c>
      <c r="F523" t="s">
        <v>30</v>
      </c>
      <c r="G523" t="s">
        <v>165</v>
      </c>
      <c r="H523" t="s">
        <v>61</v>
      </c>
      <c r="I523" t="e">
        <f ca="1">_xludf.XLOOKUP(H523,Base_Planos!$A:$A,Base_Planos!$B:$B,"Não encontrado")</f>
        <v>#NAME?</v>
      </c>
      <c r="J523" s="2">
        <f>VLOOKUP(H523,Base_Planos!$A:$G,4,FALSE)</f>
        <v>59.9</v>
      </c>
      <c r="K523" s="4">
        <v>45144</v>
      </c>
      <c r="L523" t="s">
        <v>162</v>
      </c>
      <c r="M523" t="s">
        <v>44</v>
      </c>
      <c r="N523" s="4"/>
      <c r="O523" s="10">
        <f t="shared" ca="1" si="52"/>
        <v>1025</v>
      </c>
      <c r="P523" s="10" t="str">
        <f t="shared" ca="1" si="49"/>
        <v>Mais de 1 ano</v>
      </c>
      <c r="Q523">
        <f t="shared" si="48"/>
        <v>0</v>
      </c>
      <c r="R523">
        <v>5</v>
      </c>
      <c r="S523" s="11">
        <f t="shared" si="53"/>
        <v>0</v>
      </c>
      <c r="T523" s="11" t="str">
        <f t="shared" si="50"/>
        <v>Detrator</v>
      </c>
      <c r="U523" s="11" t="str">
        <f t="shared" si="51"/>
        <v>Alto risco</v>
      </c>
      <c r="V523">
        <v>2</v>
      </c>
      <c r="W523">
        <v>66</v>
      </c>
      <c r="X523" s="2">
        <v>56.35</v>
      </c>
      <c r="Y523">
        <v>34</v>
      </c>
      <c r="Z523" t="s">
        <v>35</v>
      </c>
    </row>
    <row r="524" spans="1:26">
      <c r="A524" t="s">
        <v>987</v>
      </c>
      <c r="B524" t="s">
        <v>609</v>
      </c>
      <c r="C524" t="s">
        <v>65</v>
      </c>
      <c r="D524" t="s">
        <v>29</v>
      </c>
      <c r="E524">
        <v>18</v>
      </c>
      <c r="F524" t="s">
        <v>30</v>
      </c>
      <c r="G524" t="s">
        <v>67</v>
      </c>
      <c r="H524" t="s">
        <v>61</v>
      </c>
      <c r="I524" t="e">
        <f ca="1">_xludf.XLOOKUP(H524,Base_Planos!$A:$A,Base_Planos!$B:$B,"Não encontrado")</f>
        <v>#NAME?</v>
      </c>
      <c r="J524" s="2">
        <f>VLOOKUP(H524,Base_Planos!$A:$G,4,FALSE)</f>
        <v>59.9</v>
      </c>
      <c r="K524" s="4">
        <v>45854</v>
      </c>
      <c r="L524" t="s">
        <v>212</v>
      </c>
      <c r="M524" t="s">
        <v>44</v>
      </c>
      <c r="N524" s="4"/>
      <c r="O524" s="10">
        <f t="shared" ca="1" si="52"/>
        <v>315</v>
      </c>
      <c r="P524" s="10" t="str">
        <f t="shared" ca="1" si="49"/>
        <v>181 a 365 dias</v>
      </c>
      <c r="Q524">
        <f t="shared" si="48"/>
        <v>0</v>
      </c>
      <c r="R524">
        <v>5</v>
      </c>
      <c r="S524" s="11">
        <f t="shared" si="53"/>
        <v>0</v>
      </c>
      <c r="T524" s="11" t="str">
        <f t="shared" si="50"/>
        <v>Detrator</v>
      </c>
      <c r="U524" s="11" t="str">
        <f t="shared" si="51"/>
        <v>Alto risco</v>
      </c>
      <c r="V524">
        <v>3</v>
      </c>
      <c r="W524">
        <v>19</v>
      </c>
      <c r="X524" s="2">
        <v>52.46</v>
      </c>
      <c r="Y524">
        <v>10</v>
      </c>
      <c r="Z524" t="s">
        <v>45</v>
      </c>
    </row>
    <row r="525" spans="1:26">
      <c r="A525" t="s">
        <v>988</v>
      </c>
      <c r="B525" t="s">
        <v>291</v>
      </c>
      <c r="C525" t="s">
        <v>48</v>
      </c>
      <c r="D525" t="s">
        <v>29</v>
      </c>
      <c r="E525">
        <v>59</v>
      </c>
      <c r="F525" t="s">
        <v>30</v>
      </c>
      <c r="G525" t="s">
        <v>67</v>
      </c>
      <c r="H525" t="s">
        <v>82</v>
      </c>
      <c r="I525" t="e">
        <f ca="1">_xludf.XLOOKUP(H525,Base_Planos!$A:$A,Base_Planos!$B:$B,"Não encontrado")</f>
        <v>#NAME?</v>
      </c>
      <c r="J525" s="2">
        <f>VLOOKUP(H525,Base_Planos!$A:$G,4,FALSE)</f>
        <v>149.9</v>
      </c>
      <c r="K525" s="4">
        <v>46047</v>
      </c>
      <c r="L525" t="s">
        <v>148</v>
      </c>
      <c r="M525" t="s">
        <v>44</v>
      </c>
      <c r="N525" s="4"/>
      <c r="O525" s="10">
        <f t="shared" ca="1" si="52"/>
        <v>122</v>
      </c>
      <c r="P525" s="10" t="str">
        <f t="shared" ca="1" si="49"/>
        <v>91 a 180 dias</v>
      </c>
      <c r="Q525">
        <f t="shared" si="48"/>
        <v>1</v>
      </c>
      <c r="R525">
        <v>9</v>
      </c>
      <c r="S525" s="11">
        <f t="shared" si="53"/>
        <v>149.9</v>
      </c>
      <c r="T525" s="11" t="str">
        <f t="shared" si="50"/>
        <v>Promotor</v>
      </c>
      <c r="U525" s="11" t="str">
        <f t="shared" si="51"/>
        <v>Alto risco</v>
      </c>
      <c r="V525">
        <v>0</v>
      </c>
      <c r="W525">
        <v>76</v>
      </c>
      <c r="X525" s="2">
        <v>153.36000000000001</v>
      </c>
      <c r="Y525">
        <v>4</v>
      </c>
      <c r="Z525" t="s">
        <v>50</v>
      </c>
    </row>
    <row r="526" spans="1:26">
      <c r="A526" t="s">
        <v>989</v>
      </c>
      <c r="B526" t="s">
        <v>990</v>
      </c>
      <c r="C526" t="s">
        <v>53</v>
      </c>
      <c r="D526" t="s">
        <v>29</v>
      </c>
      <c r="E526">
        <v>31</v>
      </c>
      <c r="F526" t="s">
        <v>30</v>
      </c>
      <c r="G526" t="s">
        <v>41</v>
      </c>
      <c r="H526" t="s">
        <v>42</v>
      </c>
      <c r="I526" t="e">
        <f ca="1">_xludf.XLOOKUP(H526,Base_Planos!$A:$A,Base_Planos!$B:$B,"Não encontrado")</f>
        <v>#NAME?</v>
      </c>
      <c r="J526" s="2">
        <f>VLOOKUP(H526,Base_Planos!$A:$G,4,FALSE)</f>
        <v>29.9</v>
      </c>
      <c r="K526" s="4">
        <v>45242</v>
      </c>
      <c r="L526" t="s">
        <v>79</v>
      </c>
      <c r="M526" t="s">
        <v>44</v>
      </c>
      <c r="N526" s="4"/>
      <c r="O526" s="10">
        <f t="shared" ca="1" si="52"/>
        <v>927</v>
      </c>
      <c r="P526" s="10" t="str">
        <f t="shared" ca="1" si="49"/>
        <v>Mais de 1 ano</v>
      </c>
      <c r="Q526">
        <f t="shared" si="48"/>
        <v>0</v>
      </c>
      <c r="R526">
        <v>1</v>
      </c>
      <c r="S526" s="11">
        <f t="shared" si="53"/>
        <v>0</v>
      </c>
      <c r="T526" s="11" t="str">
        <f t="shared" si="50"/>
        <v>Detrator</v>
      </c>
      <c r="U526" s="11" t="str">
        <f t="shared" si="51"/>
        <v>Alto risco</v>
      </c>
      <c r="V526">
        <v>1</v>
      </c>
      <c r="W526">
        <v>100</v>
      </c>
      <c r="X526" s="2">
        <v>30.82</v>
      </c>
      <c r="Y526">
        <v>30</v>
      </c>
      <c r="Z526" t="s">
        <v>35</v>
      </c>
    </row>
    <row r="527" spans="1:26">
      <c r="A527" t="s">
        <v>991</v>
      </c>
      <c r="B527" t="s">
        <v>773</v>
      </c>
      <c r="C527" t="s">
        <v>108</v>
      </c>
      <c r="D527" t="s">
        <v>109</v>
      </c>
      <c r="E527">
        <v>60</v>
      </c>
      <c r="F527" t="s">
        <v>30</v>
      </c>
      <c r="G527" t="s">
        <v>165</v>
      </c>
      <c r="H527" t="s">
        <v>112</v>
      </c>
      <c r="I527" t="e">
        <f ca="1">_xludf.XLOOKUP(H527,Base_Planos!$A:$A,Base_Planos!$B:$B,"Não encontrado")</f>
        <v>#NAME?</v>
      </c>
      <c r="J527" s="2">
        <f>VLOOKUP(H527,Base_Planos!$A:$G,4,FALSE)</f>
        <v>79.900000000000006</v>
      </c>
      <c r="K527" s="4">
        <v>45929</v>
      </c>
      <c r="L527" t="s">
        <v>189</v>
      </c>
      <c r="M527" t="s">
        <v>44</v>
      </c>
      <c r="N527" s="4"/>
      <c r="O527" s="10">
        <f t="shared" ca="1" si="52"/>
        <v>240</v>
      </c>
      <c r="P527" s="10" t="str">
        <f t="shared" ca="1" si="49"/>
        <v>181 a 365 dias</v>
      </c>
      <c r="Q527">
        <f t="shared" si="48"/>
        <v>0</v>
      </c>
      <c r="R527">
        <v>7</v>
      </c>
      <c r="S527" s="11">
        <f t="shared" si="53"/>
        <v>0</v>
      </c>
      <c r="T527" s="11" t="str">
        <f t="shared" si="50"/>
        <v>Neutro</v>
      </c>
      <c r="U527" s="11" t="str">
        <f t="shared" si="51"/>
        <v>Médio risco</v>
      </c>
      <c r="V527">
        <v>0</v>
      </c>
      <c r="W527">
        <v>35</v>
      </c>
      <c r="X527" s="2">
        <v>80</v>
      </c>
      <c r="Y527">
        <v>8</v>
      </c>
      <c r="Z527" t="s">
        <v>50</v>
      </c>
    </row>
    <row r="528" spans="1:26">
      <c r="A528" t="s">
        <v>992</v>
      </c>
      <c r="B528" t="s">
        <v>813</v>
      </c>
      <c r="C528" t="s">
        <v>90</v>
      </c>
      <c r="D528" t="s">
        <v>29</v>
      </c>
      <c r="E528">
        <v>29</v>
      </c>
      <c r="F528" t="s">
        <v>54</v>
      </c>
      <c r="G528" t="s">
        <v>41</v>
      </c>
      <c r="H528" t="s">
        <v>32</v>
      </c>
      <c r="I528" t="e">
        <f ca="1">_xludf.XLOOKUP(H528,Base_Planos!$A:$A,Base_Planos!$B:$B,"Não encontrado")</f>
        <v>#NAME?</v>
      </c>
      <c r="J528" s="2">
        <f>VLOOKUP(H528,Base_Planos!$A:$G,4,FALSE)</f>
        <v>39.9</v>
      </c>
      <c r="K528" s="4">
        <v>45978</v>
      </c>
      <c r="L528" t="s">
        <v>87</v>
      </c>
      <c r="M528" t="s">
        <v>44</v>
      </c>
      <c r="N528" s="4"/>
      <c r="O528" s="10">
        <f t="shared" ca="1" si="52"/>
        <v>191</v>
      </c>
      <c r="P528" s="10" t="str">
        <f t="shared" ca="1" si="49"/>
        <v>181 a 365 dias</v>
      </c>
      <c r="Q528">
        <f t="shared" si="48"/>
        <v>0</v>
      </c>
      <c r="R528">
        <v>5</v>
      </c>
      <c r="S528" s="11">
        <f t="shared" si="53"/>
        <v>0</v>
      </c>
      <c r="T528" s="11" t="str">
        <f t="shared" si="50"/>
        <v>Detrator</v>
      </c>
      <c r="U528" s="11" t="str">
        <f t="shared" si="51"/>
        <v>Alto risco</v>
      </c>
      <c r="V528">
        <v>1</v>
      </c>
      <c r="W528">
        <v>49</v>
      </c>
      <c r="X528" s="2">
        <v>41.34</v>
      </c>
      <c r="Y528">
        <v>6</v>
      </c>
      <c r="Z528" t="s">
        <v>35</v>
      </c>
    </row>
    <row r="529" spans="1:26">
      <c r="A529" t="s">
        <v>993</v>
      </c>
      <c r="B529" t="s">
        <v>318</v>
      </c>
      <c r="C529" t="s">
        <v>102</v>
      </c>
      <c r="D529" t="s">
        <v>103</v>
      </c>
      <c r="E529">
        <v>36</v>
      </c>
      <c r="F529" t="s">
        <v>54</v>
      </c>
      <c r="G529" t="s">
        <v>55</v>
      </c>
      <c r="H529" t="s">
        <v>86</v>
      </c>
      <c r="I529" t="e">
        <f ca="1">_xludf.XLOOKUP(H529,Base_Planos!$A:$A,Base_Planos!$B:$B,"Não encontrado")</f>
        <v>#NAME?</v>
      </c>
      <c r="J529" s="2">
        <f>VLOOKUP(H529,Base_Planos!$A:$G,4,FALSE)</f>
        <v>119.9</v>
      </c>
      <c r="K529" s="4">
        <v>45905</v>
      </c>
      <c r="L529" t="s">
        <v>189</v>
      </c>
      <c r="M529" t="s">
        <v>44</v>
      </c>
      <c r="N529" s="4"/>
      <c r="O529" s="10">
        <f t="shared" ca="1" si="52"/>
        <v>264</v>
      </c>
      <c r="P529" s="10" t="str">
        <f t="shared" ca="1" si="49"/>
        <v>181 a 365 dias</v>
      </c>
      <c r="Q529">
        <f t="shared" si="48"/>
        <v>1</v>
      </c>
      <c r="R529">
        <v>4</v>
      </c>
      <c r="S529" s="11">
        <f t="shared" si="53"/>
        <v>119.9</v>
      </c>
      <c r="T529" s="11" t="str">
        <f t="shared" si="50"/>
        <v>Detrator</v>
      </c>
      <c r="U529" s="11" t="str">
        <f t="shared" si="51"/>
        <v>Alto risco</v>
      </c>
      <c r="V529">
        <v>3</v>
      </c>
      <c r="W529">
        <v>68</v>
      </c>
      <c r="X529" s="2">
        <v>114.46</v>
      </c>
      <c r="Y529">
        <v>8</v>
      </c>
      <c r="Z529" t="s">
        <v>45</v>
      </c>
    </row>
    <row r="530" spans="1:26">
      <c r="A530" t="s">
        <v>994</v>
      </c>
      <c r="B530" t="s">
        <v>209</v>
      </c>
      <c r="C530" t="s">
        <v>28</v>
      </c>
      <c r="D530" t="s">
        <v>29</v>
      </c>
      <c r="E530">
        <v>53</v>
      </c>
      <c r="F530" t="s">
        <v>30</v>
      </c>
      <c r="G530" t="s">
        <v>67</v>
      </c>
      <c r="H530" t="s">
        <v>112</v>
      </c>
      <c r="I530" t="e">
        <f ca="1">_xludf.XLOOKUP(H530,Base_Planos!$A:$A,Base_Planos!$B:$B,"Não encontrado")</f>
        <v>#NAME?</v>
      </c>
      <c r="J530" s="2">
        <f>VLOOKUP(H530,Base_Planos!$A:$G,4,FALSE)</f>
        <v>79.900000000000006</v>
      </c>
      <c r="K530" s="4">
        <v>45972</v>
      </c>
      <c r="L530" t="s">
        <v>87</v>
      </c>
      <c r="M530" t="s">
        <v>44</v>
      </c>
      <c r="N530" s="4"/>
      <c r="O530" s="10">
        <f t="shared" ca="1" si="52"/>
        <v>197</v>
      </c>
      <c r="P530" s="10" t="str">
        <f t="shared" ca="1" si="49"/>
        <v>181 a 365 dias</v>
      </c>
      <c r="Q530">
        <f t="shared" si="48"/>
        <v>1</v>
      </c>
      <c r="R530">
        <v>6</v>
      </c>
      <c r="S530" s="11">
        <f t="shared" si="53"/>
        <v>79.900000000000006</v>
      </c>
      <c r="T530" s="11" t="str">
        <f t="shared" si="50"/>
        <v>Detrator</v>
      </c>
      <c r="U530" s="11" t="str">
        <f t="shared" si="51"/>
        <v>Alto risco</v>
      </c>
      <c r="V530">
        <v>1</v>
      </c>
      <c r="W530">
        <v>73</v>
      </c>
      <c r="X530" s="2">
        <v>73.599999999999994</v>
      </c>
      <c r="Y530">
        <v>6</v>
      </c>
      <c r="Z530" t="s">
        <v>50</v>
      </c>
    </row>
    <row r="531" spans="1:26">
      <c r="A531" t="s">
        <v>995</v>
      </c>
      <c r="B531" t="s">
        <v>996</v>
      </c>
      <c r="C531" t="s">
        <v>48</v>
      </c>
      <c r="D531" t="s">
        <v>29</v>
      </c>
      <c r="E531">
        <v>50</v>
      </c>
      <c r="F531" t="s">
        <v>30</v>
      </c>
      <c r="G531" t="s">
        <v>104</v>
      </c>
      <c r="H531" t="s">
        <v>32</v>
      </c>
      <c r="I531" t="e">
        <f ca="1">_xludf.XLOOKUP(H531,Base_Planos!$A:$A,Base_Planos!$B:$B,"Não encontrado")</f>
        <v>#NAME?</v>
      </c>
      <c r="J531" s="2">
        <f>VLOOKUP(H531,Base_Planos!$A:$G,4,FALSE)</f>
        <v>39.9</v>
      </c>
      <c r="K531" s="4">
        <v>45300</v>
      </c>
      <c r="L531" t="s">
        <v>516</v>
      </c>
      <c r="M531" t="s">
        <v>44</v>
      </c>
      <c r="N531" s="4"/>
      <c r="O531" s="10">
        <f t="shared" ca="1" si="52"/>
        <v>869</v>
      </c>
      <c r="P531" s="10" t="str">
        <f t="shared" ca="1" si="49"/>
        <v>Mais de 1 ano</v>
      </c>
      <c r="Q531">
        <f t="shared" si="48"/>
        <v>1</v>
      </c>
      <c r="R531">
        <v>6</v>
      </c>
      <c r="S531" s="11">
        <f t="shared" si="53"/>
        <v>39.9</v>
      </c>
      <c r="T531" s="11" t="str">
        <f t="shared" si="50"/>
        <v>Detrator</v>
      </c>
      <c r="U531" s="11" t="str">
        <f t="shared" si="51"/>
        <v>Alto risco</v>
      </c>
      <c r="V531">
        <v>1</v>
      </c>
      <c r="W531">
        <v>65</v>
      </c>
      <c r="X531" s="2">
        <v>39.69</v>
      </c>
      <c r="Y531">
        <v>28</v>
      </c>
      <c r="Z531" t="s">
        <v>35</v>
      </c>
    </row>
    <row r="532" spans="1:26">
      <c r="A532" t="s">
        <v>997</v>
      </c>
      <c r="B532" t="s">
        <v>333</v>
      </c>
      <c r="C532" t="s">
        <v>90</v>
      </c>
      <c r="D532" t="s">
        <v>29</v>
      </c>
      <c r="E532">
        <v>34</v>
      </c>
      <c r="F532" t="s">
        <v>30</v>
      </c>
      <c r="G532" t="s">
        <v>96</v>
      </c>
      <c r="H532" t="s">
        <v>42</v>
      </c>
      <c r="I532" t="e">
        <f ca="1">_xludf.XLOOKUP(H532,Base_Planos!$A:$A,Base_Planos!$B:$B,"Não encontrado")</f>
        <v>#NAME?</v>
      </c>
      <c r="J532" s="2">
        <f>VLOOKUP(H532,Base_Planos!$A:$G,4,FALSE)</f>
        <v>29.9</v>
      </c>
      <c r="K532" s="4">
        <v>45087</v>
      </c>
      <c r="L532" t="s">
        <v>328</v>
      </c>
      <c r="M532" t="s">
        <v>34</v>
      </c>
      <c r="N532" s="4">
        <v>45925</v>
      </c>
      <c r="O532" s="10">
        <f t="shared" ca="1" si="52"/>
        <v>838</v>
      </c>
      <c r="P532" s="10" t="str">
        <f t="shared" ca="1" si="49"/>
        <v>Mais de 1 ano</v>
      </c>
      <c r="Q532">
        <f t="shared" si="48"/>
        <v>0</v>
      </c>
      <c r="R532">
        <v>9</v>
      </c>
      <c r="S532" s="11">
        <f t="shared" si="53"/>
        <v>0</v>
      </c>
      <c r="T532" s="11" t="str">
        <f t="shared" si="50"/>
        <v>Promotor</v>
      </c>
      <c r="U532" s="11" t="str">
        <f t="shared" si="51"/>
        <v>Baixo risco</v>
      </c>
      <c r="V532">
        <v>0</v>
      </c>
      <c r="W532">
        <v>98</v>
      </c>
      <c r="X532" s="2">
        <v>25.49</v>
      </c>
      <c r="Y532">
        <v>27</v>
      </c>
      <c r="Z532" t="s">
        <v>50</v>
      </c>
    </row>
    <row r="533" spans="1:26">
      <c r="A533" t="s">
        <v>998</v>
      </c>
      <c r="B533" t="s">
        <v>999</v>
      </c>
      <c r="C533" t="s">
        <v>77</v>
      </c>
      <c r="D533" t="s">
        <v>78</v>
      </c>
      <c r="E533">
        <v>62</v>
      </c>
      <c r="F533" t="s">
        <v>54</v>
      </c>
      <c r="G533" t="s">
        <v>104</v>
      </c>
      <c r="H533" t="s">
        <v>42</v>
      </c>
      <c r="I533" t="e">
        <f ca="1">_xludf.XLOOKUP(H533,Base_Planos!$A:$A,Base_Planos!$B:$B,"Não encontrado")</f>
        <v>#NAME?</v>
      </c>
      <c r="J533" s="2">
        <f>VLOOKUP(H533,Base_Planos!$A:$G,4,FALSE)</f>
        <v>29.9</v>
      </c>
      <c r="K533" s="4">
        <v>45665</v>
      </c>
      <c r="L533" t="s">
        <v>261</v>
      </c>
      <c r="M533" t="s">
        <v>34</v>
      </c>
      <c r="N533" s="4">
        <v>45764</v>
      </c>
      <c r="O533" s="10">
        <f t="shared" ca="1" si="52"/>
        <v>99</v>
      </c>
      <c r="P533" s="10" t="str">
        <f t="shared" ca="1" si="49"/>
        <v>91 a 180 dias</v>
      </c>
      <c r="Q533">
        <f t="shared" si="48"/>
        <v>0</v>
      </c>
      <c r="R533">
        <v>10</v>
      </c>
      <c r="S533" s="11">
        <f t="shared" si="53"/>
        <v>0</v>
      </c>
      <c r="T533" s="11" t="str">
        <f t="shared" si="50"/>
        <v>Promotor</v>
      </c>
      <c r="U533" s="11" t="str">
        <f t="shared" si="51"/>
        <v>Baixo risco</v>
      </c>
      <c r="V533">
        <v>2</v>
      </c>
      <c r="W533">
        <v>47</v>
      </c>
      <c r="X533" s="2">
        <v>26.56</v>
      </c>
      <c r="Y533">
        <v>3</v>
      </c>
      <c r="Z533" t="s">
        <v>35</v>
      </c>
    </row>
    <row r="534" spans="1:26">
      <c r="A534" t="s">
        <v>1000</v>
      </c>
      <c r="B534" t="s">
        <v>1001</v>
      </c>
      <c r="C534" t="s">
        <v>137</v>
      </c>
      <c r="D534" t="s">
        <v>29</v>
      </c>
      <c r="E534">
        <v>30</v>
      </c>
      <c r="F534" t="s">
        <v>66</v>
      </c>
      <c r="G534" t="s">
        <v>31</v>
      </c>
      <c r="H534" t="s">
        <v>112</v>
      </c>
      <c r="I534" t="e">
        <f ca="1">_xludf.XLOOKUP(H534,Base_Planos!$A:$A,Base_Planos!$B:$B,"Não encontrado")</f>
        <v>#NAME?</v>
      </c>
      <c r="J534" s="2">
        <f>VLOOKUP(H534,Base_Planos!$A:$G,4,FALSE)</f>
        <v>79.900000000000006</v>
      </c>
      <c r="K534" s="4">
        <v>45224</v>
      </c>
      <c r="L534" t="s">
        <v>215</v>
      </c>
      <c r="M534" t="s">
        <v>44</v>
      </c>
      <c r="N534" s="4"/>
      <c r="O534" s="10">
        <f t="shared" ca="1" si="52"/>
        <v>945</v>
      </c>
      <c r="P534" s="10" t="str">
        <f t="shared" ca="1" si="49"/>
        <v>Mais de 1 ano</v>
      </c>
      <c r="Q534">
        <f t="shared" ref="Q534:Q597" si="54">IF(M311="Cancelado",1,0)</f>
        <v>0</v>
      </c>
      <c r="R534">
        <v>10</v>
      </c>
      <c r="S534" s="11">
        <f t="shared" si="53"/>
        <v>0</v>
      </c>
      <c r="T534" s="11" t="str">
        <f t="shared" si="50"/>
        <v>Promotor</v>
      </c>
      <c r="U534" s="11" t="str">
        <f t="shared" si="51"/>
        <v>Baixo risco</v>
      </c>
      <c r="V534">
        <v>2</v>
      </c>
      <c r="W534">
        <v>100</v>
      </c>
      <c r="X534" s="2">
        <v>69.290000000000006</v>
      </c>
      <c r="Y534">
        <v>31</v>
      </c>
      <c r="Z534" t="s">
        <v>50</v>
      </c>
    </row>
    <row r="535" spans="1:26">
      <c r="A535" t="s">
        <v>1002</v>
      </c>
      <c r="B535" t="s">
        <v>333</v>
      </c>
      <c r="C535" t="s">
        <v>94</v>
      </c>
      <c r="D535" t="s">
        <v>95</v>
      </c>
      <c r="E535">
        <v>48</v>
      </c>
      <c r="F535" t="s">
        <v>54</v>
      </c>
      <c r="G535" t="s">
        <v>55</v>
      </c>
      <c r="H535" t="s">
        <v>32</v>
      </c>
      <c r="I535" t="e">
        <f ca="1">_xludf.XLOOKUP(H535,Base_Planos!$A:$A,Base_Planos!$B:$B,"Não encontrado")</f>
        <v>#NAME?</v>
      </c>
      <c r="J535" s="2">
        <f>VLOOKUP(H535,Base_Planos!$A:$G,4,FALSE)</f>
        <v>39.9</v>
      </c>
      <c r="K535" s="4">
        <v>45239</v>
      </c>
      <c r="L535" t="s">
        <v>79</v>
      </c>
      <c r="M535" t="s">
        <v>44</v>
      </c>
      <c r="N535" s="4"/>
      <c r="O535" s="10">
        <f t="shared" ca="1" si="52"/>
        <v>930</v>
      </c>
      <c r="P535" s="10" t="str">
        <f t="shared" ca="1" si="49"/>
        <v>Mais de 1 ano</v>
      </c>
      <c r="Q535">
        <f t="shared" si="54"/>
        <v>0</v>
      </c>
      <c r="R535">
        <v>7</v>
      </c>
      <c r="S535" s="11">
        <f t="shared" si="53"/>
        <v>0</v>
      </c>
      <c r="T535" s="11" t="str">
        <f t="shared" si="50"/>
        <v>Neutro</v>
      </c>
      <c r="U535" s="11" t="str">
        <f t="shared" si="51"/>
        <v>Médio risco</v>
      </c>
      <c r="V535">
        <v>2</v>
      </c>
      <c r="W535">
        <v>49</v>
      </c>
      <c r="X535" s="2">
        <v>35.520000000000003</v>
      </c>
      <c r="Y535">
        <v>31</v>
      </c>
      <c r="Z535" t="s">
        <v>35</v>
      </c>
    </row>
    <row r="536" spans="1:26">
      <c r="A536" t="s">
        <v>1003</v>
      </c>
      <c r="B536" t="s">
        <v>1004</v>
      </c>
      <c r="C536" t="s">
        <v>28</v>
      </c>
      <c r="D536" t="s">
        <v>29</v>
      </c>
      <c r="E536">
        <v>39</v>
      </c>
      <c r="F536" t="s">
        <v>30</v>
      </c>
      <c r="G536" t="s">
        <v>41</v>
      </c>
      <c r="H536" t="s">
        <v>166</v>
      </c>
      <c r="I536" t="e">
        <f ca="1">_xludf.XLOOKUP(H536,Base_Planos!$A:$A,Base_Planos!$B:$B,"Não encontrado")</f>
        <v>#NAME?</v>
      </c>
      <c r="J536" s="2">
        <f>VLOOKUP(H536,Base_Planos!$A:$G,4,FALSE)</f>
        <v>399.9</v>
      </c>
      <c r="K536" s="4">
        <v>45942</v>
      </c>
      <c r="L536" t="s">
        <v>196</v>
      </c>
      <c r="M536" t="s">
        <v>44</v>
      </c>
      <c r="N536" s="4"/>
      <c r="O536" s="10">
        <f t="shared" ca="1" si="52"/>
        <v>227</v>
      </c>
      <c r="P536" s="10" t="str">
        <f t="shared" ca="1" si="49"/>
        <v>181 a 365 dias</v>
      </c>
      <c r="Q536">
        <f t="shared" si="54"/>
        <v>0</v>
      </c>
      <c r="R536">
        <v>9</v>
      </c>
      <c r="S536" s="11">
        <f t="shared" si="53"/>
        <v>0</v>
      </c>
      <c r="T536" s="11" t="str">
        <f t="shared" si="50"/>
        <v>Promotor</v>
      </c>
      <c r="U536" s="11" t="str">
        <f t="shared" si="51"/>
        <v>Baixo risco</v>
      </c>
      <c r="V536">
        <v>0</v>
      </c>
      <c r="W536">
        <v>36</v>
      </c>
      <c r="X536" s="2">
        <v>378.79</v>
      </c>
      <c r="Y536">
        <v>7</v>
      </c>
      <c r="Z536" t="s">
        <v>50</v>
      </c>
    </row>
    <row r="537" spans="1:26">
      <c r="A537" t="s">
        <v>1005</v>
      </c>
      <c r="B537" t="s">
        <v>284</v>
      </c>
      <c r="C537" t="s">
        <v>65</v>
      </c>
      <c r="D537" t="s">
        <v>29</v>
      </c>
      <c r="E537">
        <v>49</v>
      </c>
      <c r="F537" t="s">
        <v>30</v>
      </c>
      <c r="G537" t="s">
        <v>67</v>
      </c>
      <c r="H537" t="s">
        <v>112</v>
      </c>
      <c r="I537" t="e">
        <f ca="1">_xludf.XLOOKUP(H537,Base_Planos!$A:$A,Base_Planos!$B:$B,"Não encontrado")</f>
        <v>#NAME?</v>
      </c>
      <c r="J537" s="2">
        <f>VLOOKUP(H537,Base_Planos!$A:$G,4,FALSE)</f>
        <v>79.900000000000006</v>
      </c>
      <c r="K537" s="4">
        <v>45791</v>
      </c>
      <c r="L537" t="s">
        <v>97</v>
      </c>
      <c r="M537" t="s">
        <v>44</v>
      </c>
      <c r="N537" s="4"/>
      <c r="O537" s="10">
        <f t="shared" ca="1" si="52"/>
        <v>378</v>
      </c>
      <c r="P537" s="10" t="str">
        <f t="shared" ca="1" si="49"/>
        <v>Mais de 1 ano</v>
      </c>
      <c r="Q537">
        <f t="shared" si="54"/>
        <v>0</v>
      </c>
      <c r="R537">
        <v>9</v>
      </c>
      <c r="S537" s="11">
        <f t="shared" si="53"/>
        <v>0</v>
      </c>
      <c r="T537" s="11" t="str">
        <f t="shared" si="50"/>
        <v>Promotor</v>
      </c>
      <c r="U537" s="11" t="str">
        <f t="shared" si="51"/>
        <v>Baixo risco</v>
      </c>
      <c r="V537">
        <v>2</v>
      </c>
      <c r="W537">
        <v>66</v>
      </c>
      <c r="X537" s="2">
        <v>75.48</v>
      </c>
      <c r="Y537">
        <v>12</v>
      </c>
      <c r="Z537" t="s">
        <v>50</v>
      </c>
    </row>
    <row r="538" spans="1:26">
      <c r="A538" t="s">
        <v>1006</v>
      </c>
      <c r="B538" t="s">
        <v>872</v>
      </c>
      <c r="C538" t="s">
        <v>65</v>
      </c>
      <c r="D538" t="s">
        <v>29</v>
      </c>
      <c r="E538">
        <v>40</v>
      </c>
      <c r="F538" t="s">
        <v>54</v>
      </c>
      <c r="G538" t="s">
        <v>41</v>
      </c>
      <c r="H538" t="s">
        <v>32</v>
      </c>
      <c r="I538" t="e">
        <f ca="1">_xludf.XLOOKUP(H538,Base_Planos!$A:$A,Base_Planos!$B:$B,"Não encontrado")</f>
        <v>#NAME?</v>
      </c>
      <c r="J538" s="2">
        <f>VLOOKUP(H538,Base_Planos!$A:$G,4,FALSE)</f>
        <v>39.9</v>
      </c>
      <c r="K538" s="4">
        <v>45516</v>
      </c>
      <c r="L538" t="s">
        <v>156</v>
      </c>
      <c r="M538" t="s">
        <v>44</v>
      </c>
      <c r="N538" s="4"/>
      <c r="O538" s="10">
        <f t="shared" ca="1" si="52"/>
        <v>653</v>
      </c>
      <c r="P538" s="10" t="str">
        <f t="shared" ca="1" si="49"/>
        <v>Mais de 1 ano</v>
      </c>
      <c r="Q538">
        <f t="shared" si="54"/>
        <v>1</v>
      </c>
      <c r="R538">
        <v>3</v>
      </c>
      <c r="S538" s="11">
        <f t="shared" si="53"/>
        <v>39.9</v>
      </c>
      <c r="T538" s="11" t="str">
        <f t="shared" si="50"/>
        <v>Detrator</v>
      </c>
      <c r="U538" s="11" t="str">
        <f t="shared" si="51"/>
        <v>Alto risco</v>
      </c>
      <c r="V538">
        <v>0</v>
      </c>
      <c r="W538">
        <v>62</v>
      </c>
      <c r="X538" s="2">
        <v>39.380000000000003</v>
      </c>
      <c r="Y538">
        <v>21</v>
      </c>
      <c r="Z538" t="s">
        <v>35</v>
      </c>
    </row>
    <row r="539" spans="1:26">
      <c r="A539" t="s">
        <v>1007</v>
      </c>
      <c r="B539" t="s">
        <v>1008</v>
      </c>
      <c r="C539" t="s">
        <v>53</v>
      </c>
      <c r="D539" t="s">
        <v>29</v>
      </c>
      <c r="E539">
        <v>63</v>
      </c>
      <c r="F539" t="s">
        <v>40</v>
      </c>
      <c r="G539" t="s">
        <v>96</v>
      </c>
      <c r="H539" t="s">
        <v>86</v>
      </c>
      <c r="I539" t="e">
        <f ca="1">_xludf.XLOOKUP(H539,Base_Planos!$A:$A,Base_Planos!$B:$B,"Não encontrado")</f>
        <v>#NAME?</v>
      </c>
      <c r="J539" s="2">
        <f>VLOOKUP(H539,Base_Planos!$A:$G,4,FALSE)</f>
        <v>119.9</v>
      </c>
      <c r="K539" s="4">
        <v>45726</v>
      </c>
      <c r="L539" t="s">
        <v>454</v>
      </c>
      <c r="M539" t="s">
        <v>44</v>
      </c>
      <c r="N539" s="4"/>
      <c r="O539" s="10">
        <f t="shared" ca="1" si="52"/>
        <v>443</v>
      </c>
      <c r="P539" s="10" t="str">
        <f t="shared" ca="1" si="49"/>
        <v>Mais de 1 ano</v>
      </c>
      <c r="Q539">
        <f t="shared" si="54"/>
        <v>1</v>
      </c>
      <c r="R539">
        <v>6</v>
      </c>
      <c r="S539" s="11">
        <f t="shared" si="53"/>
        <v>119.9</v>
      </c>
      <c r="T539" s="11" t="str">
        <f t="shared" si="50"/>
        <v>Detrator</v>
      </c>
      <c r="U539" s="11" t="str">
        <f t="shared" si="51"/>
        <v>Alto risco</v>
      </c>
      <c r="V539">
        <v>1</v>
      </c>
      <c r="W539">
        <v>20</v>
      </c>
      <c r="X539" s="2">
        <v>121.09</v>
      </c>
      <c r="Y539">
        <v>14</v>
      </c>
      <c r="Z539" t="s">
        <v>35</v>
      </c>
    </row>
    <row r="540" spans="1:26">
      <c r="A540" t="s">
        <v>1009</v>
      </c>
      <c r="B540" t="s">
        <v>943</v>
      </c>
      <c r="C540" t="s">
        <v>90</v>
      </c>
      <c r="D540" t="s">
        <v>29</v>
      </c>
      <c r="E540">
        <v>31</v>
      </c>
      <c r="F540" t="s">
        <v>30</v>
      </c>
      <c r="G540" t="s">
        <v>55</v>
      </c>
      <c r="H540" t="s">
        <v>61</v>
      </c>
      <c r="I540" t="e">
        <f ca="1">_xludf.XLOOKUP(H540,Base_Planos!$A:$A,Base_Planos!$B:$B,"Não encontrado")</f>
        <v>#NAME?</v>
      </c>
      <c r="J540" s="2">
        <f>VLOOKUP(H540,Base_Planos!$A:$G,4,FALSE)</f>
        <v>59.9</v>
      </c>
      <c r="K540" s="4">
        <v>45191</v>
      </c>
      <c r="L540" t="s">
        <v>105</v>
      </c>
      <c r="M540" t="s">
        <v>44</v>
      </c>
      <c r="N540" s="4"/>
      <c r="O540" s="10">
        <f t="shared" ca="1" si="52"/>
        <v>978</v>
      </c>
      <c r="P540" s="10" t="str">
        <f t="shared" ca="1" si="49"/>
        <v>Mais de 1 ano</v>
      </c>
      <c r="Q540">
        <f t="shared" si="54"/>
        <v>1</v>
      </c>
      <c r="R540">
        <v>2</v>
      </c>
      <c r="S540" s="11">
        <f t="shared" si="53"/>
        <v>59.9</v>
      </c>
      <c r="T540" s="11" t="str">
        <f t="shared" si="50"/>
        <v>Detrator</v>
      </c>
      <c r="U540" s="11" t="str">
        <f t="shared" si="51"/>
        <v>Alto risco</v>
      </c>
      <c r="V540">
        <v>0</v>
      </c>
      <c r="W540">
        <v>93</v>
      </c>
      <c r="X540" s="2">
        <v>62.82</v>
      </c>
      <c r="Y540">
        <v>32</v>
      </c>
      <c r="Z540" t="s">
        <v>35</v>
      </c>
    </row>
    <row r="541" spans="1:26">
      <c r="A541" t="s">
        <v>1010</v>
      </c>
      <c r="B541" t="s">
        <v>158</v>
      </c>
      <c r="C541" t="s">
        <v>59</v>
      </c>
      <c r="D541" t="s">
        <v>60</v>
      </c>
      <c r="E541">
        <v>53</v>
      </c>
      <c r="F541" t="s">
        <v>30</v>
      </c>
      <c r="G541" t="s">
        <v>67</v>
      </c>
      <c r="H541" t="s">
        <v>112</v>
      </c>
      <c r="I541" t="e">
        <f ca="1">_xludf.XLOOKUP(H541,Base_Planos!$A:$A,Base_Planos!$B:$B,"Não encontrado")</f>
        <v>#NAME?</v>
      </c>
      <c r="J541" s="2">
        <f>VLOOKUP(H541,Base_Planos!$A:$G,4,FALSE)</f>
        <v>79.900000000000006</v>
      </c>
      <c r="K541" s="4">
        <v>45461</v>
      </c>
      <c r="L541" t="s">
        <v>145</v>
      </c>
      <c r="M541" t="s">
        <v>44</v>
      </c>
      <c r="N541" s="4"/>
      <c r="O541" s="10">
        <f t="shared" ca="1" si="52"/>
        <v>708</v>
      </c>
      <c r="P541" s="10" t="str">
        <f t="shared" ca="1" si="49"/>
        <v>Mais de 1 ano</v>
      </c>
      <c r="Q541">
        <f t="shared" si="54"/>
        <v>0</v>
      </c>
      <c r="R541">
        <v>5</v>
      </c>
      <c r="S541" s="11">
        <f t="shared" si="53"/>
        <v>0</v>
      </c>
      <c r="T541" s="11" t="str">
        <f t="shared" si="50"/>
        <v>Detrator</v>
      </c>
      <c r="U541" s="11" t="str">
        <f t="shared" si="51"/>
        <v>Alto risco</v>
      </c>
      <c r="V541">
        <v>2</v>
      </c>
      <c r="W541">
        <v>41</v>
      </c>
      <c r="X541" s="2">
        <v>80.81</v>
      </c>
      <c r="Y541">
        <v>23</v>
      </c>
      <c r="Z541" t="s">
        <v>35</v>
      </c>
    </row>
    <row r="542" spans="1:26">
      <c r="A542" t="s">
        <v>1011</v>
      </c>
      <c r="B542" t="s">
        <v>694</v>
      </c>
      <c r="C542" t="s">
        <v>102</v>
      </c>
      <c r="D542" t="s">
        <v>103</v>
      </c>
      <c r="E542">
        <v>57</v>
      </c>
      <c r="F542" t="s">
        <v>30</v>
      </c>
      <c r="G542" t="s">
        <v>31</v>
      </c>
      <c r="H542" t="s">
        <v>112</v>
      </c>
      <c r="I542" t="e">
        <f ca="1">_xludf.XLOOKUP(H542,Base_Planos!$A:$A,Base_Planos!$B:$B,"Não encontrado")</f>
        <v>#NAME?</v>
      </c>
      <c r="J542" s="2">
        <f>VLOOKUP(H542,Base_Planos!$A:$G,4,FALSE)</f>
        <v>79.900000000000006</v>
      </c>
      <c r="K542" s="4">
        <v>45623</v>
      </c>
      <c r="L542" t="s">
        <v>83</v>
      </c>
      <c r="M542" t="s">
        <v>44</v>
      </c>
      <c r="N542" s="4"/>
      <c r="O542" s="10">
        <f t="shared" ca="1" si="52"/>
        <v>546</v>
      </c>
      <c r="P542" s="10" t="str">
        <f t="shared" ca="1" si="49"/>
        <v>Mais de 1 ano</v>
      </c>
      <c r="Q542">
        <f t="shared" si="54"/>
        <v>0</v>
      </c>
      <c r="R542">
        <v>5</v>
      </c>
      <c r="S542" s="11">
        <f t="shared" si="53"/>
        <v>0</v>
      </c>
      <c r="T542" s="11" t="str">
        <f t="shared" si="50"/>
        <v>Detrator</v>
      </c>
      <c r="U542" s="11" t="str">
        <f t="shared" si="51"/>
        <v>Alto risco</v>
      </c>
      <c r="V542">
        <v>0</v>
      </c>
      <c r="W542">
        <v>9</v>
      </c>
      <c r="X542" s="2">
        <v>81.55</v>
      </c>
      <c r="Y542">
        <v>18</v>
      </c>
      <c r="Z542" t="s">
        <v>35</v>
      </c>
    </row>
    <row r="543" spans="1:26">
      <c r="A543" t="s">
        <v>1012</v>
      </c>
      <c r="B543" t="s">
        <v>390</v>
      </c>
      <c r="C543" t="s">
        <v>90</v>
      </c>
      <c r="D543" t="s">
        <v>29</v>
      </c>
      <c r="E543">
        <v>60</v>
      </c>
      <c r="F543" t="s">
        <v>30</v>
      </c>
      <c r="G543" t="s">
        <v>67</v>
      </c>
      <c r="H543" t="s">
        <v>86</v>
      </c>
      <c r="I543" t="e">
        <f ca="1">_xludf.XLOOKUP(H543,Base_Planos!$A:$A,Base_Planos!$B:$B,"Não encontrado")</f>
        <v>#NAME?</v>
      </c>
      <c r="J543" s="2">
        <f>VLOOKUP(H543,Base_Planos!$A:$G,4,FALSE)</f>
        <v>119.9</v>
      </c>
      <c r="K543" s="4">
        <v>45823</v>
      </c>
      <c r="L543" t="s">
        <v>167</v>
      </c>
      <c r="M543" t="s">
        <v>44</v>
      </c>
      <c r="N543" s="4"/>
      <c r="O543" s="10">
        <f t="shared" ca="1" si="52"/>
        <v>346</v>
      </c>
      <c r="P543" s="10" t="str">
        <f t="shared" ca="1" si="49"/>
        <v>181 a 365 dias</v>
      </c>
      <c r="Q543">
        <f t="shared" si="54"/>
        <v>0</v>
      </c>
      <c r="R543">
        <v>7</v>
      </c>
      <c r="S543" s="11">
        <f t="shared" si="53"/>
        <v>0</v>
      </c>
      <c r="T543" s="11" t="str">
        <f t="shared" si="50"/>
        <v>Neutro</v>
      </c>
      <c r="U543" s="11" t="str">
        <f t="shared" si="51"/>
        <v>Médio risco</v>
      </c>
      <c r="V543">
        <v>4</v>
      </c>
      <c r="W543">
        <v>46</v>
      </c>
      <c r="X543" s="2">
        <v>116.53</v>
      </c>
      <c r="Y543">
        <v>11</v>
      </c>
      <c r="Z543" t="s">
        <v>35</v>
      </c>
    </row>
    <row r="544" spans="1:26">
      <c r="A544" t="s">
        <v>1013</v>
      </c>
      <c r="B544" t="s">
        <v>483</v>
      </c>
      <c r="C544" t="s">
        <v>53</v>
      </c>
      <c r="D544" t="s">
        <v>29</v>
      </c>
      <c r="E544">
        <v>53</v>
      </c>
      <c r="F544" t="s">
        <v>30</v>
      </c>
      <c r="G544" t="s">
        <v>55</v>
      </c>
      <c r="H544" t="s">
        <v>32</v>
      </c>
      <c r="I544" t="e">
        <f ca="1">_xludf.XLOOKUP(H544,Base_Planos!$A:$A,Base_Planos!$B:$B,"Não encontrado")</f>
        <v>#NAME?</v>
      </c>
      <c r="J544" s="2">
        <f>VLOOKUP(H544,Base_Planos!$A:$G,4,FALSE)</f>
        <v>39.9</v>
      </c>
      <c r="K544" s="4">
        <v>45168</v>
      </c>
      <c r="L544" t="s">
        <v>162</v>
      </c>
      <c r="M544" t="s">
        <v>44</v>
      </c>
      <c r="N544" s="4"/>
      <c r="O544" s="10">
        <f t="shared" ca="1" si="52"/>
        <v>1001</v>
      </c>
      <c r="P544" s="10" t="str">
        <f t="shared" ca="1" si="49"/>
        <v>Mais de 1 ano</v>
      </c>
      <c r="Q544">
        <f t="shared" si="54"/>
        <v>1</v>
      </c>
      <c r="R544">
        <v>3</v>
      </c>
      <c r="S544" s="11">
        <f t="shared" si="53"/>
        <v>39.9</v>
      </c>
      <c r="T544" s="11" t="str">
        <f t="shared" si="50"/>
        <v>Detrator</v>
      </c>
      <c r="U544" s="11" t="str">
        <f t="shared" si="51"/>
        <v>Alto risco</v>
      </c>
      <c r="V544">
        <v>0</v>
      </c>
      <c r="W544">
        <v>48</v>
      </c>
      <c r="X544" s="2">
        <v>37.950000000000003</v>
      </c>
      <c r="Y544">
        <v>33</v>
      </c>
      <c r="Z544" t="s">
        <v>35</v>
      </c>
    </row>
    <row r="545" spans="1:26">
      <c r="A545" t="s">
        <v>1014</v>
      </c>
      <c r="B545" t="s">
        <v>1015</v>
      </c>
      <c r="C545" t="s">
        <v>94</v>
      </c>
      <c r="D545" t="s">
        <v>95</v>
      </c>
      <c r="E545">
        <v>59</v>
      </c>
      <c r="F545" t="s">
        <v>54</v>
      </c>
      <c r="G545" t="s">
        <v>96</v>
      </c>
      <c r="H545" t="s">
        <v>32</v>
      </c>
      <c r="I545" t="e">
        <f ca="1">_xludf.XLOOKUP(H545,Base_Planos!$A:$A,Base_Planos!$B:$B,"Não encontrado")</f>
        <v>#NAME?</v>
      </c>
      <c r="J545" s="2">
        <f>VLOOKUP(H545,Base_Planos!$A:$G,4,FALSE)</f>
        <v>39.9</v>
      </c>
      <c r="K545" s="4">
        <v>45340</v>
      </c>
      <c r="L545" t="s">
        <v>297</v>
      </c>
      <c r="M545" t="s">
        <v>44</v>
      </c>
      <c r="N545" s="4"/>
      <c r="O545" s="10">
        <f t="shared" ca="1" si="52"/>
        <v>829</v>
      </c>
      <c r="P545" s="10" t="str">
        <f t="shared" ca="1" si="49"/>
        <v>Mais de 1 ano</v>
      </c>
      <c r="Q545">
        <f t="shared" si="54"/>
        <v>1</v>
      </c>
      <c r="R545">
        <v>7</v>
      </c>
      <c r="S545" s="11">
        <f t="shared" si="53"/>
        <v>39.9</v>
      </c>
      <c r="T545" s="11" t="str">
        <f t="shared" si="50"/>
        <v>Neutro</v>
      </c>
      <c r="U545" s="11" t="str">
        <f t="shared" si="51"/>
        <v>Alto risco</v>
      </c>
      <c r="V545">
        <v>0</v>
      </c>
      <c r="W545">
        <v>47</v>
      </c>
      <c r="X545" s="2">
        <v>37.69</v>
      </c>
      <c r="Y545">
        <v>27</v>
      </c>
      <c r="Z545" t="s">
        <v>50</v>
      </c>
    </row>
    <row r="546" spans="1:26">
      <c r="A546" t="s">
        <v>1016</v>
      </c>
      <c r="B546" t="s">
        <v>588</v>
      </c>
      <c r="C546" t="s">
        <v>94</v>
      </c>
      <c r="D546" t="s">
        <v>95</v>
      </c>
      <c r="E546">
        <v>23</v>
      </c>
      <c r="F546" t="s">
        <v>30</v>
      </c>
      <c r="G546" t="s">
        <v>41</v>
      </c>
      <c r="H546" t="s">
        <v>112</v>
      </c>
      <c r="I546" t="e">
        <f ca="1">_xludf.XLOOKUP(H546,Base_Planos!$A:$A,Base_Planos!$B:$B,"Não encontrado")</f>
        <v>#NAME?</v>
      </c>
      <c r="J546" s="2">
        <f>VLOOKUP(H546,Base_Planos!$A:$G,4,FALSE)</f>
        <v>79.900000000000006</v>
      </c>
      <c r="K546" s="4">
        <v>45429</v>
      </c>
      <c r="L546" t="s">
        <v>130</v>
      </c>
      <c r="M546" t="s">
        <v>34</v>
      </c>
      <c r="N546" s="4">
        <v>45898</v>
      </c>
      <c r="O546" s="10">
        <f t="shared" ca="1" si="52"/>
        <v>469</v>
      </c>
      <c r="P546" s="10" t="str">
        <f t="shared" ca="1" si="49"/>
        <v>Mais de 1 ano</v>
      </c>
      <c r="Q546">
        <f t="shared" si="54"/>
        <v>0</v>
      </c>
      <c r="R546">
        <v>2</v>
      </c>
      <c r="S546" s="11">
        <f t="shared" si="53"/>
        <v>0</v>
      </c>
      <c r="T546" s="11" t="str">
        <f t="shared" si="50"/>
        <v>Detrator</v>
      </c>
      <c r="U546" s="11" t="str">
        <f t="shared" si="51"/>
        <v>Alto risco</v>
      </c>
      <c r="V546">
        <v>1</v>
      </c>
      <c r="W546">
        <v>22</v>
      </c>
      <c r="X546" s="2">
        <v>74.459999999999994</v>
      </c>
      <c r="Y546">
        <v>15</v>
      </c>
      <c r="Z546" t="s">
        <v>45</v>
      </c>
    </row>
    <row r="547" spans="1:26">
      <c r="A547" t="s">
        <v>1017</v>
      </c>
      <c r="B547" t="s">
        <v>604</v>
      </c>
      <c r="C547" t="s">
        <v>48</v>
      </c>
      <c r="D547" t="s">
        <v>29</v>
      </c>
      <c r="E547">
        <v>61</v>
      </c>
      <c r="F547" t="s">
        <v>54</v>
      </c>
      <c r="G547" t="s">
        <v>67</v>
      </c>
      <c r="H547" t="s">
        <v>112</v>
      </c>
      <c r="I547" t="e">
        <f ca="1">_xludf.XLOOKUP(H547,Base_Planos!$A:$A,Base_Planos!$B:$B,"Não encontrado")</f>
        <v>#NAME?</v>
      </c>
      <c r="J547" s="2">
        <f>VLOOKUP(H547,Base_Planos!$A:$G,4,FALSE)</f>
        <v>79.900000000000006</v>
      </c>
      <c r="K547" s="4">
        <v>44947</v>
      </c>
      <c r="L547" t="s">
        <v>153</v>
      </c>
      <c r="M547" t="s">
        <v>44</v>
      </c>
      <c r="N547" s="4"/>
      <c r="O547" s="10">
        <f t="shared" ca="1" si="52"/>
        <v>1222</v>
      </c>
      <c r="P547" s="10" t="str">
        <f t="shared" ca="1" si="49"/>
        <v>Mais de 1 ano</v>
      </c>
      <c r="Q547">
        <f t="shared" si="54"/>
        <v>0</v>
      </c>
      <c r="R547">
        <v>8</v>
      </c>
      <c r="S547" s="11">
        <f t="shared" si="53"/>
        <v>0</v>
      </c>
      <c r="T547" s="11" t="str">
        <f t="shared" si="50"/>
        <v>Neutro</v>
      </c>
      <c r="U547" s="11" t="str">
        <f t="shared" si="51"/>
        <v>Médio risco</v>
      </c>
      <c r="V547">
        <v>0</v>
      </c>
      <c r="W547">
        <v>52</v>
      </c>
      <c r="X547" s="2">
        <v>70.540000000000006</v>
      </c>
      <c r="Y547">
        <v>40</v>
      </c>
      <c r="Z547" t="s">
        <v>50</v>
      </c>
    </row>
    <row r="548" spans="1:26">
      <c r="A548" t="s">
        <v>1018</v>
      </c>
      <c r="B548" t="s">
        <v>411</v>
      </c>
      <c r="C548" t="s">
        <v>48</v>
      </c>
      <c r="D548" t="s">
        <v>29</v>
      </c>
      <c r="E548">
        <v>20</v>
      </c>
      <c r="F548" t="s">
        <v>40</v>
      </c>
      <c r="G548" t="s">
        <v>96</v>
      </c>
      <c r="H548" t="s">
        <v>86</v>
      </c>
      <c r="I548" t="e">
        <f ca="1">_xludf.XLOOKUP(H548,Base_Planos!$A:$A,Base_Planos!$B:$B,"Não encontrado")</f>
        <v>#NAME?</v>
      </c>
      <c r="J548" s="2">
        <f>VLOOKUP(H548,Base_Planos!$A:$G,4,FALSE)</f>
        <v>119.9</v>
      </c>
      <c r="K548" s="4">
        <v>45045</v>
      </c>
      <c r="L548" t="s">
        <v>118</v>
      </c>
      <c r="M548" t="s">
        <v>44</v>
      </c>
      <c r="N548" s="4"/>
      <c r="O548" s="10">
        <f t="shared" ca="1" si="52"/>
        <v>1124</v>
      </c>
      <c r="P548" s="10" t="str">
        <f t="shared" ca="1" si="49"/>
        <v>Mais de 1 ano</v>
      </c>
      <c r="Q548">
        <f t="shared" si="54"/>
        <v>0</v>
      </c>
      <c r="R548">
        <v>10</v>
      </c>
      <c r="S548" s="11">
        <f t="shared" si="53"/>
        <v>0</v>
      </c>
      <c r="T548" s="11" t="str">
        <f t="shared" si="50"/>
        <v>Promotor</v>
      </c>
      <c r="U548" s="11" t="str">
        <f t="shared" si="51"/>
        <v>Baixo risco</v>
      </c>
      <c r="V548">
        <v>2</v>
      </c>
      <c r="W548">
        <v>50</v>
      </c>
      <c r="X548" s="2">
        <v>111.97</v>
      </c>
      <c r="Y548">
        <v>37</v>
      </c>
      <c r="Z548" t="s">
        <v>35</v>
      </c>
    </row>
    <row r="549" spans="1:26">
      <c r="A549" t="s">
        <v>1019</v>
      </c>
      <c r="B549" t="s">
        <v>1020</v>
      </c>
      <c r="C549" t="s">
        <v>53</v>
      </c>
      <c r="D549" t="s">
        <v>29</v>
      </c>
      <c r="E549">
        <v>37</v>
      </c>
      <c r="F549" t="s">
        <v>40</v>
      </c>
      <c r="G549" t="s">
        <v>165</v>
      </c>
      <c r="H549" t="s">
        <v>86</v>
      </c>
      <c r="I549" t="e">
        <f ca="1">_xludf.XLOOKUP(H549,Base_Planos!$A:$A,Base_Planos!$B:$B,"Não encontrado")</f>
        <v>#NAME?</v>
      </c>
      <c r="J549" s="2">
        <f>VLOOKUP(H549,Base_Planos!$A:$G,4,FALSE)</f>
        <v>119.9</v>
      </c>
      <c r="K549" s="4">
        <v>44943</v>
      </c>
      <c r="L549" t="s">
        <v>153</v>
      </c>
      <c r="M549" t="s">
        <v>34</v>
      </c>
      <c r="N549" s="4">
        <v>45393</v>
      </c>
      <c r="O549" s="10">
        <f t="shared" ca="1" si="52"/>
        <v>450</v>
      </c>
      <c r="P549" s="10" t="str">
        <f t="shared" ca="1" si="49"/>
        <v>Mais de 1 ano</v>
      </c>
      <c r="Q549">
        <f t="shared" si="54"/>
        <v>0</v>
      </c>
      <c r="R549">
        <v>4</v>
      </c>
      <c r="S549" s="11">
        <f t="shared" si="53"/>
        <v>0</v>
      </c>
      <c r="T549" s="11" t="str">
        <f t="shared" si="50"/>
        <v>Detrator</v>
      </c>
      <c r="U549" s="11" t="str">
        <f t="shared" si="51"/>
        <v>Alto risco</v>
      </c>
      <c r="V549">
        <v>0</v>
      </c>
      <c r="W549">
        <v>34</v>
      </c>
      <c r="X549" s="2">
        <v>116.89</v>
      </c>
      <c r="Y549">
        <v>15</v>
      </c>
      <c r="Z549" t="s">
        <v>45</v>
      </c>
    </row>
    <row r="550" spans="1:26">
      <c r="A550" t="s">
        <v>1021</v>
      </c>
      <c r="B550" t="s">
        <v>294</v>
      </c>
      <c r="C550" t="s">
        <v>137</v>
      </c>
      <c r="D550" t="s">
        <v>29</v>
      </c>
      <c r="E550">
        <v>40</v>
      </c>
      <c r="F550" t="s">
        <v>66</v>
      </c>
      <c r="G550" t="s">
        <v>41</v>
      </c>
      <c r="H550" t="s">
        <v>82</v>
      </c>
      <c r="I550" t="e">
        <f ca="1">_xludf.XLOOKUP(H550,Base_Planos!$A:$A,Base_Planos!$B:$B,"Não encontrado")</f>
        <v>#NAME?</v>
      </c>
      <c r="J550" s="2">
        <f>VLOOKUP(H550,Base_Planos!$A:$G,4,FALSE)</f>
        <v>149.9</v>
      </c>
      <c r="K550" s="4">
        <v>45544</v>
      </c>
      <c r="L550" t="s">
        <v>91</v>
      </c>
      <c r="M550" t="s">
        <v>44</v>
      </c>
      <c r="N550" s="4"/>
      <c r="O550" s="10">
        <f t="shared" ca="1" si="52"/>
        <v>625</v>
      </c>
      <c r="P550" s="10" t="str">
        <f t="shared" ca="1" si="49"/>
        <v>Mais de 1 ano</v>
      </c>
      <c r="Q550">
        <f t="shared" si="54"/>
        <v>0</v>
      </c>
      <c r="R550">
        <v>1</v>
      </c>
      <c r="S550" s="11">
        <f t="shared" si="53"/>
        <v>0</v>
      </c>
      <c r="T550" s="11" t="str">
        <f t="shared" si="50"/>
        <v>Detrator</v>
      </c>
      <c r="U550" s="11" t="str">
        <f t="shared" si="51"/>
        <v>Alto risco</v>
      </c>
      <c r="V550">
        <v>1</v>
      </c>
      <c r="W550">
        <v>62</v>
      </c>
      <c r="X550" s="2">
        <v>131.19</v>
      </c>
      <c r="Y550">
        <v>20</v>
      </c>
      <c r="Z550" t="s">
        <v>35</v>
      </c>
    </row>
    <row r="551" spans="1:26">
      <c r="A551" t="s">
        <v>1022</v>
      </c>
      <c r="B551" t="s">
        <v>652</v>
      </c>
      <c r="C551" t="s">
        <v>59</v>
      </c>
      <c r="D551" t="s">
        <v>60</v>
      </c>
      <c r="E551">
        <v>23</v>
      </c>
      <c r="F551" t="s">
        <v>54</v>
      </c>
      <c r="G551" t="s">
        <v>73</v>
      </c>
      <c r="H551" t="s">
        <v>112</v>
      </c>
      <c r="I551" t="e">
        <f ca="1">_xludf.XLOOKUP(H551,Base_Planos!$A:$A,Base_Planos!$B:$B,"Não encontrado")</f>
        <v>#NAME?</v>
      </c>
      <c r="J551" s="2">
        <f>VLOOKUP(H551,Base_Planos!$A:$G,4,FALSE)</f>
        <v>79.900000000000006</v>
      </c>
      <c r="K551" s="4">
        <v>45254</v>
      </c>
      <c r="L551" t="s">
        <v>79</v>
      </c>
      <c r="M551" t="s">
        <v>34</v>
      </c>
      <c r="N551" s="4">
        <v>46076</v>
      </c>
      <c r="O551" s="10">
        <f t="shared" ca="1" si="52"/>
        <v>822</v>
      </c>
      <c r="P551" s="10" t="str">
        <f t="shared" ca="1" si="49"/>
        <v>Mais de 1 ano</v>
      </c>
      <c r="Q551">
        <f t="shared" si="54"/>
        <v>0</v>
      </c>
      <c r="R551">
        <v>0</v>
      </c>
      <c r="S551" s="11">
        <f t="shared" si="53"/>
        <v>0</v>
      </c>
      <c r="T551" s="11" t="str">
        <f t="shared" si="50"/>
        <v>Detrator</v>
      </c>
      <c r="U551" s="11" t="str">
        <f t="shared" si="51"/>
        <v>Alto risco</v>
      </c>
      <c r="V551">
        <v>1</v>
      </c>
      <c r="W551">
        <v>65</v>
      </c>
      <c r="X551" s="2">
        <v>74.67</v>
      </c>
      <c r="Y551">
        <v>27</v>
      </c>
      <c r="Z551" t="s">
        <v>45</v>
      </c>
    </row>
    <row r="552" spans="1:26">
      <c r="A552" t="s">
        <v>1023</v>
      </c>
      <c r="B552" t="s">
        <v>899</v>
      </c>
      <c r="C552" t="s">
        <v>137</v>
      </c>
      <c r="D552" t="s">
        <v>29</v>
      </c>
      <c r="E552">
        <v>21</v>
      </c>
      <c r="F552" t="s">
        <v>66</v>
      </c>
      <c r="G552" t="s">
        <v>73</v>
      </c>
      <c r="H552" t="s">
        <v>61</v>
      </c>
      <c r="I552" t="e">
        <f ca="1">_xludf.XLOOKUP(H552,Base_Planos!$A:$A,Base_Planos!$B:$B,"Não encontrado")</f>
        <v>#NAME?</v>
      </c>
      <c r="J552" s="2">
        <f>VLOOKUP(H552,Base_Planos!$A:$G,4,FALSE)</f>
        <v>59.9</v>
      </c>
      <c r="K552" s="4">
        <v>45652</v>
      </c>
      <c r="L552" t="s">
        <v>49</v>
      </c>
      <c r="M552" t="s">
        <v>34</v>
      </c>
      <c r="N552" s="4">
        <v>46059</v>
      </c>
      <c r="O552" s="10">
        <f t="shared" ca="1" si="52"/>
        <v>407</v>
      </c>
      <c r="P552" s="10" t="str">
        <f t="shared" ca="1" si="49"/>
        <v>Mais de 1 ano</v>
      </c>
      <c r="Q552">
        <f t="shared" si="54"/>
        <v>0</v>
      </c>
      <c r="R552">
        <v>1</v>
      </c>
      <c r="S552" s="11">
        <f t="shared" si="53"/>
        <v>0</v>
      </c>
      <c r="T552" s="11" t="str">
        <f t="shared" si="50"/>
        <v>Detrator</v>
      </c>
      <c r="U552" s="11" t="str">
        <f t="shared" si="51"/>
        <v>Alto risco</v>
      </c>
      <c r="V552">
        <v>0</v>
      </c>
      <c r="W552">
        <v>69</v>
      </c>
      <c r="X552" s="2">
        <v>54.98</v>
      </c>
      <c r="Y552">
        <v>13</v>
      </c>
      <c r="Z552" t="s">
        <v>45</v>
      </c>
    </row>
    <row r="553" spans="1:26">
      <c r="A553" t="s">
        <v>1024</v>
      </c>
      <c r="B553" t="s">
        <v>762</v>
      </c>
      <c r="C553" t="s">
        <v>90</v>
      </c>
      <c r="D553" t="s">
        <v>29</v>
      </c>
      <c r="E553">
        <v>63</v>
      </c>
      <c r="F553" t="s">
        <v>66</v>
      </c>
      <c r="G553" t="s">
        <v>31</v>
      </c>
      <c r="H553" t="s">
        <v>112</v>
      </c>
      <c r="I553" t="e">
        <f ca="1">_xludf.XLOOKUP(H553,Base_Planos!$A:$A,Base_Planos!$B:$B,"Não encontrado")</f>
        <v>#NAME?</v>
      </c>
      <c r="J553" s="2">
        <f>VLOOKUP(H553,Base_Planos!$A:$G,4,FALSE)</f>
        <v>79.900000000000006</v>
      </c>
      <c r="K553" s="4">
        <v>45509</v>
      </c>
      <c r="L553" t="s">
        <v>156</v>
      </c>
      <c r="M553" t="s">
        <v>44</v>
      </c>
      <c r="N553" s="4"/>
      <c r="O553" s="10">
        <f t="shared" ca="1" si="52"/>
        <v>660</v>
      </c>
      <c r="P553" s="10" t="str">
        <f t="shared" ca="1" si="49"/>
        <v>Mais de 1 ano</v>
      </c>
      <c r="Q553">
        <f t="shared" si="54"/>
        <v>0</v>
      </c>
      <c r="R553">
        <v>10</v>
      </c>
      <c r="S553" s="11">
        <f t="shared" si="53"/>
        <v>0</v>
      </c>
      <c r="T553" s="11" t="str">
        <f t="shared" si="50"/>
        <v>Promotor</v>
      </c>
      <c r="U553" s="11" t="str">
        <f t="shared" si="51"/>
        <v>Baixo risco</v>
      </c>
      <c r="V553">
        <v>1</v>
      </c>
      <c r="W553">
        <v>13</v>
      </c>
      <c r="X553" s="2">
        <v>76.22</v>
      </c>
      <c r="Y553">
        <v>22</v>
      </c>
      <c r="Z553" t="s">
        <v>35</v>
      </c>
    </row>
    <row r="554" spans="1:26">
      <c r="A554" t="s">
        <v>1025</v>
      </c>
      <c r="B554" t="s">
        <v>959</v>
      </c>
      <c r="C554" t="s">
        <v>108</v>
      </c>
      <c r="D554" t="s">
        <v>109</v>
      </c>
      <c r="E554">
        <v>51</v>
      </c>
      <c r="F554" t="s">
        <v>54</v>
      </c>
      <c r="G554" t="s">
        <v>165</v>
      </c>
      <c r="H554" t="s">
        <v>112</v>
      </c>
      <c r="I554" t="e">
        <f ca="1">_xludf.XLOOKUP(H554,Base_Planos!$A:$A,Base_Planos!$B:$B,"Não encontrado")</f>
        <v>#NAME?</v>
      </c>
      <c r="J554" s="2">
        <f>VLOOKUP(H554,Base_Planos!$A:$G,4,FALSE)</f>
        <v>79.900000000000006</v>
      </c>
      <c r="K554" s="4">
        <v>45227</v>
      </c>
      <c r="L554" t="s">
        <v>215</v>
      </c>
      <c r="M554" t="s">
        <v>44</v>
      </c>
      <c r="N554" s="4"/>
      <c r="O554" s="10">
        <f t="shared" ca="1" si="52"/>
        <v>942</v>
      </c>
      <c r="P554" s="10" t="str">
        <f t="shared" ca="1" si="49"/>
        <v>Mais de 1 ano</v>
      </c>
      <c r="Q554">
        <f t="shared" si="54"/>
        <v>0</v>
      </c>
      <c r="R554">
        <v>6</v>
      </c>
      <c r="S554" s="11">
        <f t="shared" si="53"/>
        <v>0</v>
      </c>
      <c r="T554" s="11" t="str">
        <f t="shared" si="50"/>
        <v>Detrator</v>
      </c>
      <c r="U554" s="11" t="str">
        <f t="shared" si="51"/>
        <v>Alto risco</v>
      </c>
      <c r="V554">
        <v>0</v>
      </c>
      <c r="W554">
        <v>46</v>
      </c>
      <c r="X554" s="2">
        <v>75.53</v>
      </c>
      <c r="Y554">
        <v>31</v>
      </c>
      <c r="Z554" t="s">
        <v>50</v>
      </c>
    </row>
    <row r="555" spans="1:26">
      <c r="A555" t="s">
        <v>1026</v>
      </c>
      <c r="B555" t="s">
        <v>725</v>
      </c>
      <c r="C555" t="s">
        <v>108</v>
      </c>
      <c r="D555" t="s">
        <v>109</v>
      </c>
      <c r="E555">
        <v>61</v>
      </c>
      <c r="F555" t="s">
        <v>54</v>
      </c>
      <c r="G555" t="s">
        <v>41</v>
      </c>
      <c r="H555" t="s">
        <v>86</v>
      </c>
      <c r="I555" t="e">
        <f ca="1">_xludf.XLOOKUP(H555,Base_Planos!$A:$A,Base_Planos!$B:$B,"Não encontrado")</f>
        <v>#NAME?</v>
      </c>
      <c r="J555" s="2">
        <f>VLOOKUP(H555,Base_Planos!$A:$G,4,FALSE)</f>
        <v>119.9</v>
      </c>
      <c r="K555" s="4">
        <v>46123</v>
      </c>
      <c r="L555" t="s">
        <v>43</v>
      </c>
      <c r="M555" t="s">
        <v>44</v>
      </c>
      <c r="N555" s="4"/>
      <c r="O555" s="10">
        <f t="shared" ca="1" si="52"/>
        <v>46</v>
      </c>
      <c r="P555" s="10" t="str">
        <f t="shared" ca="1" si="49"/>
        <v>31 a 90 dias</v>
      </c>
      <c r="Q555">
        <f t="shared" si="54"/>
        <v>0</v>
      </c>
      <c r="R555">
        <v>7</v>
      </c>
      <c r="S555" s="11">
        <f t="shared" si="53"/>
        <v>0</v>
      </c>
      <c r="T555" s="11" t="str">
        <f t="shared" si="50"/>
        <v>Neutro</v>
      </c>
      <c r="U555" s="11" t="str">
        <f t="shared" si="51"/>
        <v>Médio risco</v>
      </c>
      <c r="V555">
        <v>1</v>
      </c>
      <c r="W555">
        <v>0</v>
      </c>
      <c r="X555" s="2">
        <v>119.46</v>
      </c>
      <c r="Y555">
        <v>1</v>
      </c>
      <c r="Z555" t="s">
        <v>35</v>
      </c>
    </row>
    <row r="556" spans="1:26">
      <c r="A556" t="s">
        <v>1027</v>
      </c>
      <c r="B556" t="s">
        <v>556</v>
      </c>
      <c r="C556" t="s">
        <v>94</v>
      </c>
      <c r="D556" t="s">
        <v>95</v>
      </c>
      <c r="E556">
        <v>50</v>
      </c>
      <c r="F556" t="s">
        <v>30</v>
      </c>
      <c r="G556" t="s">
        <v>104</v>
      </c>
      <c r="H556" t="s">
        <v>32</v>
      </c>
      <c r="I556" t="e">
        <f ca="1">_xludf.XLOOKUP(H556,Base_Planos!$A:$A,Base_Planos!$B:$B,"Não encontrado")</f>
        <v>#NAME?</v>
      </c>
      <c r="J556" s="2">
        <f>VLOOKUP(H556,Base_Planos!$A:$G,4,FALSE)</f>
        <v>39.9</v>
      </c>
      <c r="K556" s="4">
        <v>45978</v>
      </c>
      <c r="L556" t="s">
        <v>87</v>
      </c>
      <c r="M556" t="s">
        <v>44</v>
      </c>
      <c r="N556" s="4"/>
      <c r="O556" s="10">
        <f t="shared" ca="1" si="52"/>
        <v>191</v>
      </c>
      <c r="P556" s="10" t="str">
        <f t="shared" ca="1" si="49"/>
        <v>181 a 365 dias</v>
      </c>
      <c r="Q556">
        <f t="shared" si="54"/>
        <v>0</v>
      </c>
      <c r="R556">
        <v>8</v>
      </c>
      <c r="S556" s="11">
        <f t="shared" si="53"/>
        <v>0</v>
      </c>
      <c r="T556" s="11" t="str">
        <f t="shared" si="50"/>
        <v>Neutro</v>
      </c>
      <c r="U556" s="11" t="str">
        <f t="shared" si="51"/>
        <v>Médio risco</v>
      </c>
      <c r="V556">
        <v>0</v>
      </c>
      <c r="W556">
        <v>70</v>
      </c>
      <c r="X556" s="2">
        <v>41.45</v>
      </c>
      <c r="Y556">
        <v>6</v>
      </c>
      <c r="Z556" t="s">
        <v>50</v>
      </c>
    </row>
    <row r="557" spans="1:26">
      <c r="A557" t="s">
        <v>1028</v>
      </c>
      <c r="B557" t="s">
        <v>258</v>
      </c>
      <c r="C557" t="s">
        <v>90</v>
      </c>
      <c r="D557" t="s">
        <v>29</v>
      </c>
      <c r="E557">
        <v>44</v>
      </c>
      <c r="F557" t="s">
        <v>30</v>
      </c>
      <c r="G557" t="s">
        <v>165</v>
      </c>
      <c r="H557" t="s">
        <v>61</v>
      </c>
      <c r="I557" t="e">
        <f ca="1">_xludf.XLOOKUP(H557,Base_Planos!$A:$A,Base_Planos!$B:$B,"Não encontrado")</f>
        <v>#NAME?</v>
      </c>
      <c r="J557" s="2">
        <f>VLOOKUP(H557,Base_Planos!$A:$G,4,FALSE)</f>
        <v>59.9</v>
      </c>
      <c r="K557" s="4">
        <v>45009</v>
      </c>
      <c r="L557" t="s">
        <v>68</v>
      </c>
      <c r="M557" t="s">
        <v>44</v>
      </c>
      <c r="N557" s="4"/>
      <c r="O557" s="10">
        <f t="shared" ca="1" si="52"/>
        <v>1160</v>
      </c>
      <c r="P557" s="10" t="str">
        <f t="shared" ca="1" si="49"/>
        <v>Mais de 1 ano</v>
      </c>
      <c r="Q557">
        <f t="shared" si="54"/>
        <v>0</v>
      </c>
      <c r="R557">
        <v>8</v>
      </c>
      <c r="S557" s="11">
        <f t="shared" si="53"/>
        <v>0</v>
      </c>
      <c r="T557" s="11" t="str">
        <f t="shared" si="50"/>
        <v>Neutro</v>
      </c>
      <c r="U557" s="11" t="str">
        <f t="shared" si="51"/>
        <v>Médio risco</v>
      </c>
      <c r="V557">
        <v>4</v>
      </c>
      <c r="W557">
        <v>79</v>
      </c>
      <c r="X557" s="2">
        <v>56.74</v>
      </c>
      <c r="Y557">
        <v>38</v>
      </c>
      <c r="Z557" t="s">
        <v>50</v>
      </c>
    </row>
    <row r="558" spans="1:26">
      <c r="A558" t="s">
        <v>1029</v>
      </c>
      <c r="B558" t="s">
        <v>507</v>
      </c>
      <c r="C558" t="s">
        <v>94</v>
      </c>
      <c r="D558" t="s">
        <v>95</v>
      </c>
      <c r="E558">
        <v>55</v>
      </c>
      <c r="F558" t="s">
        <v>54</v>
      </c>
      <c r="G558" t="s">
        <v>73</v>
      </c>
      <c r="H558" t="s">
        <v>86</v>
      </c>
      <c r="I558" t="e">
        <f ca="1">_xludf.XLOOKUP(H558,Base_Planos!$A:$A,Base_Planos!$B:$B,"Não encontrado")</f>
        <v>#NAME?</v>
      </c>
      <c r="J558" s="2">
        <f>VLOOKUP(H558,Base_Planos!$A:$G,4,FALSE)</f>
        <v>119.9</v>
      </c>
      <c r="K558" s="4">
        <v>45368</v>
      </c>
      <c r="L558" t="s">
        <v>126</v>
      </c>
      <c r="M558" t="s">
        <v>44</v>
      </c>
      <c r="N558" s="4"/>
      <c r="O558" s="10">
        <f t="shared" ca="1" si="52"/>
        <v>801</v>
      </c>
      <c r="P558" s="10" t="str">
        <f t="shared" ca="1" si="49"/>
        <v>Mais de 1 ano</v>
      </c>
      <c r="Q558">
        <f t="shared" si="54"/>
        <v>0</v>
      </c>
      <c r="R558">
        <v>2</v>
      </c>
      <c r="S558" s="11">
        <f t="shared" si="53"/>
        <v>0</v>
      </c>
      <c r="T558" s="11" t="str">
        <f t="shared" si="50"/>
        <v>Detrator</v>
      </c>
      <c r="U558" s="11" t="str">
        <f t="shared" si="51"/>
        <v>Alto risco</v>
      </c>
      <c r="V558">
        <v>0</v>
      </c>
      <c r="W558">
        <v>27</v>
      </c>
      <c r="X558" s="2">
        <v>122.79</v>
      </c>
      <c r="Y558">
        <v>26</v>
      </c>
      <c r="Z558" t="s">
        <v>45</v>
      </c>
    </row>
    <row r="559" spans="1:26">
      <c r="A559" t="s">
        <v>1030</v>
      </c>
      <c r="B559" t="s">
        <v>1031</v>
      </c>
      <c r="C559" t="s">
        <v>90</v>
      </c>
      <c r="D559" t="s">
        <v>29</v>
      </c>
      <c r="E559">
        <v>37</v>
      </c>
      <c r="F559" t="s">
        <v>54</v>
      </c>
      <c r="G559" t="s">
        <v>165</v>
      </c>
      <c r="H559" t="s">
        <v>82</v>
      </c>
      <c r="I559" t="e">
        <f ca="1">_xludf.XLOOKUP(H559,Base_Planos!$A:$A,Base_Planos!$B:$B,"Não encontrado")</f>
        <v>#NAME?</v>
      </c>
      <c r="J559" s="2">
        <f>VLOOKUP(H559,Base_Planos!$A:$G,4,FALSE)</f>
        <v>149.9</v>
      </c>
      <c r="K559" s="4">
        <v>45900</v>
      </c>
      <c r="L559" t="s">
        <v>159</v>
      </c>
      <c r="M559" t="s">
        <v>44</v>
      </c>
      <c r="N559" s="4"/>
      <c r="O559" s="10">
        <f t="shared" ca="1" si="52"/>
        <v>269</v>
      </c>
      <c r="P559" s="10" t="str">
        <f t="shared" ca="1" si="49"/>
        <v>181 a 365 dias</v>
      </c>
      <c r="Q559">
        <f t="shared" si="54"/>
        <v>0</v>
      </c>
      <c r="R559">
        <v>9</v>
      </c>
      <c r="S559" s="11">
        <f t="shared" si="53"/>
        <v>0</v>
      </c>
      <c r="T559" s="11" t="str">
        <f t="shared" si="50"/>
        <v>Promotor</v>
      </c>
      <c r="U559" s="11" t="str">
        <f t="shared" si="51"/>
        <v>Baixo risco</v>
      </c>
      <c r="V559">
        <v>1</v>
      </c>
      <c r="W559">
        <v>68</v>
      </c>
      <c r="X559" s="2">
        <v>147.41999999999999</v>
      </c>
      <c r="Y559">
        <v>8</v>
      </c>
      <c r="Z559" t="s">
        <v>50</v>
      </c>
    </row>
    <row r="560" spans="1:26">
      <c r="A560" t="s">
        <v>1032</v>
      </c>
      <c r="B560" t="s">
        <v>1033</v>
      </c>
      <c r="C560" t="s">
        <v>102</v>
      </c>
      <c r="D560" t="s">
        <v>103</v>
      </c>
      <c r="E560">
        <v>57</v>
      </c>
      <c r="F560" t="s">
        <v>40</v>
      </c>
      <c r="G560" t="s">
        <v>41</v>
      </c>
      <c r="H560" t="s">
        <v>112</v>
      </c>
      <c r="I560" t="e">
        <f ca="1">_xludf.XLOOKUP(H560,Base_Planos!$A:$A,Base_Planos!$B:$B,"Não encontrado")</f>
        <v>#NAME?</v>
      </c>
      <c r="J560" s="2">
        <f>VLOOKUP(H560,Base_Planos!$A:$G,4,FALSE)</f>
        <v>79.900000000000006</v>
      </c>
      <c r="K560" s="4">
        <v>45736</v>
      </c>
      <c r="L560" t="s">
        <v>454</v>
      </c>
      <c r="M560" t="s">
        <v>44</v>
      </c>
      <c r="N560" s="4"/>
      <c r="O560" s="10">
        <f t="shared" ca="1" si="52"/>
        <v>433</v>
      </c>
      <c r="P560" s="10" t="str">
        <f t="shared" ca="1" si="49"/>
        <v>Mais de 1 ano</v>
      </c>
      <c r="Q560">
        <f t="shared" si="54"/>
        <v>0</v>
      </c>
      <c r="R560">
        <v>5</v>
      </c>
      <c r="S560" s="11">
        <f t="shared" si="53"/>
        <v>0</v>
      </c>
      <c r="T560" s="11" t="str">
        <f t="shared" si="50"/>
        <v>Detrator</v>
      </c>
      <c r="U560" s="11" t="str">
        <f t="shared" si="51"/>
        <v>Alto risco</v>
      </c>
      <c r="V560">
        <v>2</v>
      </c>
      <c r="W560">
        <v>39</v>
      </c>
      <c r="X560" s="2">
        <v>78.239999999999995</v>
      </c>
      <c r="Y560">
        <v>14</v>
      </c>
      <c r="Z560" t="s">
        <v>35</v>
      </c>
    </row>
    <row r="561" spans="1:26">
      <c r="A561" t="s">
        <v>1034</v>
      </c>
      <c r="B561" t="s">
        <v>943</v>
      </c>
      <c r="C561" t="s">
        <v>137</v>
      </c>
      <c r="D561" t="s">
        <v>29</v>
      </c>
      <c r="E561">
        <v>19</v>
      </c>
      <c r="F561" t="s">
        <v>54</v>
      </c>
      <c r="G561" t="s">
        <v>73</v>
      </c>
      <c r="H561" t="s">
        <v>61</v>
      </c>
      <c r="I561" t="e">
        <f ca="1">_xludf.XLOOKUP(H561,Base_Planos!$A:$A,Base_Planos!$B:$B,"Não encontrado")</f>
        <v>#NAME?</v>
      </c>
      <c r="J561" s="2">
        <f>VLOOKUP(H561,Base_Planos!$A:$G,4,FALSE)</f>
        <v>59.9</v>
      </c>
      <c r="K561" s="4">
        <v>45180</v>
      </c>
      <c r="L561" t="s">
        <v>105</v>
      </c>
      <c r="M561" t="s">
        <v>44</v>
      </c>
      <c r="N561" s="4"/>
      <c r="O561" s="10">
        <f t="shared" ca="1" si="52"/>
        <v>989</v>
      </c>
      <c r="P561" s="10" t="str">
        <f t="shared" ca="1" si="49"/>
        <v>Mais de 1 ano</v>
      </c>
      <c r="Q561">
        <f t="shared" si="54"/>
        <v>1</v>
      </c>
      <c r="R561">
        <v>10</v>
      </c>
      <c r="S561" s="11">
        <f t="shared" si="53"/>
        <v>59.9</v>
      </c>
      <c r="T561" s="11" t="str">
        <f t="shared" si="50"/>
        <v>Promotor</v>
      </c>
      <c r="U561" s="11" t="str">
        <f t="shared" si="51"/>
        <v>Alto risco</v>
      </c>
      <c r="V561">
        <v>1</v>
      </c>
      <c r="W561">
        <v>50</v>
      </c>
      <c r="X561" s="2">
        <v>51.55</v>
      </c>
      <c r="Y561">
        <v>32</v>
      </c>
      <c r="Z561" t="s">
        <v>50</v>
      </c>
    </row>
    <row r="562" spans="1:26">
      <c r="A562" t="s">
        <v>1035</v>
      </c>
      <c r="B562" t="s">
        <v>633</v>
      </c>
      <c r="C562" t="s">
        <v>59</v>
      </c>
      <c r="D562" t="s">
        <v>60</v>
      </c>
      <c r="E562">
        <v>48</v>
      </c>
      <c r="F562" t="s">
        <v>54</v>
      </c>
      <c r="G562" t="s">
        <v>67</v>
      </c>
      <c r="H562" t="s">
        <v>32</v>
      </c>
      <c r="I562" t="e">
        <f ca="1">_xludf.XLOOKUP(H562,Base_Planos!$A:$A,Base_Planos!$B:$B,"Não encontrado")</f>
        <v>#NAME?</v>
      </c>
      <c r="J562" s="2">
        <f>VLOOKUP(H562,Base_Planos!$A:$G,4,FALSE)</f>
        <v>39.9</v>
      </c>
      <c r="K562" s="4">
        <v>46016</v>
      </c>
      <c r="L562" t="s">
        <v>170</v>
      </c>
      <c r="M562" t="s">
        <v>44</v>
      </c>
      <c r="N562" s="4"/>
      <c r="O562" s="10">
        <f t="shared" ca="1" si="52"/>
        <v>153</v>
      </c>
      <c r="P562" s="10" t="str">
        <f t="shared" ca="1" si="49"/>
        <v>91 a 180 dias</v>
      </c>
      <c r="Q562">
        <f t="shared" si="54"/>
        <v>0</v>
      </c>
      <c r="R562">
        <v>2</v>
      </c>
      <c r="S562" s="11">
        <f t="shared" si="53"/>
        <v>0</v>
      </c>
      <c r="T562" s="11" t="str">
        <f t="shared" si="50"/>
        <v>Detrator</v>
      </c>
      <c r="U562" s="11" t="str">
        <f t="shared" si="51"/>
        <v>Alto risco</v>
      </c>
      <c r="V562">
        <v>0</v>
      </c>
      <c r="W562">
        <v>51</v>
      </c>
      <c r="X562" s="2">
        <v>40.61</v>
      </c>
      <c r="Y562">
        <v>5</v>
      </c>
      <c r="Z562" t="s">
        <v>35</v>
      </c>
    </row>
    <row r="563" spans="1:26">
      <c r="A563" t="s">
        <v>1036</v>
      </c>
      <c r="B563" t="s">
        <v>1037</v>
      </c>
      <c r="C563" t="s">
        <v>102</v>
      </c>
      <c r="D563" t="s">
        <v>103</v>
      </c>
      <c r="E563">
        <v>52</v>
      </c>
      <c r="F563" t="s">
        <v>40</v>
      </c>
      <c r="G563" t="s">
        <v>41</v>
      </c>
      <c r="H563" t="s">
        <v>61</v>
      </c>
      <c r="I563" t="e">
        <f ca="1">_xludf.XLOOKUP(H563,Base_Planos!$A:$A,Base_Planos!$B:$B,"Não encontrado")</f>
        <v>#NAME?</v>
      </c>
      <c r="J563" s="2">
        <f>VLOOKUP(H563,Base_Planos!$A:$G,4,FALSE)</f>
        <v>59.9</v>
      </c>
      <c r="K563" s="4">
        <v>45933</v>
      </c>
      <c r="L563" t="s">
        <v>196</v>
      </c>
      <c r="M563" t="s">
        <v>44</v>
      </c>
      <c r="N563" s="4"/>
      <c r="O563" s="10">
        <f t="shared" ca="1" si="52"/>
        <v>236</v>
      </c>
      <c r="P563" s="10" t="str">
        <f t="shared" ca="1" si="49"/>
        <v>181 a 365 dias</v>
      </c>
      <c r="Q563">
        <f t="shared" si="54"/>
        <v>1</v>
      </c>
      <c r="R563">
        <v>0</v>
      </c>
      <c r="S563" s="11">
        <f t="shared" si="53"/>
        <v>59.9</v>
      </c>
      <c r="T563" s="11" t="str">
        <f t="shared" si="50"/>
        <v>Detrator</v>
      </c>
      <c r="U563" s="11" t="str">
        <f t="shared" si="51"/>
        <v>Alto risco</v>
      </c>
      <c r="V563">
        <v>0</v>
      </c>
      <c r="W563">
        <v>71</v>
      </c>
      <c r="X563" s="2">
        <v>55.49</v>
      </c>
      <c r="Y563">
        <v>7</v>
      </c>
      <c r="Z563" t="s">
        <v>35</v>
      </c>
    </row>
    <row r="564" spans="1:26">
      <c r="A564" t="s">
        <v>1038</v>
      </c>
      <c r="B564" t="s">
        <v>463</v>
      </c>
      <c r="C564" t="s">
        <v>102</v>
      </c>
      <c r="D564" t="s">
        <v>103</v>
      </c>
      <c r="E564">
        <v>52</v>
      </c>
      <c r="F564" t="s">
        <v>30</v>
      </c>
      <c r="G564" t="s">
        <v>96</v>
      </c>
      <c r="H564" t="s">
        <v>42</v>
      </c>
      <c r="I564" t="e">
        <f ca="1">_xludf.XLOOKUP(H564,Base_Planos!$A:$A,Base_Planos!$B:$B,"Não encontrado")</f>
        <v>#NAME?</v>
      </c>
      <c r="J564" s="2">
        <f>VLOOKUP(H564,Base_Planos!$A:$G,4,FALSE)</f>
        <v>29.9</v>
      </c>
      <c r="K564" s="4">
        <v>45110</v>
      </c>
      <c r="L564" t="s">
        <v>33</v>
      </c>
      <c r="M564" t="s">
        <v>44</v>
      </c>
      <c r="N564" s="4"/>
      <c r="O564" s="10">
        <f t="shared" ca="1" si="52"/>
        <v>1059</v>
      </c>
      <c r="P564" s="10" t="str">
        <f t="shared" ca="1" si="49"/>
        <v>Mais de 1 ano</v>
      </c>
      <c r="Q564">
        <f t="shared" si="54"/>
        <v>1</v>
      </c>
      <c r="R564">
        <v>2</v>
      </c>
      <c r="S564" s="11">
        <f t="shared" si="53"/>
        <v>29.9</v>
      </c>
      <c r="T564" s="11" t="str">
        <f t="shared" si="50"/>
        <v>Detrator</v>
      </c>
      <c r="U564" s="11" t="str">
        <f t="shared" si="51"/>
        <v>Alto risco</v>
      </c>
      <c r="V564">
        <v>0</v>
      </c>
      <c r="W564">
        <v>83</v>
      </c>
      <c r="X564" s="2">
        <v>27.36</v>
      </c>
      <c r="Y564">
        <v>35</v>
      </c>
      <c r="Z564" t="s">
        <v>35</v>
      </c>
    </row>
    <row r="565" spans="1:26">
      <c r="A565" t="s">
        <v>1039</v>
      </c>
      <c r="B565" t="s">
        <v>271</v>
      </c>
      <c r="C565" t="s">
        <v>140</v>
      </c>
      <c r="D565" t="s">
        <v>141</v>
      </c>
      <c r="E565">
        <v>42</v>
      </c>
      <c r="F565" t="s">
        <v>30</v>
      </c>
      <c r="G565" t="s">
        <v>96</v>
      </c>
      <c r="H565" t="s">
        <v>112</v>
      </c>
      <c r="I565" t="e">
        <f ca="1">_xludf.XLOOKUP(H565,Base_Planos!$A:$A,Base_Planos!$B:$B,"Não encontrado")</f>
        <v>#NAME?</v>
      </c>
      <c r="J565" s="2">
        <f>VLOOKUP(H565,Base_Planos!$A:$G,4,FALSE)</f>
        <v>79.900000000000006</v>
      </c>
      <c r="K565" s="4">
        <v>45590</v>
      </c>
      <c r="L565" t="s">
        <v>123</v>
      </c>
      <c r="M565" t="s">
        <v>34</v>
      </c>
      <c r="N565" s="4">
        <v>45862</v>
      </c>
      <c r="O565" s="10">
        <f t="shared" ca="1" si="52"/>
        <v>272</v>
      </c>
      <c r="P565" s="10" t="str">
        <f t="shared" ca="1" si="49"/>
        <v>181 a 365 dias</v>
      </c>
      <c r="Q565">
        <f t="shared" si="54"/>
        <v>0</v>
      </c>
      <c r="R565">
        <v>4</v>
      </c>
      <c r="S565" s="11">
        <f t="shared" si="53"/>
        <v>0</v>
      </c>
      <c r="T565" s="11" t="str">
        <f t="shared" si="50"/>
        <v>Detrator</v>
      </c>
      <c r="U565" s="11" t="str">
        <f t="shared" si="51"/>
        <v>Alto risco</v>
      </c>
      <c r="V565">
        <v>0</v>
      </c>
      <c r="W565">
        <v>94</v>
      </c>
      <c r="X565" s="2">
        <v>79.94</v>
      </c>
      <c r="Y565">
        <v>9</v>
      </c>
      <c r="Z565" t="s">
        <v>35</v>
      </c>
    </row>
    <row r="566" spans="1:26">
      <c r="A566" t="s">
        <v>1040</v>
      </c>
      <c r="B566" t="s">
        <v>721</v>
      </c>
      <c r="C566" t="s">
        <v>140</v>
      </c>
      <c r="D566" t="s">
        <v>141</v>
      </c>
      <c r="E566">
        <v>21</v>
      </c>
      <c r="F566" t="s">
        <v>30</v>
      </c>
      <c r="G566" t="s">
        <v>41</v>
      </c>
      <c r="H566" t="s">
        <v>32</v>
      </c>
      <c r="I566" t="e">
        <f ca="1">_xludf.XLOOKUP(H566,Base_Planos!$A:$A,Base_Planos!$B:$B,"Não encontrado")</f>
        <v>#NAME?</v>
      </c>
      <c r="J566" s="2">
        <f>VLOOKUP(H566,Base_Planos!$A:$G,4,FALSE)</f>
        <v>39.9</v>
      </c>
      <c r="K566" s="4">
        <v>44986</v>
      </c>
      <c r="L566" t="s">
        <v>68</v>
      </c>
      <c r="M566" t="s">
        <v>44</v>
      </c>
      <c r="N566" s="4"/>
      <c r="O566" s="10">
        <f t="shared" ca="1" si="52"/>
        <v>1183</v>
      </c>
      <c r="P566" s="10" t="str">
        <f t="shared" ca="1" si="49"/>
        <v>Mais de 1 ano</v>
      </c>
      <c r="Q566">
        <f t="shared" si="54"/>
        <v>1</v>
      </c>
      <c r="R566">
        <v>6</v>
      </c>
      <c r="S566" s="11">
        <f t="shared" si="53"/>
        <v>39.9</v>
      </c>
      <c r="T566" s="11" t="str">
        <f t="shared" si="50"/>
        <v>Detrator</v>
      </c>
      <c r="U566" s="11" t="str">
        <f t="shared" si="51"/>
        <v>Alto risco</v>
      </c>
      <c r="V566">
        <v>0</v>
      </c>
      <c r="W566">
        <v>10</v>
      </c>
      <c r="X566" s="2">
        <v>38.590000000000003</v>
      </c>
      <c r="Y566">
        <v>39</v>
      </c>
      <c r="Z566" t="s">
        <v>35</v>
      </c>
    </row>
    <row r="567" spans="1:26">
      <c r="A567" t="s">
        <v>1041</v>
      </c>
      <c r="B567" t="s">
        <v>1042</v>
      </c>
      <c r="C567" t="s">
        <v>48</v>
      </c>
      <c r="D567" t="s">
        <v>29</v>
      </c>
      <c r="E567">
        <v>53</v>
      </c>
      <c r="F567" t="s">
        <v>40</v>
      </c>
      <c r="G567" t="s">
        <v>96</v>
      </c>
      <c r="H567" t="s">
        <v>42</v>
      </c>
      <c r="I567" t="e">
        <f ca="1">_xludf.XLOOKUP(H567,Base_Planos!$A:$A,Base_Planos!$B:$B,"Não encontrado")</f>
        <v>#NAME?</v>
      </c>
      <c r="J567" s="2">
        <f>VLOOKUP(H567,Base_Planos!$A:$G,4,FALSE)</f>
        <v>29.9</v>
      </c>
      <c r="K567" s="4">
        <v>45760</v>
      </c>
      <c r="L567" t="s">
        <v>222</v>
      </c>
      <c r="M567" t="s">
        <v>44</v>
      </c>
      <c r="N567" s="4"/>
      <c r="O567" s="10">
        <f t="shared" ca="1" si="52"/>
        <v>409</v>
      </c>
      <c r="P567" s="10" t="str">
        <f t="shared" ca="1" si="49"/>
        <v>Mais de 1 ano</v>
      </c>
      <c r="Q567">
        <f t="shared" si="54"/>
        <v>1</v>
      </c>
      <c r="R567">
        <v>7</v>
      </c>
      <c r="S567" s="11">
        <f t="shared" si="53"/>
        <v>29.9</v>
      </c>
      <c r="T567" s="11" t="str">
        <f t="shared" si="50"/>
        <v>Neutro</v>
      </c>
      <c r="U567" s="11" t="str">
        <f t="shared" si="51"/>
        <v>Alto risco</v>
      </c>
      <c r="V567">
        <v>0</v>
      </c>
      <c r="W567">
        <v>77</v>
      </c>
      <c r="X567" s="2">
        <v>27.65</v>
      </c>
      <c r="Y567">
        <v>13</v>
      </c>
      <c r="Z567" t="s">
        <v>50</v>
      </c>
    </row>
    <row r="568" spans="1:26">
      <c r="A568" t="s">
        <v>1043</v>
      </c>
      <c r="B568" t="s">
        <v>1044</v>
      </c>
      <c r="C568" t="s">
        <v>38</v>
      </c>
      <c r="D568" t="s">
        <v>39</v>
      </c>
      <c r="E568">
        <v>45</v>
      </c>
      <c r="F568" t="s">
        <v>201</v>
      </c>
      <c r="G568" t="s">
        <v>104</v>
      </c>
      <c r="H568" t="s">
        <v>32</v>
      </c>
      <c r="I568" t="e">
        <f ca="1">_xludf.XLOOKUP(H568,Base_Planos!$A:$A,Base_Planos!$B:$B,"Não encontrado")</f>
        <v>#NAME?</v>
      </c>
      <c r="J568" s="2">
        <f>VLOOKUP(H568,Base_Planos!$A:$G,4,FALSE)</f>
        <v>39.9</v>
      </c>
      <c r="K568" s="4">
        <v>45878</v>
      </c>
      <c r="L568" t="s">
        <v>159</v>
      </c>
      <c r="M568" t="s">
        <v>44</v>
      </c>
      <c r="N568" s="4"/>
      <c r="O568" s="10">
        <f t="shared" ca="1" si="52"/>
        <v>291</v>
      </c>
      <c r="P568" s="10" t="str">
        <f t="shared" ca="1" si="49"/>
        <v>181 a 365 dias</v>
      </c>
      <c r="Q568">
        <f t="shared" si="54"/>
        <v>1</v>
      </c>
      <c r="R568">
        <v>9</v>
      </c>
      <c r="S568" s="11">
        <f t="shared" si="53"/>
        <v>39.9</v>
      </c>
      <c r="T568" s="11" t="str">
        <f t="shared" si="50"/>
        <v>Promotor</v>
      </c>
      <c r="U568" s="11" t="str">
        <f t="shared" si="51"/>
        <v>Alto risco</v>
      </c>
      <c r="V568">
        <v>0</v>
      </c>
      <c r="W568">
        <v>100</v>
      </c>
      <c r="X568" s="2">
        <v>37.76</v>
      </c>
      <c r="Y568">
        <v>9</v>
      </c>
      <c r="Z568" t="s">
        <v>50</v>
      </c>
    </row>
    <row r="569" spans="1:26">
      <c r="A569" t="s">
        <v>1045</v>
      </c>
      <c r="B569" t="s">
        <v>1046</v>
      </c>
      <c r="C569" t="s">
        <v>53</v>
      </c>
      <c r="D569" t="s">
        <v>29</v>
      </c>
      <c r="E569">
        <v>61</v>
      </c>
      <c r="F569" t="s">
        <v>54</v>
      </c>
      <c r="G569" t="s">
        <v>165</v>
      </c>
      <c r="H569" t="s">
        <v>86</v>
      </c>
      <c r="I569" t="e">
        <f ca="1">_xludf.XLOOKUP(H569,Base_Planos!$A:$A,Base_Planos!$B:$B,"Não encontrado")</f>
        <v>#NAME?</v>
      </c>
      <c r="J569" s="2">
        <f>VLOOKUP(H569,Base_Planos!$A:$G,4,FALSE)</f>
        <v>119.9</v>
      </c>
      <c r="K569" s="4">
        <v>45362</v>
      </c>
      <c r="L569" t="s">
        <v>126</v>
      </c>
      <c r="M569" t="s">
        <v>44</v>
      </c>
      <c r="N569" s="4"/>
      <c r="O569" s="10">
        <f t="shared" ca="1" si="52"/>
        <v>807</v>
      </c>
      <c r="P569" s="10" t="str">
        <f t="shared" ca="1" si="49"/>
        <v>Mais de 1 ano</v>
      </c>
      <c r="Q569">
        <f t="shared" si="54"/>
        <v>1</v>
      </c>
      <c r="R569">
        <v>9</v>
      </c>
      <c r="S569" s="11">
        <f t="shared" si="53"/>
        <v>119.9</v>
      </c>
      <c r="T569" s="11" t="str">
        <f t="shared" si="50"/>
        <v>Promotor</v>
      </c>
      <c r="U569" s="11" t="str">
        <f t="shared" si="51"/>
        <v>Alto risco</v>
      </c>
      <c r="V569">
        <v>0</v>
      </c>
      <c r="W569">
        <v>37</v>
      </c>
      <c r="X569" s="2">
        <v>103.59</v>
      </c>
      <c r="Y569">
        <v>26</v>
      </c>
      <c r="Z569" t="s">
        <v>50</v>
      </c>
    </row>
    <row r="570" spans="1:26">
      <c r="A570" t="s">
        <v>1047</v>
      </c>
      <c r="B570" t="s">
        <v>436</v>
      </c>
      <c r="C570" t="s">
        <v>137</v>
      </c>
      <c r="D570" t="s">
        <v>29</v>
      </c>
      <c r="E570">
        <v>25</v>
      </c>
      <c r="F570" t="s">
        <v>66</v>
      </c>
      <c r="G570" t="s">
        <v>73</v>
      </c>
      <c r="H570" t="s">
        <v>86</v>
      </c>
      <c r="I570" t="e">
        <f ca="1">_xludf.XLOOKUP(H570,Base_Planos!$A:$A,Base_Planos!$B:$B,"Não encontrado")</f>
        <v>#NAME?</v>
      </c>
      <c r="J570" s="2">
        <f>VLOOKUP(H570,Base_Planos!$A:$G,4,FALSE)</f>
        <v>119.9</v>
      </c>
      <c r="K570" s="4">
        <v>45358</v>
      </c>
      <c r="L570" t="s">
        <v>126</v>
      </c>
      <c r="M570" t="s">
        <v>44</v>
      </c>
      <c r="N570" s="4"/>
      <c r="O570" s="10">
        <f t="shared" ca="1" si="52"/>
        <v>811</v>
      </c>
      <c r="P570" s="10" t="str">
        <f t="shared" ca="1" si="49"/>
        <v>Mais de 1 ano</v>
      </c>
      <c r="Q570">
        <f t="shared" si="54"/>
        <v>0</v>
      </c>
      <c r="R570">
        <v>9</v>
      </c>
      <c r="S570" s="11">
        <f t="shared" si="53"/>
        <v>0</v>
      </c>
      <c r="T570" s="11" t="str">
        <f t="shared" si="50"/>
        <v>Promotor</v>
      </c>
      <c r="U570" s="11" t="str">
        <f t="shared" si="51"/>
        <v>Baixo risco</v>
      </c>
      <c r="V570">
        <v>2</v>
      </c>
      <c r="W570">
        <v>55</v>
      </c>
      <c r="X570" s="2">
        <v>117.15</v>
      </c>
      <c r="Y570">
        <v>27</v>
      </c>
      <c r="Z570" t="s">
        <v>50</v>
      </c>
    </row>
    <row r="571" spans="1:26">
      <c r="A571" t="s">
        <v>1048</v>
      </c>
      <c r="B571" t="s">
        <v>333</v>
      </c>
      <c r="C571" t="s">
        <v>140</v>
      </c>
      <c r="D571" t="s">
        <v>141</v>
      </c>
      <c r="E571">
        <v>33</v>
      </c>
      <c r="F571" t="s">
        <v>40</v>
      </c>
      <c r="G571" t="s">
        <v>165</v>
      </c>
      <c r="H571" t="s">
        <v>112</v>
      </c>
      <c r="I571" t="e">
        <f ca="1">_xludf.XLOOKUP(H571,Base_Planos!$A:$A,Base_Planos!$B:$B,"Não encontrado")</f>
        <v>#NAME?</v>
      </c>
      <c r="J571" s="2">
        <f>VLOOKUP(H571,Base_Planos!$A:$G,4,FALSE)</f>
        <v>79.900000000000006</v>
      </c>
      <c r="K571" s="4">
        <v>45868</v>
      </c>
      <c r="L571" t="s">
        <v>212</v>
      </c>
      <c r="M571" t="s">
        <v>44</v>
      </c>
      <c r="N571" s="4"/>
      <c r="O571" s="10">
        <f t="shared" ca="1" si="52"/>
        <v>301</v>
      </c>
      <c r="P571" s="10" t="str">
        <f t="shared" ca="1" si="49"/>
        <v>181 a 365 dias</v>
      </c>
      <c r="Q571">
        <f t="shared" si="54"/>
        <v>0</v>
      </c>
      <c r="R571">
        <v>9</v>
      </c>
      <c r="S571" s="11">
        <f t="shared" si="53"/>
        <v>0</v>
      </c>
      <c r="T571" s="11" t="str">
        <f t="shared" si="50"/>
        <v>Promotor</v>
      </c>
      <c r="U571" s="11" t="str">
        <f t="shared" si="51"/>
        <v>Baixo risco</v>
      </c>
      <c r="V571">
        <v>0</v>
      </c>
      <c r="W571">
        <v>100</v>
      </c>
      <c r="X571" s="2">
        <v>77.64</v>
      </c>
      <c r="Y571">
        <v>10</v>
      </c>
      <c r="Z571" t="s">
        <v>50</v>
      </c>
    </row>
    <row r="572" spans="1:26">
      <c r="A572" t="s">
        <v>1049</v>
      </c>
      <c r="B572" t="s">
        <v>1050</v>
      </c>
      <c r="C572" t="s">
        <v>65</v>
      </c>
      <c r="D572" t="s">
        <v>29</v>
      </c>
      <c r="E572">
        <v>29</v>
      </c>
      <c r="F572" t="s">
        <v>54</v>
      </c>
      <c r="G572" t="s">
        <v>104</v>
      </c>
      <c r="H572" t="s">
        <v>82</v>
      </c>
      <c r="I572" t="e">
        <f ca="1">_xludf.XLOOKUP(H572,Base_Planos!$A:$A,Base_Planos!$B:$B,"Não encontrado")</f>
        <v>#NAME?</v>
      </c>
      <c r="J572" s="2">
        <f>VLOOKUP(H572,Base_Planos!$A:$G,4,FALSE)</f>
        <v>149.9</v>
      </c>
      <c r="K572" s="4">
        <v>46029</v>
      </c>
      <c r="L572" t="s">
        <v>148</v>
      </c>
      <c r="M572" t="s">
        <v>34</v>
      </c>
      <c r="N572" s="4">
        <v>46165</v>
      </c>
      <c r="O572" s="10">
        <f t="shared" ca="1" si="52"/>
        <v>136</v>
      </c>
      <c r="P572" s="10" t="str">
        <f t="shared" ca="1" si="49"/>
        <v>91 a 180 dias</v>
      </c>
      <c r="Q572">
        <f t="shared" si="54"/>
        <v>1</v>
      </c>
      <c r="R572">
        <v>1</v>
      </c>
      <c r="S572" s="11">
        <f t="shared" si="53"/>
        <v>149.9</v>
      </c>
      <c r="T572" s="11" t="str">
        <f t="shared" si="50"/>
        <v>Detrator</v>
      </c>
      <c r="U572" s="11" t="str">
        <f t="shared" si="51"/>
        <v>Alto risco</v>
      </c>
      <c r="V572">
        <v>0</v>
      </c>
      <c r="W572">
        <v>17</v>
      </c>
      <c r="X572" s="2">
        <v>140.76</v>
      </c>
      <c r="Y572">
        <v>4</v>
      </c>
      <c r="Z572" t="s">
        <v>45</v>
      </c>
    </row>
    <row r="573" spans="1:26">
      <c r="A573" t="s">
        <v>1051</v>
      </c>
      <c r="B573" t="s">
        <v>286</v>
      </c>
      <c r="C573" t="s">
        <v>53</v>
      </c>
      <c r="D573" t="s">
        <v>29</v>
      </c>
      <c r="E573">
        <v>42</v>
      </c>
      <c r="F573" t="s">
        <v>66</v>
      </c>
      <c r="G573" t="s">
        <v>165</v>
      </c>
      <c r="H573" t="s">
        <v>112</v>
      </c>
      <c r="I573" t="e">
        <f ca="1">_xludf.XLOOKUP(H573,Base_Planos!$A:$A,Base_Planos!$B:$B,"Não encontrado")</f>
        <v>#NAME?</v>
      </c>
      <c r="J573" s="2">
        <f>VLOOKUP(H573,Base_Planos!$A:$G,4,FALSE)</f>
        <v>79.900000000000006</v>
      </c>
      <c r="K573" s="4">
        <v>44944</v>
      </c>
      <c r="L573" t="s">
        <v>153</v>
      </c>
      <c r="M573" t="s">
        <v>34</v>
      </c>
      <c r="N573" s="4">
        <v>45014</v>
      </c>
      <c r="O573" s="10">
        <f t="shared" ca="1" si="52"/>
        <v>70</v>
      </c>
      <c r="P573" s="10" t="str">
        <f t="shared" ca="1" si="49"/>
        <v>31 a 90 dias</v>
      </c>
      <c r="Q573">
        <f t="shared" si="54"/>
        <v>0</v>
      </c>
      <c r="R573">
        <v>1</v>
      </c>
      <c r="S573" s="11">
        <f t="shared" si="53"/>
        <v>0</v>
      </c>
      <c r="T573" s="11" t="str">
        <f t="shared" si="50"/>
        <v>Detrator</v>
      </c>
      <c r="U573" s="11" t="str">
        <f t="shared" si="51"/>
        <v>Alto risco</v>
      </c>
      <c r="V573">
        <v>0</v>
      </c>
      <c r="W573">
        <v>72</v>
      </c>
      <c r="X573" s="2">
        <v>78.790000000000006</v>
      </c>
      <c r="Y573">
        <v>2</v>
      </c>
      <c r="Z573" t="s">
        <v>35</v>
      </c>
    </row>
    <row r="574" spans="1:26">
      <c r="A574" t="s">
        <v>1052</v>
      </c>
      <c r="B574" t="s">
        <v>922</v>
      </c>
      <c r="C574" t="s">
        <v>59</v>
      </c>
      <c r="D574" t="s">
        <v>60</v>
      </c>
      <c r="E574">
        <v>23</v>
      </c>
      <c r="F574" t="s">
        <v>40</v>
      </c>
      <c r="G574" t="s">
        <v>73</v>
      </c>
      <c r="H574" t="s">
        <v>82</v>
      </c>
      <c r="I574" t="e">
        <f ca="1">_xludf.XLOOKUP(H574,Base_Planos!$A:$A,Base_Planos!$B:$B,"Não encontrado")</f>
        <v>#NAME?</v>
      </c>
      <c r="J574" s="2">
        <f>VLOOKUP(H574,Base_Planos!$A:$G,4,FALSE)</f>
        <v>149.9</v>
      </c>
      <c r="K574" s="4">
        <v>45379</v>
      </c>
      <c r="L574" t="s">
        <v>126</v>
      </c>
      <c r="M574" t="s">
        <v>44</v>
      </c>
      <c r="N574" s="4"/>
      <c r="O574" s="10">
        <f t="shared" ca="1" si="52"/>
        <v>790</v>
      </c>
      <c r="P574" s="10" t="str">
        <f t="shared" ca="1" si="49"/>
        <v>Mais de 1 ano</v>
      </c>
      <c r="Q574">
        <f t="shared" si="54"/>
        <v>0</v>
      </c>
      <c r="R574">
        <v>3</v>
      </c>
      <c r="S574" s="11">
        <f t="shared" si="53"/>
        <v>0</v>
      </c>
      <c r="T574" s="11" t="str">
        <f t="shared" si="50"/>
        <v>Detrator</v>
      </c>
      <c r="U574" s="11" t="str">
        <f t="shared" si="51"/>
        <v>Alto risco</v>
      </c>
      <c r="V574">
        <v>0</v>
      </c>
      <c r="W574">
        <v>47</v>
      </c>
      <c r="X574" s="2">
        <v>148.52000000000001</v>
      </c>
      <c r="Y574">
        <v>26</v>
      </c>
      <c r="Z574" t="s">
        <v>45</v>
      </c>
    </row>
    <row r="575" spans="1:26">
      <c r="A575" t="s">
        <v>1053</v>
      </c>
      <c r="B575" t="s">
        <v>547</v>
      </c>
      <c r="C575" t="s">
        <v>28</v>
      </c>
      <c r="D575" t="s">
        <v>29</v>
      </c>
      <c r="E575">
        <v>30</v>
      </c>
      <c r="F575" t="s">
        <v>201</v>
      </c>
      <c r="G575" t="s">
        <v>41</v>
      </c>
      <c r="H575" t="s">
        <v>32</v>
      </c>
      <c r="I575" t="e">
        <f ca="1">_xludf.XLOOKUP(H575,Base_Planos!$A:$A,Base_Planos!$B:$B,"Não encontrado")</f>
        <v>#NAME?</v>
      </c>
      <c r="J575" s="2">
        <f>VLOOKUP(H575,Base_Planos!$A:$G,4,FALSE)</f>
        <v>39.9</v>
      </c>
      <c r="K575" s="4">
        <v>45495</v>
      </c>
      <c r="L575" t="s">
        <v>142</v>
      </c>
      <c r="M575" t="s">
        <v>44</v>
      </c>
      <c r="N575" s="4"/>
      <c r="O575" s="10">
        <f t="shared" ca="1" si="52"/>
        <v>674</v>
      </c>
      <c r="P575" s="10" t="str">
        <f t="shared" ca="1" si="49"/>
        <v>Mais de 1 ano</v>
      </c>
      <c r="Q575">
        <f t="shared" si="54"/>
        <v>0</v>
      </c>
      <c r="R575">
        <v>9</v>
      </c>
      <c r="S575" s="11">
        <f t="shared" si="53"/>
        <v>0</v>
      </c>
      <c r="T575" s="11" t="str">
        <f t="shared" si="50"/>
        <v>Promotor</v>
      </c>
      <c r="U575" s="11" t="str">
        <f t="shared" si="51"/>
        <v>Baixo risco</v>
      </c>
      <c r="V575">
        <v>0</v>
      </c>
      <c r="W575">
        <v>56</v>
      </c>
      <c r="X575" s="2">
        <v>39.28</v>
      </c>
      <c r="Y575">
        <v>22</v>
      </c>
      <c r="Z575" t="s">
        <v>50</v>
      </c>
    </row>
    <row r="576" spans="1:26">
      <c r="A576" t="s">
        <v>1054</v>
      </c>
      <c r="B576" t="s">
        <v>1055</v>
      </c>
      <c r="C576" t="s">
        <v>94</v>
      </c>
      <c r="D576" t="s">
        <v>95</v>
      </c>
      <c r="E576">
        <v>22</v>
      </c>
      <c r="F576" t="s">
        <v>54</v>
      </c>
      <c r="G576" t="s">
        <v>55</v>
      </c>
      <c r="H576" t="s">
        <v>32</v>
      </c>
      <c r="I576" t="e">
        <f ca="1">_xludf.XLOOKUP(H576,Base_Planos!$A:$A,Base_Planos!$B:$B,"Não encontrado")</f>
        <v>#NAME?</v>
      </c>
      <c r="J576" s="2">
        <f>VLOOKUP(H576,Base_Planos!$A:$G,4,FALSE)</f>
        <v>39.9</v>
      </c>
      <c r="K576" s="4">
        <v>46094</v>
      </c>
      <c r="L576" t="s">
        <v>292</v>
      </c>
      <c r="M576" t="s">
        <v>44</v>
      </c>
      <c r="N576" s="4"/>
      <c r="O576" s="10">
        <f t="shared" ca="1" si="52"/>
        <v>75</v>
      </c>
      <c r="P576" s="10" t="str">
        <f t="shared" ca="1" si="49"/>
        <v>31 a 90 dias</v>
      </c>
      <c r="Q576">
        <f t="shared" si="54"/>
        <v>1</v>
      </c>
      <c r="R576">
        <v>3</v>
      </c>
      <c r="S576" s="11">
        <f t="shared" si="53"/>
        <v>39.9</v>
      </c>
      <c r="T576" s="11" t="str">
        <f t="shared" si="50"/>
        <v>Detrator</v>
      </c>
      <c r="U576" s="11" t="str">
        <f t="shared" si="51"/>
        <v>Alto risco</v>
      </c>
      <c r="V576">
        <v>0</v>
      </c>
      <c r="W576">
        <v>26</v>
      </c>
      <c r="X576" s="2">
        <v>34.1</v>
      </c>
      <c r="Y576">
        <v>2</v>
      </c>
      <c r="Z576" t="s">
        <v>45</v>
      </c>
    </row>
    <row r="577" spans="1:26">
      <c r="A577" t="s">
        <v>1056</v>
      </c>
      <c r="B577" t="s">
        <v>1057</v>
      </c>
      <c r="C577" t="s">
        <v>90</v>
      </c>
      <c r="D577" t="s">
        <v>29</v>
      </c>
      <c r="E577">
        <v>34</v>
      </c>
      <c r="F577" t="s">
        <v>40</v>
      </c>
      <c r="G577" t="s">
        <v>104</v>
      </c>
      <c r="H577" t="s">
        <v>32</v>
      </c>
      <c r="I577" t="e">
        <f ca="1">_xludf.XLOOKUP(H577,Base_Planos!$A:$A,Base_Planos!$B:$B,"Não encontrado")</f>
        <v>#NAME?</v>
      </c>
      <c r="J577" s="2">
        <f>VLOOKUP(H577,Base_Planos!$A:$G,4,FALSE)</f>
        <v>39.9</v>
      </c>
      <c r="K577" s="4">
        <v>45801</v>
      </c>
      <c r="L577" t="s">
        <v>97</v>
      </c>
      <c r="M577" t="s">
        <v>44</v>
      </c>
      <c r="N577" s="4"/>
      <c r="O577" s="10">
        <f t="shared" ca="1" si="52"/>
        <v>368</v>
      </c>
      <c r="P577" s="10" t="str">
        <f t="shared" ca="1" si="49"/>
        <v>Mais de 1 ano</v>
      </c>
      <c r="Q577">
        <f t="shared" si="54"/>
        <v>1</v>
      </c>
      <c r="R577">
        <v>10</v>
      </c>
      <c r="S577" s="11">
        <f t="shared" si="53"/>
        <v>39.9</v>
      </c>
      <c r="T577" s="11" t="str">
        <f t="shared" si="50"/>
        <v>Promotor</v>
      </c>
      <c r="U577" s="11" t="str">
        <f t="shared" si="51"/>
        <v>Alto risco</v>
      </c>
      <c r="V577">
        <v>2</v>
      </c>
      <c r="W577">
        <v>21</v>
      </c>
      <c r="X577" s="2">
        <v>40.65</v>
      </c>
      <c r="Y577">
        <v>12</v>
      </c>
      <c r="Z577" t="s">
        <v>35</v>
      </c>
    </row>
    <row r="578" spans="1:26">
      <c r="A578" t="s">
        <v>1058</v>
      </c>
      <c r="B578" t="s">
        <v>882</v>
      </c>
      <c r="C578" t="s">
        <v>102</v>
      </c>
      <c r="D578" t="s">
        <v>103</v>
      </c>
      <c r="E578">
        <v>61</v>
      </c>
      <c r="F578" t="s">
        <v>54</v>
      </c>
      <c r="G578" t="s">
        <v>104</v>
      </c>
      <c r="H578" t="s">
        <v>112</v>
      </c>
      <c r="I578" t="e">
        <f ca="1">_xludf.XLOOKUP(H578,Base_Planos!$A:$A,Base_Planos!$B:$B,"Não encontrado")</f>
        <v>#NAME?</v>
      </c>
      <c r="J578" s="2">
        <f>VLOOKUP(H578,Base_Planos!$A:$G,4,FALSE)</f>
        <v>79.900000000000006</v>
      </c>
      <c r="K578" s="4">
        <v>45016</v>
      </c>
      <c r="L578" t="s">
        <v>68</v>
      </c>
      <c r="M578" t="s">
        <v>34</v>
      </c>
      <c r="N578" s="4">
        <v>45848</v>
      </c>
      <c r="O578" s="10">
        <f t="shared" ca="1" si="52"/>
        <v>832</v>
      </c>
      <c r="P578" s="10" t="str">
        <f t="shared" ref="P578:P641" ca="1" si="55">IF(O578&lt;=30,"Até 30 dias",IF(O578&lt;=90,"31 a 90 dias",IF(O578&lt;=180,"91 a 180 dias",IF(O578&lt;=365,"181 a 365 dias","Mais de 1 ano"))))</f>
        <v>Mais de 1 ano</v>
      </c>
      <c r="Q578">
        <f t="shared" si="54"/>
        <v>0</v>
      </c>
      <c r="R578">
        <v>3</v>
      </c>
      <c r="S578" s="11">
        <f t="shared" si="53"/>
        <v>0</v>
      </c>
      <c r="T578" s="11" t="str">
        <f t="shared" ref="T578:T641" si="56">IF(R578&lt;=6,"Detrator",IF(R578&lt;=8,"Neutro","Promotor"))</f>
        <v>Detrator</v>
      </c>
      <c r="U578" s="11" t="str">
        <f t="shared" ref="U578:U641" si="57">IF(Q578=1,"Alto risco",IF(R578&lt;=6,"Alto risco",IF(R578&lt;=8,"Médio risco","Baixo risco")))</f>
        <v>Alto risco</v>
      </c>
      <c r="V578">
        <v>0</v>
      </c>
      <c r="W578">
        <v>75</v>
      </c>
      <c r="X578" s="2">
        <v>69.22</v>
      </c>
      <c r="Y578">
        <v>27</v>
      </c>
      <c r="Z578" t="s">
        <v>45</v>
      </c>
    </row>
    <row r="579" spans="1:26">
      <c r="A579" t="s">
        <v>1059</v>
      </c>
      <c r="B579" t="s">
        <v>580</v>
      </c>
      <c r="C579" t="s">
        <v>137</v>
      </c>
      <c r="D579" t="s">
        <v>29</v>
      </c>
      <c r="E579">
        <v>32</v>
      </c>
      <c r="F579" t="s">
        <v>201</v>
      </c>
      <c r="G579" t="s">
        <v>41</v>
      </c>
      <c r="H579" t="s">
        <v>166</v>
      </c>
      <c r="I579" t="e">
        <f ca="1">_xludf.XLOOKUP(H579,Base_Planos!$A:$A,Base_Planos!$B:$B,"Não encontrado")</f>
        <v>#NAME?</v>
      </c>
      <c r="J579" s="2">
        <f>VLOOKUP(H579,Base_Planos!$A:$G,4,FALSE)</f>
        <v>399.9</v>
      </c>
      <c r="K579" s="4">
        <v>45438</v>
      </c>
      <c r="L579" t="s">
        <v>130</v>
      </c>
      <c r="M579" t="s">
        <v>34</v>
      </c>
      <c r="N579" s="4">
        <v>45959</v>
      </c>
      <c r="O579" s="10">
        <f t="shared" ref="O579:O642" ca="1" si="58">IF(M579="Cancelado",N579-K579,TODAY()-K579)</f>
        <v>521</v>
      </c>
      <c r="P579" s="10" t="str">
        <f t="shared" ca="1" si="55"/>
        <v>Mais de 1 ano</v>
      </c>
      <c r="Q579">
        <f t="shared" si="54"/>
        <v>0</v>
      </c>
      <c r="R579">
        <v>3</v>
      </c>
      <c r="S579" s="11">
        <f t="shared" ref="S579:S642" si="59">IF(Q579=1,J579,0)</f>
        <v>0</v>
      </c>
      <c r="T579" s="11" t="str">
        <f t="shared" si="56"/>
        <v>Detrator</v>
      </c>
      <c r="U579" s="11" t="str">
        <f t="shared" si="57"/>
        <v>Alto risco</v>
      </c>
      <c r="V579">
        <v>1</v>
      </c>
      <c r="W579">
        <v>77</v>
      </c>
      <c r="X579" s="2">
        <v>341.84</v>
      </c>
      <c r="Y579">
        <v>17</v>
      </c>
      <c r="Z579" t="s">
        <v>35</v>
      </c>
    </row>
    <row r="580" spans="1:26">
      <c r="A580" t="s">
        <v>1060</v>
      </c>
      <c r="B580" t="s">
        <v>308</v>
      </c>
      <c r="C580" t="s">
        <v>53</v>
      </c>
      <c r="D580" t="s">
        <v>29</v>
      </c>
      <c r="E580">
        <v>34</v>
      </c>
      <c r="F580" t="s">
        <v>30</v>
      </c>
      <c r="G580" t="s">
        <v>104</v>
      </c>
      <c r="H580" t="s">
        <v>42</v>
      </c>
      <c r="I580" t="e">
        <f ca="1">_xludf.XLOOKUP(H580,Base_Planos!$A:$A,Base_Planos!$B:$B,"Não encontrado")</f>
        <v>#NAME?</v>
      </c>
      <c r="J580" s="2">
        <f>VLOOKUP(H580,Base_Planos!$A:$G,4,FALSE)</f>
        <v>29.9</v>
      </c>
      <c r="K580" s="4">
        <v>45624</v>
      </c>
      <c r="L580" t="s">
        <v>83</v>
      </c>
      <c r="M580" t="s">
        <v>34</v>
      </c>
      <c r="N580" s="4">
        <v>46103</v>
      </c>
      <c r="O580" s="10">
        <f t="shared" ca="1" si="58"/>
        <v>479</v>
      </c>
      <c r="P580" s="10" t="str">
        <f t="shared" ca="1" si="55"/>
        <v>Mais de 1 ano</v>
      </c>
      <c r="Q580">
        <f t="shared" si="54"/>
        <v>0</v>
      </c>
      <c r="R580">
        <v>0</v>
      </c>
      <c r="S580" s="11">
        <f t="shared" si="59"/>
        <v>0</v>
      </c>
      <c r="T580" s="11" t="str">
        <f t="shared" si="56"/>
        <v>Detrator</v>
      </c>
      <c r="U580" s="11" t="str">
        <f t="shared" si="57"/>
        <v>Alto risco</v>
      </c>
      <c r="V580">
        <v>0</v>
      </c>
      <c r="W580">
        <v>26</v>
      </c>
      <c r="X580" s="2">
        <v>29.15</v>
      </c>
      <c r="Y580">
        <v>15</v>
      </c>
      <c r="Z580" t="s">
        <v>45</v>
      </c>
    </row>
    <row r="581" spans="1:26">
      <c r="A581" t="s">
        <v>1061</v>
      </c>
      <c r="B581" t="s">
        <v>1062</v>
      </c>
      <c r="C581" t="s">
        <v>102</v>
      </c>
      <c r="D581" t="s">
        <v>103</v>
      </c>
      <c r="E581">
        <v>21</v>
      </c>
      <c r="F581" t="s">
        <v>66</v>
      </c>
      <c r="G581" t="s">
        <v>41</v>
      </c>
      <c r="H581" t="s">
        <v>42</v>
      </c>
      <c r="I581" t="e">
        <f ca="1">_xludf.XLOOKUP(H581,Base_Planos!$A:$A,Base_Planos!$B:$B,"Não encontrado")</f>
        <v>#NAME?</v>
      </c>
      <c r="J581" s="2">
        <f>VLOOKUP(H581,Base_Planos!$A:$G,4,FALSE)</f>
        <v>29.9</v>
      </c>
      <c r="K581" s="4">
        <v>45060</v>
      </c>
      <c r="L581" t="s">
        <v>115</v>
      </c>
      <c r="M581" t="s">
        <v>44</v>
      </c>
      <c r="N581" s="4"/>
      <c r="O581" s="10">
        <f t="shared" ca="1" si="58"/>
        <v>1109</v>
      </c>
      <c r="P581" s="10" t="str">
        <f t="shared" ca="1" si="55"/>
        <v>Mais de 1 ano</v>
      </c>
      <c r="Q581">
        <f t="shared" si="54"/>
        <v>0</v>
      </c>
      <c r="R581">
        <v>2</v>
      </c>
      <c r="S581" s="11">
        <f t="shared" si="59"/>
        <v>0</v>
      </c>
      <c r="T581" s="11" t="str">
        <f t="shared" si="56"/>
        <v>Detrator</v>
      </c>
      <c r="U581" s="11" t="str">
        <f t="shared" si="57"/>
        <v>Alto risco</v>
      </c>
      <c r="V581">
        <v>0</v>
      </c>
      <c r="W581">
        <v>76</v>
      </c>
      <c r="X581" s="2">
        <v>28</v>
      </c>
      <c r="Y581">
        <v>36</v>
      </c>
      <c r="Z581" t="s">
        <v>45</v>
      </c>
    </row>
    <row r="582" spans="1:26">
      <c r="A582" t="s">
        <v>1063</v>
      </c>
      <c r="B582" t="s">
        <v>1064</v>
      </c>
      <c r="C582" t="s">
        <v>38</v>
      </c>
      <c r="D582" t="s">
        <v>39</v>
      </c>
      <c r="E582">
        <v>21</v>
      </c>
      <c r="F582" t="s">
        <v>30</v>
      </c>
      <c r="G582" t="s">
        <v>41</v>
      </c>
      <c r="H582" t="s">
        <v>112</v>
      </c>
      <c r="I582" t="e">
        <f ca="1">_xludf.XLOOKUP(H582,Base_Planos!$A:$A,Base_Planos!$B:$B,"Não encontrado")</f>
        <v>#NAME?</v>
      </c>
      <c r="J582" s="2">
        <f>VLOOKUP(H582,Base_Planos!$A:$G,4,FALSE)</f>
        <v>79.900000000000006</v>
      </c>
      <c r="K582" s="4">
        <v>45768</v>
      </c>
      <c r="L582" t="s">
        <v>222</v>
      </c>
      <c r="M582" t="s">
        <v>34</v>
      </c>
      <c r="N582" s="4">
        <v>46035</v>
      </c>
      <c r="O582" s="10">
        <f t="shared" ca="1" si="58"/>
        <v>267</v>
      </c>
      <c r="P582" s="10" t="str">
        <f t="shared" ca="1" si="55"/>
        <v>181 a 365 dias</v>
      </c>
      <c r="Q582">
        <f t="shared" si="54"/>
        <v>0</v>
      </c>
      <c r="R582">
        <v>3</v>
      </c>
      <c r="S582" s="11">
        <f t="shared" si="59"/>
        <v>0</v>
      </c>
      <c r="T582" s="11" t="str">
        <f t="shared" si="56"/>
        <v>Detrator</v>
      </c>
      <c r="U582" s="11" t="str">
        <f t="shared" si="57"/>
        <v>Alto risco</v>
      </c>
      <c r="V582">
        <v>1</v>
      </c>
      <c r="W582">
        <v>19</v>
      </c>
      <c r="X582" s="2">
        <v>81.98</v>
      </c>
      <c r="Y582">
        <v>8</v>
      </c>
      <c r="Z582" t="s">
        <v>45</v>
      </c>
    </row>
    <row r="583" spans="1:26">
      <c r="A583" t="s">
        <v>1065</v>
      </c>
      <c r="B583" t="s">
        <v>1066</v>
      </c>
      <c r="C583" t="s">
        <v>108</v>
      </c>
      <c r="D583" t="s">
        <v>109</v>
      </c>
      <c r="E583">
        <v>59</v>
      </c>
      <c r="F583" t="s">
        <v>66</v>
      </c>
      <c r="G583" t="s">
        <v>67</v>
      </c>
      <c r="H583" t="s">
        <v>112</v>
      </c>
      <c r="I583" t="e">
        <f ca="1">_xludf.XLOOKUP(H583,Base_Planos!$A:$A,Base_Planos!$B:$B,"Não encontrado")</f>
        <v>#NAME?</v>
      </c>
      <c r="J583" s="2">
        <f>VLOOKUP(H583,Base_Planos!$A:$G,4,FALSE)</f>
        <v>79.900000000000006</v>
      </c>
      <c r="K583" s="4">
        <v>45599</v>
      </c>
      <c r="L583" t="s">
        <v>83</v>
      </c>
      <c r="M583" t="s">
        <v>34</v>
      </c>
      <c r="N583" s="4">
        <v>45827</v>
      </c>
      <c r="O583" s="10">
        <f t="shared" ca="1" si="58"/>
        <v>228</v>
      </c>
      <c r="P583" s="10" t="str">
        <f t="shared" ca="1" si="55"/>
        <v>181 a 365 dias</v>
      </c>
      <c r="Q583">
        <f t="shared" si="54"/>
        <v>1</v>
      </c>
      <c r="R583">
        <v>9</v>
      </c>
      <c r="S583" s="11">
        <f t="shared" si="59"/>
        <v>79.900000000000006</v>
      </c>
      <c r="T583" s="11" t="str">
        <f t="shared" si="56"/>
        <v>Promotor</v>
      </c>
      <c r="U583" s="11" t="str">
        <f t="shared" si="57"/>
        <v>Alto risco</v>
      </c>
      <c r="V583">
        <v>1</v>
      </c>
      <c r="W583">
        <v>69</v>
      </c>
      <c r="X583" s="2">
        <v>78.099999999999994</v>
      </c>
      <c r="Y583">
        <v>7</v>
      </c>
      <c r="Z583" t="s">
        <v>50</v>
      </c>
    </row>
    <row r="584" spans="1:26">
      <c r="A584" t="s">
        <v>1067</v>
      </c>
      <c r="B584" t="s">
        <v>1068</v>
      </c>
      <c r="C584" t="s">
        <v>71</v>
      </c>
      <c r="D584" t="s">
        <v>72</v>
      </c>
      <c r="E584">
        <v>48</v>
      </c>
      <c r="F584" t="s">
        <v>40</v>
      </c>
      <c r="G584" t="s">
        <v>104</v>
      </c>
      <c r="H584" t="s">
        <v>42</v>
      </c>
      <c r="I584" t="e">
        <f ca="1">_xludf.XLOOKUP(H584,Base_Planos!$A:$A,Base_Planos!$B:$B,"Não encontrado")</f>
        <v>#NAME?</v>
      </c>
      <c r="J584" s="2">
        <f>VLOOKUP(H584,Base_Planos!$A:$G,4,FALSE)</f>
        <v>29.9</v>
      </c>
      <c r="K584" s="4">
        <v>45208</v>
      </c>
      <c r="L584" t="s">
        <v>215</v>
      </c>
      <c r="M584" t="s">
        <v>44</v>
      </c>
      <c r="N584" s="4"/>
      <c r="O584" s="10">
        <f t="shared" ca="1" si="58"/>
        <v>961</v>
      </c>
      <c r="P584" s="10" t="str">
        <f t="shared" ca="1" si="55"/>
        <v>Mais de 1 ano</v>
      </c>
      <c r="Q584">
        <f t="shared" si="54"/>
        <v>0</v>
      </c>
      <c r="R584">
        <v>0</v>
      </c>
      <c r="S584" s="11">
        <f t="shared" si="59"/>
        <v>0</v>
      </c>
      <c r="T584" s="11" t="str">
        <f t="shared" si="56"/>
        <v>Detrator</v>
      </c>
      <c r="U584" s="11" t="str">
        <f t="shared" si="57"/>
        <v>Alto risco</v>
      </c>
      <c r="V584">
        <v>0</v>
      </c>
      <c r="W584">
        <v>65</v>
      </c>
      <c r="X584" s="2">
        <v>29.93</v>
      </c>
      <c r="Y584">
        <v>32</v>
      </c>
      <c r="Z584" t="s">
        <v>35</v>
      </c>
    </row>
    <row r="585" spans="1:26">
      <c r="A585" t="s">
        <v>1069</v>
      </c>
      <c r="B585" t="s">
        <v>209</v>
      </c>
      <c r="C585" t="s">
        <v>38</v>
      </c>
      <c r="D585" t="s">
        <v>39</v>
      </c>
      <c r="E585">
        <v>27</v>
      </c>
      <c r="F585" t="s">
        <v>30</v>
      </c>
      <c r="G585" t="s">
        <v>73</v>
      </c>
      <c r="H585" t="s">
        <v>61</v>
      </c>
      <c r="I585" t="e">
        <f ca="1">_xludf.XLOOKUP(H585,Base_Planos!$A:$A,Base_Planos!$B:$B,"Não encontrado")</f>
        <v>#NAME?</v>
      </c>
      <c r="J585" s="2">
        <f>VLOOKUP(H585,Base_Planos!$A:$G,4,FALSE)</f>
        <v>59.9</v>
      </c>
      <c r="K585" s="4">
        <v>45523</v>
      </c>
      <c r="L585" t="s">
        <v>156</v>
      </c>
      <c r="M585" t="s">
        <v>34</v>
      </c>
      <c r="N585" s="4">
        <v>45796</v>
      </c>
      <c r="O585" s="10">
        <f t="shared" ca="1" si="58"/>
        <v>273</v>
      </c>
      <c r="P585" s="10" t="str">
        <f t="shared" ca="1" si="55"/>
        <v>181 a 365 dias</v>
      </c>
      <c r="Q585">
        <f t="shared" si="54"/>
        <v>0</v>
      </c>
      <c r="R585">
        <v>5</v>
      </c>
      <c r="S585" s="11">
        <f t="shared" si="59"/>
        <v>0</v>
      </c>
      <c r="T585" s="11" t="str">
        <f t="shared" si="56"/>
        <v>Detrator</v>
      </c>
      <c r="U585" s="11" t="str">
        <f t="shared" si="57"/>
        <v>Alto risco</v>
      </c>
      <c r="V585">
        <v>1</v>
      </c>
      <c r="W585">
        <v>50</v>
      </c>
      <c r="X585" s="2">
        <v>55.97</v>
      </c>
      <c r="Y585">
        <v>9</v>
      </c>
      <c r="Z585" t="s">
        <v>35</v>
      </c>
    </row>
    <row r="586" spans="1:26">
      <c r="A586" t="s">
        <v>1070</v>
      </c>
      <c r="B586" t="s">
        <v>974</v>
      </c>
      <c r="C586" t="s">
        <v>65</v>
      </c>
      <c r="D586" t="s">
        <v>29</v>
      </c>
      <c r="E586">
        <v>30</v>
      </c>
      <c r="F586" t="s">
        <v>40</v>
      </c>
      <c r="G586" t="s">
        <v>165</v>
      </c>
      <c r="H586" t="s">
        <v>42</v>
      </c>
      <c r="I586" t="e">
        <f ca="1">_xludf.XLOOKUP(H586,Base_Planos!$A:$A,Base_Planos!$B:$B,"Não encontrado")</f>
        <v>#NAME?</v>
      </c>
      <c r="J586" s="2">
        <f>VLOOKUP(H586,Base_Planos!$A:$G,4,FALSE)</f>
        <v>29.9</v>
      </c>
      <c r="K586" s="4">
        <v>45901</v>
      </c>
      <c r="L586" t="s">
        <v>189</v>
      </c>
      <c r="M586" t="s">
        <v>44</v>
      </c>
      <c r="N586" s="4"/>
      <c r="O586" s="10">
        <f t="shared" ca="1" si="58"/>
        <v>268</v>
      </c>
      <c r="P586" s="10" t="str">
        <f t="shared" ca="1" si="55"/>
        <v>181 a 365 dias</v>
      </c>
      <c r="Q586">
        <f t="shared" si="54"/>
        <v>0</v>
      </c>
      <c r="R586">
        <v>7</v>
      </c>
      <c r="S586" s="11">
        <f t="shared" si="59"/>
        <v>0</v>
      </c>
      <c r="T586" s="11" t="str">
        <f t="shared" si="56"/>
        <v>Neutro</v>
      </c>
      <c r="U586" s="11" t="str">
        <f t="shared" si="57"/>
        <v>Médio risco</v>
      </c>
      <c r="V586">
        <v>0</v>
      </c>
      <c r="W586">
        <v>42</v>
      </c>
      <c r="X586" s="2">
        <v>29.1</v>
      </c>
      <c r="Y586">
        <v>8</v>
      </c>
      <c r="Z586" t="s">
        <v>50</v>
      </c>
    </row>
    <row r="587" spans="1:26">
      <c r="A587" t="s">
        <v>1071</v>
      </c>
      <c r="B587" t="s">
        <v>518</v>
      </c>
      <c r="C587" t="s">
        <v>94</v>
      </c>
      <c r="D587" t="s">
        <v>95</v>
      </c>
      <c r="E587">
        <v>24</v>
      </c>
      <c r="F587" t="s">
        <v>54</v>
      </c>
      <c r="G587" t="s">
        <v>67</v>
      </c>
      <c r="H587" t="s">
        <v>112</v>
      </c>
      <c r="I587" t="e">
        <f ca="1">_xludf.XLOOKUP(H587,Base_Planos!$A:$A,Base_Planos!$B:$B,"Não encontrado")</f>
        <v>#NAME?</v>
      </c>
      <c r="J587" s="2">
        <f>VLOOKUP(H587,Base_Planos!$A:$G,4,FALSE)</f>
        <v>79.900000000000006</v>
      </c>
      <c r="K587" s="4">
        <v>44934</v>
      </c>
      <c r="L587" t="s">
        <v>153</v>
      </c>
      <c r="M587" t="s">
        <v>44</v>
      </c>
      <c r="N587" s="4"/>
      <c r="O587" s="10">
        <f t="shared" ca="1" si="58"/>
        <v>1235</v>
      </c>
      <c r="P587" s="10" t="str">
        <f t="shared" ca="1" si="55"/>
        <v>Mais de 1 ano</v>
      </c>
      <c r="Q587">
        <f t="shared" si="54"/>
        <v>1</v>
      </c>
      <c r="R587">
        <v>10</v>
      </c>
      <c r="S587" s="11">
        <f t="shared" si="59"/>
        <v>79.900000000000006</v>
      </c>
      <c r="T587" s="11" t="str">
        <f t="shared" si="56"/>
        <v>Promotor</v>
      </c>
      <c r="U587" s="11" t="str">
        <f t="shared" si="57"/>
        <v>Alto risco</v>
      </c>
      <c r="V587">
        <v>1</v>
      </c>
      <c r="W587">
        <v>76</v>
      </c>
      <c r="X587" s="2">
        <v>79.650000000000006</v>
      </c>
      <c r="Y587">
        <v>41</v>
      </c>
      <c r="Z587" t="s">
        <v>50</v>
      </c>
    </row>
    <row r="588" spans="1:26">
      <c r="A588" t="s">
        <v>1072</v>
      </c>
      <c r="B588" t="s">
        <v>1073</v>
      </c>
      <c r="C588" t="s">
        <v>48</v>
      </c>
      <c r="D588" t="s">
        <v>29</v>
      </c>
      <c r="E588">
        <v>65</v>
      </c>
      <c r="F588" t="s">
        <v>54</v>
      </c>
      <c r="G588" t="s">
        <v>41</v>
      </c>
      <c r="H588" t="s">
        <v>42</v>
      </c>
      <c r="I588" t="e">
        <f ca="1">_xludf.XLOOKUP(H588,Base_Planos!$A:$A,Base_Planos!$B:$B,"Não encontrado")</f>
        <v>#NAME?</v>
      </c>
      <c r="J588" s="2">
        <f>VLOOKUP(H588,Base_Planos!$A:$G,4,FALSE)</f>
        <v>29.9</v>
      </c>
      <c r="K588" s="4">
        <v>44940</v>
      </c>
      <c r="L588" t="s">
        <v>153</v>
      </c>
      <c r="M588" t="s">
        <v>44</v>
      </c>
      <c r="N588" s="4"/>
      <c r="O588" s="10">
        <f t="shared" ca="1" si="58"/>
        <v>1229</v>
      </c>
      <c r="P588" s="10" t="str">
        <f t="shared" ca="1" si="55"/>
        <v>Mais de 1 ano</v>
      </c>
      <c r="Q588">
        <f t="shared" si="54"/>
        <v>0</v>
      </c>
      <c r="R588">
        <v>5</v>
      </c>
      <c r="S588" s="11">
        <f t="shared" si="59"/>
        <v>0</v>
      </c>
      <c r="T588" s="11" t="str">
        <f t="shared" si="56"/>
        <v>Detrator</v>
      </c>
      <c r="U588" s="11" t="str">
        <f t="shared" si="57"/>
        <v>Alto risco</v>
      </c>
      <c r="V588">
        <v>0</v>
      </c>
      <c r="W588">
        <v>58</v>
      </c>
      <c r="X588" s="2">
        <v>28.05</v>
      </c>
      <c r="Y588">
        <v>40</v>
      </c>
      <c r="Z588" t="s">
        <v>50</v>
      </c>
    </row>
    <row r="589" spans="1:26">
      <c r="A589" t="s">
        <v>1074</v>
      </c>
      <c r="B589" t="s">
        <v>1075</v>
      </c>
      <c r="C589" t="s">
        <v>48</v>
      </c>
      <c r="D589" t="s">
        <v>29</v>
      </c>
      <c r="E589">
        <v>41</v>
      </c>
      <c r="F589" t="s">
        <v>30</v>
      </c>
      <c r="G589" t="s">
        <v>67</v>
      </c>
      <c r="H589" t="s">
        <v>42</v>
      </c>
      <c r="I589" t="e">
        <f ca="1">_xludf.XLOOKUP(H589,Base_Planos!$A:$A,Base_Planos!$B:$B,"Não encontrado")</f>
        <v>#NAME?</v>
      </c>
      <c r="J589" s="2">
        <f>VLOOKUP(H589,Base_Planos!$A:$G,4,FALSE)</f>
        <v>29.9</v>
      </c>
      <c r="K589" s="4">
        <v>45508</v>
      </c>
      <c r="L589" t="s">
        <v>156</v>
      </c>
      <c r="M589" t="s">
        <v>44</v>
      </c>
      <c r="N589" s="4"/>
      <c r="O589" s="10">
        <f t="shared" ca="1" si="58"/>
        <v>661</v>
      </c>
      <c r="P589" s="10" t="str">
        <f t="shared" ca="1" si="55"/>
        <v>Mais de 1 ano</v>
      </c>
      <c r="Q589">
        <f t="shared" si="54"/>
        <v>1</v>
      </c>
      <c r="R589">
        <v>2</v>
      </c>
      <c r="S589" s="11">
        <f t="shared" si="59"/>
        <v>29.9</v>
      </c>
      <c r="T589" s="11" t="str">
        <f t="shared" si="56"/>
        <v>Detrator</v>
      </c>
      <c r="U589" s="11" t="str">
        <f t="shared" si="57"/>
        <v>Alto risco</v>
      </c>
      <c r="V589">
        <v>0</v>
      </c>
      <c r="W589">
        <v>78</v>
      </c>
      <c r="X589" s="2">
        <v>26.89</v>
      </c>
      <c r="Y589">
        <v>22</v>
      </c>
      <c r="Z589" t="s">
        <v>35</v>
      </c>
    </row>
    <row r="590" spans="1:26">
      <c r="A590" t="s">
        <v>1076</v>
      </c>
      <c r="B590" t="s">
        <v>1077</v>
      </c>
      <c r="C590" t="s">
        <v>94</v>
      </c>
      <c r="D590" t="s">
        <v>95</v>
      </c>
      <c r="E590">
        <v>34</v>
      </c>
      <c r="F590" t="s">
        <v>66</v>
      </c>
      <c r="G590" t="s">
        <v>67</v>
      </c>
      <c r="H590" t="s">
        <v>82</v>
      </c>
      <c r="I590" t="e">
        <f ca="1">_xludf.XLOOKUP(H590,Base_Planos!$A:$A,Base_Planos!$B:$B,"Não encontrado")</f>
        <v>#NAME?</v>
      </c>
      <c r="J590" s="2">
        <f>VLOOKUP(H590,Base_Planos!$A:$G,4,FALSE)</f>
        <v>149.9</v>
      </c>
      <c r="K590" s="4">
        <v>45208</v>
      </c>
      <c r="L590" t="s">
        <v>215</v>
      </c>
      <c r="M590" t="s">
        <v>34</v>
      </c>
      <c r="N590" s="4">
        <v>45705</v>
      </c>
      <c r="O590" s="10">
        <f t="shared" ca="1" si="58"/>
        <v>497</v>
      </c>
      <c r="P590" s="10" t="str">
        <f t="shared" ca="1" si="55"/>
        <v>Mais de 1 ano</v>
      </c>
      <c r="Q590">
        <f t="shared" si="54"/>
        <v>0</v>
      </c>
      <c r="R590">
        <v>6</v>
      </c>
      <c r="S590" s="11">
        <f t="shared" si="59"/>
        <v>0</v>
      </c>
      <c r="T590" s="11" t="str">
        <f t="shared" si="56"/>
        <v>Detrator</v>
      </c>
      <c r="U590" s="11" t="str">
        <f t="shared" si="57"/>
        <v>Alto risco</v>
      </c>
      <c r="V590">
        <v>0</v>
      </c>
      <c r="W590">
        <v>8</v>
      </c>
      <c r="X590" s="2">
        <v>151.68</v>
      </c>
      <c r="Y590">
        <v>16</v>
      </c>
      <c r="Z590" t="s">
        <v>35</v>
      </c>
    </row>
    <row r="591" spans="1:26">
      <c r="A591" t="s">
        <v>1078</v>
      </c>
      <c r="B591" t="s">
        <v>244</v>
      </c>
      <c r="C591" t="s">
        <v>38</v>
      </c>
      <c r="D591" t="s">
        <v>39</v>
      </c>
      <c r="E591">
        <v>57</v>
      </c>
      <c r="F591" t="s">
        <v>66</v>
      </c>
      <c r="G591" t="s">
        <v>55</v>
      </c>
      <c r="H591" t="s">
        <v>32</v>
      </c>
      <c r="I591" t="e">
        <f ca="1">_xludf.XLOOKUP(H591,Base_Planos!$A:$A,Base_Planos!$B:$B,"Não encontrado")</f>
        <v>#NAME?</v>
      </c>
      <c r="J591" s="2">
        <f>VLOOKUP(H591,Base_Planos!$A:$G,4,FALSE)</f>
        <v>39.9</v>
      </c>
      <c r="K591" s="4">
        <v>45194</v>
      </c>
      <c r="L591" t="s">
        <v>105</v>
      </c>
      <c r="M591" t="s">
        <v>44</v>
      </c>
      <c r="N591" s="4"/>
      <c r="O591" s="10">
        <f t="shared" ca="1" si="58"/>
        <v>975</v>
      </c>
      <c r="P591" s="10" t="str">
        <f t="shared" ca="1" si="55"/>
        <v>Mais de 1 ano</v>
      </c>
      <c r="Q591">
        <f t="shared" si="54"/>
        <v>0</v>
      </c>
      <c r="R591">
        <v>3</v>
      </c>
      <c r="S591" s="11">
        <f t="shared" si="59"/>
        <v>0</v>
      </c>
      <c r="T591" s="11" t="str">
        <f t="shared" si="56"/>
        <v>Detrator</v>
      </c>
      <c r="U591" s="11" t="str">
        <f t="shared" si="57"/>
        <v>Alto risco</v>
      </c>
      <c r="V591">
        <v>0</v>
      </c>
      <c r="W591">
        <v>82</v>
      </c>
      <c r="X591" s="2">
        <v>41.71</v>
      </c>
      <c r="Y591">
        <v>32</v>
      </c>
      <c r="Z591" t="s">
        <v>35</v>
      </c>
    </row>
    <row r="592" spans="1:26">
      <c r="A592" t="s">
        <v>1079</v>
      </c>
      <c r="B592" t="s">
        <v>684</v>
      </c>
      <c r="C592" t="s">
        <v>48</v>
      </c>
      <c r="D592" t="s">
        <v>29</v>
      </c>
      <c r="E592">
        <v>57</v>
      </c>
      <c r="F592" t="s">
        <v>54</v>
      </c>
      <c r="G592" t="s">
        <v>73</v>
      </c>
      <c r="H592" t="s">
        <v>82</v>
      </c>
      <c r="I592" t="e">
        <f ca="1">_xludf.XLOOKUP(H592,Base_Planos!$A:$A,Base_Planos!$B:$B,"Não encontrado")</f>
        <v>#NAME?</v>
      </c>
      <c r="J592" s="2">
        <f>VLOOKUP(H592,Base_Planos!$A:$G,4,FALSE)</f>
        <v>149.9</v>
      </c>
      <c r="K592" s="4">
        <v>45598</v>
      </c>
      <c r="L592" t="s">
        <v>83</v>
      </c>
      <c r="M592" t="s">
        <v>44</v>
      </c>
      <c r="N592" s="4"/>
      <c r="O592" s="10">
        <f t="shared" ca="1" si="58"/>
        <v>571</v>
      </c>
      <c r="P592" s="10" t="str">
        <f t="shared" ca="1" si="55"/>
        <v>Mais de 1 ano</v>
      </c>
      <c r="Q592">
        <f t="shared" si="54"/>
        <v>1</v>
      </c>
      <c r="R592">
        <v>3</v>
      </c>
      <c r="S592" s="11">
        <f t="shared" si="59"/>
        <v>149.9</v>
      </c>
      <c r="T592" s="11" t="str">
        <f t="shared" si="56"/>
        <v>Detrator</v>
      </c>
      <c r="U592" s="11" t="str">
        <f t="shared" si="57"/>
        <v>Alto risco</v>
      </c>
      <c r="V592">
        <v>2</v>
      </c>
      <c r="W592">
        <v>73</v>
      </c>
      <c r="X592" s="2">
        <v>156.44999999999999</v>
      </c>
      <c r="Y592">
        <v>19</v>
      </c>
      <c r="Z592" t="s">
        <v>45</v>
      </c>
    </row>
    <row r="593" spans="1:26">
      <c r="A593" t="s">
        <v>1080</v>
      </c>
      <c r="B593" t="s">
        <v>228</v>
      </c>
      <c r="C593" t="s">
        <v>59</v>
      </c>
      <c r="D593" t="s">
        <v>60</v>
      </c>
      <c r="E593">
        <v>64</v>
      </c>
      <c r="F593" t="s">
        <v>30</v>
      </c>
      <c r="G593" t="s">
        <v>104</v>
      </c>
      <c r="H593" t="s">
        <v>82</v>
      </c>
      <c r="I593" t="e">
        <f ca="1">_xludf.XLOOKUP(H593,Base_Planos!$A:$A,Base_Planos!$B:$B,"Não encontrado")</f>
        <v>#NAME?</v>
      </c>
      <c r="J593" s="2">
        <f>VLOOKUP(H593,Base_Planos!$A:$G,4,FALSE)</f>
        <v>149.9</v>
      </c>
      <c r="K593" s="4">
        <v>45059</v>
      </c>
      <c r="L593" t="s">
        <v>115</v>
      </c>
      <c r="M593" t="s">
        <v>44</v>
      </c>
      <c r="N593" s="4"/>
      <c r="O593" s="10">
        <f t="shared" ca="1" si="58"/>
        <v>1110</v>
      </c>
      <c r="P593" s="10" t="str">
        <f t="shared" ca="1" si="55"/>
        <v>Mais de 1 ano</v>
      </c>
      <c r="Q593">
        <f t="shared" si="54"/>
        <v>1</v>
      </c>
      <c r="R593">
        <v>2</v>
      </c>
      <c r="S593" s="11">
        <f t="shared" si="59"/>
        <v>149.9</v>
      </c>
      <c r="T593" s="11" t="str">
        <f t="shared" si="56"/>
        <v>Detrator</v>
      </c>
      <c r="U593" s="11" t="str">
        <f t="shared" si="57"/>
        <v>Alto risco</v>
      </c>
      <c r="V593">
        <v>1</v>
      </c>
      <c r="W593">
        <v>54</v>
      </c>
      <c r="X593" s="2">
        <v>142.36000000000001</v>
      </c>
      <c r="Y593">
        <v>37</v>
      </c>
      <c r="Z593" t="s">
        <v>35</v>
      </c>
    </row>
    <row r="594" spans="1:26">
      <c r="A594" t="s">
        <v>1081</v>
      </c>
      <c r="B594" t="s">
        <v>1082</v>
      </c>
      <c r="C594" t="s">
        <v>108</v>
      </c>
      <c r="D594" t="s">
        <v>109</v>
      </c>
      <c r="E594">
        <v>63</v>
      </c>
      <c r="F594" t="s">
        <v>54</v>
      </c>
      <c r="G594" t="s">
        <v>104</v>
      </c>
      <c r="H594" t="s">
        <v>82</v>
      </c>
      <c r="I594" t="e">
        <f ca="1">_xludf.XLOOKUP(H594,Base_Planos!$A:$A,Base_Planos!$B:$B,"Não encontrado")</f>
        <v>#NAME?</v>
      </c>
      <c r="J594" s="2">
        <f>VLOOKUP(H594,Base_Planos!$A:$G,4,FALSE)</f>
        <v>149.9</v>
      </c>
      <c r="K594" s="4">
        <v>45940</v>
      </c>
      <c r="L594" t="s">
        <v>196</v>
      </c>
      <c r="M594" t="s">
        <v>44</v>
      </c>
      <c r="N594" s="4"/>
      <c r="O594" s="10">
        <f t="shared" ca="1" si="58"/>
        <v>229</v>
      </c>
      <c r="P594" s="10" t="str">
        <f t="shared" ca="1" si="55"/>
        <v>181 a 365 dias</v>
      </c>
      <c r="Q594">
        <f t="shared" si="54"/>
        <v>0</v>
      </c>
      <c r="R594">
        <v>7</v>
      </c>
      <c r="S594" s="11">
        <f t="shared" si="59"/>
        <v>0</v>
      </c>
      <c r="T594" s="11" t="str">
        <f t="shared" si="56"/>
        <v>Neutro</v>
      </c>
      <c r="U594" s="11" t="str">
        <f t="shared" si="57"/>
        <v>Médio risco</v>
      </c>
      <c r="V594">
        <v>3</v>
      </c>
      <c r="W594">
        <v>85</v>
      </c>
      <c r="X594" s="2">
        <v>128.51</v>
      </c>
      <c r="Y594">
        <v>7</v>
      </c>
      <c r="Z594" t="s">
        <v>50</v>
      </c>
    </row>
    <row r="595" spans="1:26">
      <c r="A595" t="s">
        <v>1083</v>
      </c>
      <c r="B595" t="s">
        <v>1084</v>
      </c>
      <c r="C595" t="s">
        <v>77</v>
      </c>
      <c r="D595" t="s">
        <v>78</v>
      </c>
      <c r="E595">
        <v>33</v>
      </c>
      <c r="F595" t="s">
        <v>54</v>
      </c>
      <c r="G595" t="s">
        <v>73</v>
      </c>
      <c r="H595" t="s">
        <v>112</v>
      </c>
      <c r="I595" t="e">
        <f ca="1">_xludf.XLOOKUP(H595,Base_Planos!$A:$A,Base_Planos!$B:$B,"Não encontrado")</f>
        <v>#NAME?</v>
      </c>
      <c r="J595" s="2">
        <f>VLOOKUP(H595,Base_Planos!$A:$G,4,FALSE)</f>
        <v>79.900000000000006</v>
      </c>
      <c r="K595" s="4">
        <v>45699</v>
      </c>
      <c r="L595" t="s">
        <v>289</v>
      </c>
      <c r="M595" t="s">
        <v>34</v>
      </c>
      <c r="N595" s="4">
        <v>46113</v>
      </c>
      <c r="O595" s="10">
        <f t="shared" ca="1" si="58"/>
        <v>414</v>
      </c>
      <c r="P595" s="10" t="str">
        <f t="shared" ca="1" si="55"/>
        <v>Mais de 1 ano</v>
      </c>
      <c r="Q595">
        <f t="shared" si="54"/>
        <v>0</v>
      </c>
      <c r="R595">
        <v>9</v>
      </c>
      <c r="S595" s="11">
        <f t="shared" si="59"/>
        <v>0</v>
      </c>
      <c r="T595" s="11" t="str">
        <f t="shared" si="56"/>
        <v>Promotor</v>
      </c>
      <c r="U595" s="11" t="str">
        <f t="shared" si="57"/>
        <v>Baixo risco</v>
      </c>
      <c r="V595">
        <v>0</v>
      </c>
      <c r="W595">
        <v>100</v>
      </c>
      <c r="X595" s="2">
        <v>72.63</v>
      </c>
      <c r="Y595">
        <v>13</v>
      </c>
      <c r="Z595" t="s">
        <v>50</v>
      </c>
    </row>
    <row r="596" spans="1:26">
      <c r="A596" t="s">
        <v>1085</v>
      </c>
      <c r="B596" t="s">
        <v>513</v>
      </c>
      <c r="C596" t="s">
        <v>59</v>
      </c>
      <c r="D596" t="s">
        <v>60</v>
      </c>
      <c r="E596">
        <v>55</v>
      </c>
      <c r="F596" t="s">
        <v>30</v>
      </c>
      <c r="G596" t="s">
        <v>165</v>
      </c>
      <c r="H596" t="s">
        <v>112</v>
      </c>
      <c r="I596" t="e">
        <f ca="1">_xludf.XLOOKUP(H596,Base_Planos!$A:$A,Base_Planos!$B:$B,"Não encontrado")</f>
        <v>#NAME?</v>
      </c>
      <c r="J596" s="2">
        <f>VLOOKUP(H596,Base_Planos!$A:$G,4,FALSE)</f>
        <v>79.900000000000006</v>
      </c>
      <c r="K596" s="4">
        <v>45884</v>
      </c>
      <c r="L596" t="s">
        <v>159</v>
      </c>
      <c r="M596" t="s">
        <v>44</v>
      </c>
      <c r="N596" s="4"/>
      <c r="O596" s="10">
        <f t="shared" ca="1" si="58"/>
        <v>285</v>
      </c>
      <c r="P596" s="10" t="str">
        <f t="shared" ca="1" si="55"/>
        <v>181 a 365 dias</v>
      </c>
      <c r="Q596">
        <f t="shared" si="54"/>
        <v>0</v>
      </c>
      <c r="R596">
        <v>6</v>
      </c>
      <c r="S596" s="11">
        <f t="shared" si="59"/>
        <v>0</v>
      </c>
      <c r="T596" s="11" t="str">
        <f t="shared" si="56"/>
        <v>Detrator</v>
      </c>
      <c r="U596" s="11" t="str">
        <f t="shared" si="57"/>
        <v>Alto risco</v>
      </c>
      <c r="V596">
        <v>0</v>
      </c>
      <c r="W596">
        <v>84</v>
      </c>
      <c r="X596" s="2">
        <v>70.78</v>
      </c>
      <c r="Y596">
        <v>9</v>
      </c>
      <c r="Z596" t="s">
        <v>50</v>
      </c>
    </row>
    <row r="597" spans="1:26">
      <c r="A597" t="s">
        <v>1086</v>
      </c>
      <c r="B597" t="s">
        <v>658</v>
      </c>
      <c r="C597" t="s">
        <v>65</v>
      </c>
      <c r="D597" t="s">
        <v>29</v>
      </c>
      <c r="E597">
        <v>22</v>
      </c>
      <c r="F597" t="s">
        <v>54</v>
      </c>
      <c r="G597" t="s">
        <v>55</v>
      </c>
      <c r="H597" t="s">
        <v>42</v>
      </c>
      <c r="I597" t="e">
        <f ca="1">_xludf.XLOOKUP(H597,Base_Planos!$A:$A,Base_Planos!$B:$B,"Não encontrado")</f>
        <v>#NAME?</v>
      </c>
      <c r="J597" s="2">
        <f>VLOOKUP(H597,Base_Planos!$A:$G,4,FALSE)</f>
        <v>29.9</v>
      </c>
      <c r="K597" s="4">
        <v>45954</v>
      </c>
      <c r="L597" t="s">
        <v>196</v>
      </c>
      <c r="M597" t="s">
        <v>44</v>
      </c>
      <c r="N597" s="4"/>
      <c r="O597" s="10">
        <f t="shared" ca="1" si="58"/>
        <v>215</v>
      </c>
      <c r="P597" s="10" t="str">
        <f t="shared" ca="1" si="55"/>
        <v>181 a 365 dias</v>
      </c>
      <c r="Q597">
        <f t="shared" si="54"/>
        <v>0</v>
      </c>
      <c r="R597">
        <v>8</v>
      </c>
      <c r="S597" s="11">
        <f t="shared" si="59"/>
        <v>0</v>
      </c>
      <c r="T597" s="11" t="str">
        <f t="shared" si="56"/>
        <v>Neutro</v>
      </c>
      <c r="U597" s="11" t="str">
        <f t="shared" si="57"/>
        <v>Médio risco</v>
      </c>
      <c r="V597">
        <v>0</v>
      </c>
      <c r="W597">
        <v>53</v>
      </c>
      <c r="X597" s="2">
        <v>26.12</v>
      </c>
      <c r="Y597">
        <v>7</v>
      </c>
      <c r="Z597" t="s">
        <v>50</v>
      </c>
    </row>
    <row r="598" spans="1:26">
      <c r="A598" t="s">
        <v>1087</v>
      </c>
      <c r="B598" t="s">
        <v>134</v>
      </c>
      <c r="C598" t="s">
        <v>38</v>
      </c>
      <c r="D598" t="s">
        <v>39</v>
      </c>
      <c r="E598">
        <v>30</v>
      </c>
      <c r="F598" t="s">
        <v>30</v>
      </c>
      <c r="G598" t="s">
        <v>165</v>
      </c>
      <c r="H598" t="s">
        <v>42</v>
      </c>
      <c r="I598" t="e">
        <f ca="1">_xludf.XLOOKUP(H598,Base_Planos!$A:$A,Base_Planos!$B:$B,"Não encontrado")</f>
        <v>#NAME?</v>
      </c>
      <c r="J598" s="2">
        <f>VLOOKUP(H598,Base_Planos!$A:$G,4,FALSE)</f>
        <v>29.9</v>
      </c>
      <c r="K598" s="4">
        <v>45489</v>
      </c>
      <c r="L598" t="s">
        <v>142</v>
      </c>
      <c r="M598" t="s">
        <v>44</v>
      </c>
      <c r="N598" s="4"/>
      <c r="O598" s="10">
        <f t="shared" ca="1" si="58"/>
        <v>680</v>
      </c>
      <c r="P598" s="10" t="str">
        <f t="shared" ca="1" si="55"/>
        <v>Mais de 1 ano</v>
      </c>
      <c r="Q598">
        <f t="shared" ref="Q598:Q661" si="60">IF(M375="Cancelado",1,0)</f>
        <v>0</v>
      </c>
      <c r="R598">
        <v>3</v>
      </c>
      <c r="S598" s="11">
        <f t="shared" si="59"/>
        <v>0</v>
      </c>
      <c r="T598" s="11" t="str">
        <f t="shared" si="56"/>
        <v>Detrator</v>
      </c>
      <c r="U598" s="11" t="str">
        <f t="shared" si="57"/>
        <v>Alto risco</v>
      </c>
      <c r="V598">
        <v>4</v>
      </c>
      <c r="W598">
        <v>0</v>
      </c>
      <c r="X598" s="2">
        <v>29.84</v>
      </c>
      <c r="Y598">
        <v>22</v>
      </c>
      <c r="Z598" t="s">
        <v>45</v>
      </c>
    </row>
    <row r="599" spans="1:26">
      <c r="A599" t="s">
        <v>1088</v>
      </c>
      <c r="B599" t="s">
        <v>1089</v>
      </c>
      <c r="C599" t="s">
        <v>28</v>
      </c>
      <c r="D599" t="s">
        <v>29</v>
      </c>
      <c r="E599">
        <v>37</v>
      </c>
      <c r="F599" t="s">
        <v>30</v>
      </c>
      <c r="G599" t="s">
        <v>165</v>
      </c>
      <c r="H599" t="s">
        <v>82</v>
      </c>
      <c r="I599" t="e">
        <f ca="1">_xludf.XLOOKUP(H599,Base_Planos!$A:$A,Base_Planos!$B:$B,"Não encontrado")</f>
        <v>#NAME?</v>
      </c>
      <c r="J599" s="2">
        <f>VLOOKUP(H599,Base_Planos!$A:$G,4,FALSE)</f>
        <v>149.9</v>
      </c>
      <c r="K599" s="4">
        <v>45754</v>
      </c>
      <c r="L599" t="s">
        <v>222</v>
      </c>
      <c r="M599" t="s">
        <v>44</v>
      </c>
      <c r="N599" s="4"/>
      <c r="O599" s="10">
        <f t="shared" ca="1" si="58"/>
        <v>415</v>
      </c>
      <c r="P599" s="10" t="str">
        <f t="shared" ca="1" si="55"/>
        <v>Mais de 1 ano</v>
      </c>
      <c r="Q599">
        <f t="shared" si="60"/>
        <v>0</v>
      </c>
      <c r="R599">
        <v>6</v>
      </c>
      <c r="S599" s="11">
        <f t="shared" si="59"/>
        <v>0</v>
      </c>
      <c r="T599" s="11" t="str">
        <f t="shared" si="56"/>
        <v>Detrator</v>
      </c>
      <c r="U599" s="11" t="str">
        <f t="shared" si="57"/>
        <v>Alto risco</v>
      </c>
      <c r="V599">
        <v>0</v>
      </c>
      <c r="W599">
        <v>14</v>
      </c>
      <c r="X599" s="2">
        <v>157.07</v>
      </c>
      <c r="Y599">
        <v>13</v>
      </c>
      <c r="Z599" t="s">
        <v>35</v>
      </c>
    </row>
    <row r="600" spans="1:26">
      <c r="A600" t="s">
        <v>1090</v>
      </c>
      <c r="B600" t="s">
        <v>1091</v>
      </c>
      <c r="C600" t="s">
        <v>59</v>
      </c>
      <c r="D600" t="s">
        <v>60</v>
      </c>
      <c r="E600">
        <v>32</v>
      </c>
      <c r="F600" t="s">
        <v>40</v>
      </c>
      <c r="G600" t="s">
        <v>31</v>
      </c>
      <c r="H600" t="s">
        <v>112</v>
      </c>
      <c r="I600" t="e">
        <f ca="1">_xludf.XLOOKUP(H600,Base_Planos!$A:$A,Base_Planos!$B:$B,"Não encontrado")</f>
        <v>#NAME?</v>
      </c>
      <c r="J600" s="2">
        <f>VLOOKUP(H600,Base_Planos!$A:$G,4,FALSE)</f>
        <v>79.900000000000006</v>
      </c>
      <c r="K600" s="4">
        <v>45983</v>
      </c>
      <c r="L600" t="s">
        <v>87</v>
      </c>
      <c r="M600" t="s">
        <v>44</v>
      </c>
      <c r="N600" s="4"/>
      <c r="O600" s="10">
        <f t="shared" ca="1" si="58"/>
        <v>186</v>
      </c>
      <c r="P600" s="10" t="str">
        <f t="shared" ca="1" si="55"/>
        <v>181 a 365 dias</v>
      </c>
      <c r="Q600">
        <f t="shared" si="60"/>
        <v>1</v>
      </c>
      <c r="R600">
        <v>9</v>
      </c>
      <c r="S600" s="11">
        <f t="shared" si="59"/>
        <v>79.900000000000006</v>
      </c>
      <c r="T600" s="11" t="str">
        <f t="shared" si="56"/>
        <v>Promotor</v>
      </c>
      <c r="U600" s="11" t="str">
        <f t="shared" si="57"/>
        <v>Alto risco</v>
      </c>
      <c r="V600">
        <v>1</v>
      </c>
      <c r="W600">
        <v>11</v>
      </c>
      <c r="X600" s="2">
        <v>80.569999999999993</v>
      </c>
      <c r="Y600">
        <v>6</v>
      </c>
      <c r="Z600" t="s">
        <v>35</v>
      </c>
    </row>
    <row r="601" spans="1:26">
      <c r="A601" t="s">
        <v>1092</v>
      </c>
      <c r="B601" t="s">
        <v>424</v>
      </c>
      <c r="C601" t="s">
        <v>71</v>
      </c>
      <c r="D601" t="s">
        <v>72</v>
      </c>
      <c r="E601">
        <v>62</v>
      </c>
      <c r="F601" t="s">
        <v>54</v>
      </c>
      <c r="G601" t="s">
        <v>104</v>
      </c>
      <c r="H601" t="s">
        <v>112</v>
      </c>
      <c r="I601" t="e">
        <f ca="1">_xludf.XLOOKUP(H601,Base_Planos!$A:$A,Base_Planos!$B:$B,"Não encontrado")</f>
        <v>#NAME?</v>
      </c>
      <c r="J601" s="2">
        <f>VLOOKUP(H601,Base_Planos!$A:$G,4,FALSE)</f>
        <v>79.900000000000006</v>
      </c>
      <c r="K601" s="4">
        <v>46070</v>
      </c>
      <c r="L601" t="s">
        <v>74</v>
      </c>
      <c r="M601" t="s">
        <v>44</v>
      </c>
      <c r="N601" s="4"/>
      <c r="O601" s="10">
        <f t="shared" ca="1" si="58"/>
        <v>99</v>
      </c>
      <c r="P601" s="10" t="str">
        <f t="shared" ca="1" si="55"/>
        <v>91 a 180 dias</v>
      </c>
      <c r="Q601">
        <f t="shared" si="60"/>
        <v>0</v>
      </c>
      <c r="R601">
        <v>0</v>
      </c>
      <c r="S601" s="11">
        <f t="shared" si="59"/>
        <v>0</v>
      </c>
      <c r="T601" s="11" t="str">
        <f t="shared" si="56"/>
        <v>Detrator</v>
      </c>
      <c r="U601" s="11" t="str">
        <f t="shared" si="57"/>
        <v>Alto risco</v>
      </c>
      <c r="V601">
        <v>0</v>
      </c>
      <c r="W601">
        <v>83</v>
      </c>
      <c r="X601" s="2">
        <v>68.069999999999993</v>
      </c>
      <c r="Y601">
        <v>3</v>
      </c>
      <c r="Z601" t="s">
        <v>35</v>
      </c>
    </row>
    <row r="602" spans="1:26">
      <c r="A602" t="s">
        <v>1093</v>
      </c>
      <c r="B602" t="s">
        <v>813</v>
      </c>
      <c r="C602" t="s">
        <v>108</v>
      </c>
      <c r="D602" t="s">
        <v>109</v>
      </c>
      <c r="E602">
        <v>32</v>
      </c>
      <c r="F602" t="s">
        <v>54</v>
      </c>
      <c r="G602" t="s">
        <v>41</v>
      </c>
      <c r="H602" t="s">
        <v>82</v>
      </c>
      <c r="I602" t="e">
        <f ca="1">_xludf.XLOOKUP(H602,Base_Planos!$A:$A,Base_Planos!$B:$B,"Não encontrado")</f>
        <v>#NAME?</v>
      </c>
      <c r="J602" s="2">
        <f>VLOOKUP(H602,Base_Planos!$A:$G,4,FALSE)</f>
        <v>149.9</v>
      </c>
      <c r="K602" s="4">
        <v>46028</v>
      </c>
      <c r="L602" t="s">
        <v>148</v>
      </c>
      <c r="M602" t="s">
        <v>44</v>
      </c>
      <c r="N602" s="4"/>
      <c r="O602" s="10">
        <f t="shared" ca="1" si="58"/>
        <v>141</v>
      </c>
      <c r="P602" s="10" t="str">
        <f t="shared" ca="1" si="55"/>
        <v>91 a 180 dias</v>
      </c>
      <c r="Q602">
        <f t="shared" si="60"/>
        <v>0</v>
      </c>
      <c r="R602">
        <v>4</v>
      </c>
      <c r="S602" s="11">
        <f t="shared" si="59"/>
        <v>0</v>
      </c>
      <c r="T602" s="11" t="str">
        <f t="shared" si="56"/>
        <v>Detrator</v>
      </c>
      <c r="U602" s="11" t="str">
        <f t="shared" si="57"/>
        <v>Alto risco</v>
      </c>
      <c r="V602">
        <v>1</v>
      </c>
      <c r="W602">
        <v>62</v>
      </c>
      <c r="X602" s="2">
        <v>132.02000000000001</v>
      </c>
      <c r="Y602">
        <v>4</v>
      </c>
      <c r="Z602" t="s">
        <v>35</v>
      </c>
    </row>
    <row r="603" spans="1:26">
      <c r="A603" t="s">
        <v>1094</v>
      </c>
      <c r="B603" t="s">
        <v>1095</v>
      </c>
      <c r="C603" t="s">
        <v>65</v>
      </c>
      <c r="D603" t="s">
        <v>29</v>
      </c>
      <c r="E603">
        <v>56</v>
      </c>
      <c r="F603" t="s">
        <v>66</v>
      </c>
      <c r="G603" t="s">
        <v>41</v>
      </c>
      <c r="H603" t="s">
        <v>166</v>
      </c>
      <c r="I603" t="e">
        <f ca="1">_xludf.XLOOKUP(H603,Base_Planos!$A:$A,Base_Planos!$B:$B,"Não encontrado")</f>
        <v>#NAME?</v>
      </c>
      <c r="J603" s="2">
        <f>VLOOKUP(H603,Base_Planos!$A:$G,4,FALSE)</f>
        <v>399.9</v>
      </c>
      <c r="K603" s="4">
        <v>45345</v>
      </c>
      <c r="L603" t="s">
        <v>297</v>
      </c>
      <c r="M603" t="s">
        <v>44</v>
      </c>
      <c r="N603" s="4"/>
      <c r="O603" s="10">
        <f t="shared" ca="1" si="58"/>
        <v>824</v>
      </c>
      <c r="P603" s="10" t="str">
        <f t="shared" ca="1" si="55"/>
        <v>Mais de 1 ano</v>
      </c>
      <c r="Q603">
        <f t="shared" si="60"/>
        <v>0</v>
      </c>
      <c r="R603">
        <v>6</v>
      </c>
      <c r="S603" s="11">
        <f t="shared" si="59"/>
        <v>0</v>
      </c>
      <c r="T603" s="11" t="str">
        <f t="shared" si="56"/>
        <v>Detrator</v>
      </c>
      <c r="U603" s="11" t="str">
        <f t="shared" si="57"/>
        <v>Alto risco</v>
      </c>
      <c r="V603">
        <v>0</v>
      </c>
      <c r="W603">
        <v>67</v>
      </c>
      <c r="X603" s="2">
        <v>416.85</v>
      </c>
      <c r="Y603">
        <v>27</v>
      </c>
      <c r="Z603" t="s">
        <v>50</v>
      </c>
    </row>
    <row r="604" spans="1:26">
      <c r="A604" t="s">
        <v>1096</v>
      </c>
      <c r="B604" t="s">
        <v>1097</v>
      </c>
      <c r="C604" t="s">
        <v>102</v>
      </c>
      <c r="D604" t="s">
        <v>103</v>
      </c>
      <c r="E604">
        <v>28</v>
      </c>
      <c r="F604" t="s">
        <v>30</v>
      </c>
      <c r="G604" t="s">
        <v>96</v>
      </c>
      <c r="H604" t="s">
        <v>32</v>
      </c>
      <c r="I604" t="e">
        <f ca="1">_xludf.XLOOKUP(H604,Base_Planos!$A:$A,Base_Planos!$B:$B,"Não encontrado")</f>
        <v>#NAME?</v>
      </c>
      <c r="J604" s="2">
        <f>VLOOKUP(H604,Base_Planos!$A:$G,4,FALSE)</f>
        <v>39.9</v>
      </c>
      <c r="K604" s="4">
        <v>45927</v>
      </c>
      <c r="L604" t="s">
        <v>189</v>
      </c>
      <c r="M604" t="s">
        <v>34</v>
      </c>
      <c r="N604" s="4">
        <v>46016</v>
      </c>
      <c r="O604" s="10">
        <f t="shared" ca="1" si="58"/>
        <v>89</v>
      </c>
      <c r="P604" s="10" t="str">
        <f t="shared" ca="1" si="55"/>
        <v>31 a 90 dias</v>
      </c>
      <c r="Q604">
        <f t="shared" si="60"/>
        <v>1</v>
      </c>
      <c r="R604">
        <v>0</v>
      </c>
      <c r="S604" s="11">
        <f t="shared" si="59"/>
        <v>39.9</v>
      </c>
      <c r="T604" s="11" t="str">
        <f t="shared" si="56"/>
        <v>Detrator</v>
      </c>
      <c r="U604" s="11" t="str">
        <f t="shared" si="57"/>
        <v>Alto risco</v>
      </c>
      <c r="V604">
        <v>3</v>
      </c>
      <c r="W604">
        <v>66</v>
      </c>
      <c r="X604" s="2">
        <v>38.1</v>
      </c>
      <c r="Y604">
        <v>2</v>
      </c>
      <c r="Z604" t="s">
        <v>45</v>
      </c>
    </row>
    <row r="605" spans="1:26">
      <c r="A605" t="s">
        <v>1098</v>
      </c>
      <c r="B605" t="s">
        <v>402</v>
      </c>
      <c r="C605" t="s">
        <v>108</v>
      </c>
      <c r="D605" t="s">
        <v>109</v>
      </c>
      <c r="E605">
        <v>51</v>
      </c>
      <c r="F605" t="s">
        <v>30</v>
      </c>
      <c r="G605" t="s">
        <v>165</v>
      </c>
      <c r="H605" t="s">
        <v>86</v>
      </c>
      <c r="I605" t="e">
        <f ca="1">_xludf.XLOOKUP(H605,Base_Planos!$A:$A,Base_Planos!$B:$B,"Não encontrado")</f>
        <v>#NAME?</v>
      </c>
      <c r="J605" s="2">
        <f>VLOOKUP(H605,Base_Planos!$A:$G,4,FALSE)</f>
        <v>119.9</v>
      </c>
      <c r="K605" s="4">
        <v>45768</v>
      </c>
      <c r="L605" t="s">
        <v>222</v>
      </c>
      <c r="M605" t="s">
        <v>44</v>
      </c>
      <c r="N605" s="4"/>
      <c r="O605" s="10">
        <f t="shared" ca="1" si="58"/>
        <v>401</v>
      </c>
      <c r="P605" s="10" t="str">
        <f t="shared" ca="1" si="55"/>
        <v>Mais de 1 ano</v>
      </c>
      <c r="Q605">
        <f t="shared" si="60"/>
        <v>0</v>
      </c>
      <c r="R605">
        <v>6</v>
      </c>
      <c r="S605" s="11">
        <f t="shared" si="59"/>
        <v>0</v>
      </c>
      <c r="T605" s="11" t="str">
        <f t="shared" si="56"/>
        <v>Detrator</v>
      </c>
      <c r="U605" s="11" t="str">
        <f t="shared" si="57"/>
        <v>Alto risco</v>
      </c>
      <c r="V605">
        <v>0</v>
      </c>
      <c r="W605">
        <v>68</v>
      </c>
      <c r="X605" s="2">
        <v>103.56</v>
      </c>
      <c r="Y605">
        <v>13</v>
      </c>
      <c r="Z605" t="s">
        <v>50</v>
      </c>
    </row>
    <row r="606" spans="1:26">
      <c r="A606" t="s">
        <v>1099</v>
      </c>
      <c r="B606" t="s">
        <v>1100</v>
      </c>
      <c r="C606" t="s">
        <v>94</v>
      </c>
      <c r="D606" t="s">
        <v>95</v>
      </c>
      <c r="E606">
        <v>31</v>
      </c>
      <c r="F606" t="s">
        <v>30</v>
      </c>
      <c r="G606" t="s">
        <v>104</v>
      </c>
      <c r="H606" t="s">
        <v>32</v>
      </c>
      <c r="I606" t="e">
        <f ca="1">_xludf.XLOOKUP(H606,Base_Planos!$A:$A,Base_Planos!$B:$B,"Não encontrado")</f>
        <v>#NAME?</v>
      </c>
      <c r="J606" s="2">
        <f>VLOOKUP(H606,Base_Planos!$A:$G,4,FALSE)</f>
        <v>39.9</v>
      </c>
      <c r="K606" s="4">
        <v>46104</v>
      </c>
      <c r="L606" t="s">
        <v>292</v>
      </c>
      <c r="M606" t="s">
        <v>34</v>
      </c>
      <c r="N606" s="4">
        <v>46134</v>
      </c>
      <c r="O606" s="10">
        <f t="shared" ca="1" si="58"/>
        <v>30</v>
      </c>
      <c r="P606" s="10" t="str">
        <f t="shared" ca="1" si="55"/>
        <v>Até 30 dias</v>
      </c>
      <c r="Q606">
        <f t="shared" si="60"/>
        <v>0</v>
      </c>
      <c r="R606">
        <v>4</v>
      </c>
      <c r="S606" s="11">
        <f t="shared" si="59"/>
        <v>0</v>
      </c>
      <c r="T606" s="11" t="str">
        <f t="shared" si="56"/>
        <v>Detrator</v>
      </c>
      <c r="U606" s="11" t="str">
        <f t="shared" si="57"/>
        <v>Alto risco</v>
      </c>
      <c r="V606">
        <v>1</v>
      </c>
      <c r="W606">
        <v>39</v>
      </c>
      <c r="X606" s="2">
        <v>37.47</v>
      </c>
      <c r="Y606">
        <v>1</v>
      </c>
      <c r="Z606" t="s">
        <v>35</v>
      </c>
    </row>
    <row r="607" spans="1:26">
      <c r="A607" t="s">
        <v>1101</v>
      </c>
      <c r="B607" t="s">
        <v>1102</v>
      </c>
      <c r="C607" t="s">
        <v>90</v>
      </c>
      <c r="D607" t="s">
        <v>29</v>
      </c>
      <c r="E607">
        <v>33</v>
      </c>
      <c r="F607" t="s">
        <v>54</v>
      </c>
      <c r="G607" t="s">
        <v>104</v>
      </c>
      <c r="H607" t="s">
        <v>112</v>
      </c>
      <c r="I607" t="e">
        <f ca="1">_xludf.XLOOKUP(H607,Base_Planos!$A:$A,Base_Planos!$B:$B,"Não encontrado")</f>
        <v>#NAME?</v>
      </c>
      <c r="J607" s="2">
        <f>VLOOKUP(H607,Base_Planos!$A:$G,4,FALSE)</f>
        <v>79.900000000000006</v>
      </c>
      <c r="K607" s="4">
        <v>46106</v>
      </c>
      <c r="L607" t="s">
        <v>292</v>
      </c>
      <c r="M607" t="s">
        <v>34</v>
      </c>
      <c r="N607" s="4">
        <v>46155</v>
      </c>
      <c r="O607" s="10">
        <f t="shared" ca="1" si="58"/>
        <v>49</v>
      </c>
      <c r="P607" s="10" t="str">
        <f t="shared" ca="1" si="55"/>
        <v>31 a 90 dias</v>
      </c>
      <c r="Q607">
        <f t="shared" si="60"/>
        <v>1</v>
      </c>
      <c r="R607">
        <v>0</v>
      </c>
      <c r="S607" s="11">
        <f t="shared" si="59"/>
        <v>79.900000000000006</v>
      </c>
      <c r="T607" s="11" t="str">
        <f t="shared" si="56"/>
        <v>Detrator</v>
      </c>
      <c r="U607" s="11" t="str">
        <f t="shared" si="57"/>
        <v>Alto risco</v>
      </c>
      <c r="V607">
        <v>2</v>
      </c>
      <c r="W607">
        <v>33</v>
      </c>
      <c r="X607" s="2">
        <v>81.069999999999993</v>
      </c>
      <c r="Y607">
        <v>1</v>
      </c>
      <c r="Z607" t="s">
        <v>45</v>
      </c>
    </row>
    <row r="608" spans="1:26">
      <c r="A608" t="s">
        <v>1103</v>
      </c>
      <c r="B608" t="s">
        <v>943</v>
      </c>
      <c r="C608" t="s">
        <v>71</v>
      </c>
      <c r="D608" t="s">
        <v>72</v>
      </c>
      <c r="E608">
        <v>33</v>
      </c>
      <c r="F608" t="s">
        <v>30</v>
      </c>
      <c r="G608" t="s">
        <v>41</v>
      </c>
      <c r="H608" t="s">
        <v>112</v>
      </c>
      <c r="I608" t="e">
        <f ca="1">_xludf.XLOOKUP(H608,Base_Planos!$A:$A,Base_Planos!$B:$B,"Não encontrado")</f>
        <v>#NAME?</v>
      </c>
      <c r="J608" s="2">
        <f>VLOOKUP(H608,Base_Planos!$A:$G,4,FALSE)</f>
        <v>79.900000000000006</v>
      </c>
      <c r="K608" s="4">
        <v>45302</v>
      </c>
      <c r="L608" t="s">
        <v>516</v>
      </c>
      <c r="M608" t="s">
        <v>44</v>
      </c>
      <c r="N608" s="4"/>
      <c r="O608" s="10">
        <f t="shared" ca="1" si="58"/>
        <v>867</v>
      </c>
      <c r="P608" s="10" t="str">
        <f t="shared" ca="1" si="55"/>
        <v>Mais de 1 ano</v>
      </c>
      <c r="Q608">
        <f t="shared" si="60"/>
        <v>0</v>
      </c>
      <c r="R608">
        <v>9</v>
      </c>
      <c r="S608" s="11">
        <f t="shared" si="59"/>
        <v>0</v>
      </c>
      <c r="T608" s="11" t="str">
        <f t="shared" si="56"/>
        <v>Promotor</v>
      </c>
      <c r="U608" s="11" t="str">
        <f t="shared" si="57"/>
        <v>Baixo risco</v>
      </c>
      <c r="V608">
        <v>0</v>
      </c>
      <c r="W608">
        <v>81</v>
      </c>
      <c r="X608" s="2">
        <v>70.44</v>
      </c>
      <c r="Y608">
        <v>28</v>
      </c>
      <c r="Z608" t="s">
        <v>50</v>
      </c>
    </row>
    <row r="609" spans="1:26">
      <c r="A609" t="s">
        <v>1104</v>
      </c>
      <c r="B609" t="s">
        <v>1020</v>
      </c>
      <c r="C609" t="s">
        <v>140</v>
      </c>
      <c r="D609" t="s">
        <v>141</v>
      </c>
      <c r="E609">
        <v>60</v>
      </c>
      <c r="F609" t="s">
        <v>66</v>
      </c>
      <c r="G609" t="s">
        <v>31</v>
      </c>
      <c r="H609" t="s">
        <v>86</v>
      </c>
      <c r="I609" t="e">
        <f ca="1">_xludf.XLOOKUP(H609,Base_Planos!$A:$A,Base_Planos!$B:$B,"Não encontrado")</f>
        <v>#NAME?</v>
      </c>
      <c r="J609" s="2">
        <f>VLOOKUP(H609,Base_Planos!$A:$G,4,FALSE)</f>
        <v>119.9</v>
      </c>
      <c r="K609" s="4">
        <v>45769</v>
      </c>
      <c r="L609" t="s">
        <v>222</v>
      </c>
      <c r="M609" t="s">
        <v>44</v>
      </c>
      <c r="N609" s="4"/>
      <c r="O609" s="10">
        <f t="shared" ca="1" si="58"/>
        <v>400</v>
      </c>
      <c r="P609" s="10" t="str">
        <f t="shared" ca="1" si="55"/>
        <v>Mais de 1 ano</v>
      </c>
      <c r="Q609">
        <f t="shared" si="60"/>
        <v>0</v>
      </c>
      <c r="R609">
        <v>8</v>
      </c>
      <c r="S609" s="11">
        <f t="shared" si="59"/>
        <v>0</v>
      </c>
      <c r="T609" s="11" t="str">
        <f t="shared" si="56"/>
        <v>Neutro</v>
      </c>
      <c r="U609" s="11" t="str">
        <f t="shared" si="57"/>
        <v>Médio risco</v>
      </c>
      <c r="V609">
        <v>1</v>
      </c>
      <c r="W609">
        <v>75</v>
      </c>
      <c r="X609" s="2">
        <v>120.61</v>
      </c>
      <c r="Y609">
        <v>13</v>
      </c>
      <c r="Z609" t="s">
        <v>50</v>
      </c>
    </row>
    <row r="610" spans="1:26">
      <c r="A610" t="s">
        <v>1105</v>
      </c>
      <c r="B610" t="s">
        <v>902</v>
      </c>
      <c r="C610" t="s">
        <v>94</v>
      </c>
      <c r="D610" t="s">
        <v>95</v>
      </c>
      <c r="E610">
        <v>34</v>
      </c>
      <c r="F610" t="s">
        <v>30</v>
      </c>
      <c r="G610" t="s">
        <v>67</v>
      </c>
      <c r="H610" t="s">
        <v>112</v>
      </c>
      <c r="I610" t="e">
        <f ca="1">_xludf.XLOOKUP(H610,Base_Planos!$A:$A,Base_Planos!$B:$B,"Não encontrado")</f>
        <v>#NAME?</v>
      </c>
      <c r="J610" s="2">
        <f>VLOOKUP(H610,Base_Planos!$A:$G,4,FALSE)</f>
        <v>79.900000000000006</v>
      </c>
      <c r="K610" s="4">
        <v>45076</v>
      </c>
      <c r="L610" t="s">
        <v>115</v>
      </c>
      <c r="M610" t="s">
        <v>44</v>
      </c>
      <c r="N610" s="4"/>
      <c r="O610" s="10">
        <f t="shared" ca="1" si="58"/>
        <v>1093</v>
      </c>
      <c r="P610" s="10" t="str">
        <f t="shared" ca="1" si="55"/>
        <v>Mais de 1 ano</v>
      </c>
      <c r="Q610">
        <f t="shared" si="60"/>
        <v>0</v>
      </c>
      <c r="R610">
        <v>10</v>
      </c>
      <c r="S610" s="11">
        <f t="shared" si="59"/>
        <v>0</v>
      </c>
      <c r="T610" s="11" t="str">
        <f t="shared" si="56"/>
        <v>Promotor</v>
      </c>
      <c r="U610" s="11" t="str">
        <f t="shared" si="57"/>
        <v>Baixo risco</v>
      </c>
      <c r="V610">
        <v>0</v>
      </c>
      <c r="W610">
        <v>13</v>
      </c>
      <c r="X610" s="2">
        <v>81.59</v>
      </c>
      <c r="Y610">
        <v>36</v>
      </c>
      <c r="Z610" t="s">
        <v>35</v>
      </c>
    </row>
    <row r="611" spans="1:26">
      <c r="A611" t="s">
        <v>1106</v>
      </c>
      <c r="B611" t="s">
        <v>584</v>
      </c>
      <c r="C611" t="s">
        <v>28</v>
      </c>
      <c r="D611" t="s">
        <v>29</v>
      </c>
      <c r="E611">
        <v>34</v>
      </c>
      <c r="F611" t="s">
        <v>30</v>
      </c>
      <c r="G611" t="s">
        <v>96</v>
      </c>
      <c r="H611" t="s">
        <v>42</v>
      </c>
      <c r="I611" t="e">
        <f ca="1">_xludf.XLOOKUP(H611,Base_Planos!$A:$A,Base_Planos!$B:$B,"Não encontrado")</f>
        <v>#NAME?</v>
      </c>
      <c r="J611" s="2">
        <f>VLOOKUP(H611,Base_Planos!$A:$G,4,FALSE)</f>
        <v>29.9</v>
      </c>
      <c r="K611" s="4">
        <v>45877</v>
      </c>
      <c r="L611" t="s">
        <v>159</v>
      </c>
      <c r="M611" t="s">
        <v>44</v>
      </c>
      <c r="N611" s="4"/>
      <c r="O611" s="10">
        <f t="shared" ca="1" si="58"/>
        <v>292</v>
      </c>
      <c r="P611" s="10" t="str">
        <f t="shared" ca="1" si="55"/>
        <v>181 a 365 dias</v>
      </c>
      <c r="Q611">
        <f t="shared" si="60"/>
        <v>0</v>
      </c>
      <c r="R611">
        <v>7</v>
      </c>
      <c r="S611" s="11">
        <f t="shared" si="59"/>
        <v>0</v>
      </c>
      <c r="T611" s="11" t="str">
        <f t="shared" si="56"/>
        <v>Neutro</v>
      </c>
      <c r="U611" s="11" t="str">
        <f t="shared" si="57"/>
        <v>Médio risco</v>
      </c>
      <c r="V611">
        <v>1</v>
      </c>
      <c r="W611">
        <v>59</v>
      </c>
      <c r="X611" s="2">
        <v>28.03</v>
      </c>
      <c r="Y611">
        <v>9</v>
      </c>
      <c r="Z611" t="s">
        <v>50</v>
      </c>
    </row>
    <row r="612" spans="1:26">
      <c r="A612" t="s">
        <v>1107</v>
      </c>
      <c r="B612" t="s">
        <v>1108</v>
      </c>
      <c r="C612" t="s">
        <v>53</v>
      </c>
      <c r="D612" t="s">
        <v>29</v>
      </c>
      <c r="E612">
        <v>28</v>
      </c>
      <c r="F612" t="s">
        <v>30</v>
      </c>
      <c r="G612" t="s">
        <v>67</v>
      </c>
      <c r="H612" t="s">
        <v>61</v>
      </c>
      <c r="I612" t="e">
        <f ca="1">_xludf.XLOOKUP(H612,Base_Planos!$A:$A,Base_Planos!$B:$B,"Não encontrado")</f>
        <v>#NAME?</v>
      </c>
      <c r="J612" s="2">
        <f>VLOOKUP(H612,Base_Planos!$A:$G,4,FALSE)</f>
        <v>59.9</v>
      </c>
      <c r="K612" s="4">
        <v>45289</v>
      </c>
      <c r="L612" t="s">
        <v>62</v>
      </c>
      <c r="M612" t="s">
        <v>44</v>
      </c>
      <c r="N612" s="4"/>
      <c r="O612" s="10">
        <f t="shared" ca="1" si="58"/>
        <v>880</v>
      </c>
      <c r="P612" s="10" t="str">
        <f t="shared" ca="1" si="55"/>
        <v>Mais de 1 ano</v>
      </c>
      <c r="Q612">
        <f t="shared" si="60"/>
        <v>0</v>
      </c>
      <c r="R612">
        <v>4</v>
      </c>
      <c r="S612" s="11">
        <f t="shared" si="59"/>
        <v>0</v>
      </c>
      <c r="T612" s="11" t="str">
        <f t="shared" si="56"/>
        <v>Detrator</v>
      </c>
      <c r="U612" s="11" t="str">
        <f t="shared" si="57"/>
        <v>Alto risco</v>
      </c>
      <c r="V612">
        <v>0</v>
      </c>
      <c r="W612">
        <v>89</v>
      </c>
      <c r="X612" s="2">
        <v>51.05</v>
      </c>
      <c r="Y612">
        <v>29</v>
      </c>
      <c r="Z612" t="s">
        <v>45</v>
      </c>
    </row>
    <row r="613" spans="1:26">
      <c r="A613" t="s">
        <v>1109</v>
      </c>
      <c r="B613" t="s">
        <v>1110</v>
      </c>
      <c r="C613" t="s">
        <v>77</v>
      </c>
      <c r="D613" t="s">
        <v>78</v>
      </c>
      <c r="E613">
        <v>40</v>
      </c>
      <c r="F613" t="s">
        <v>30</v>
      </c>
      <c r="G613" t="s">
        <v>67</v>
      </c>
      <c r="H613" t="s">
        <v>86</v>
      </c>
      <c r="I613" t="e">
        <f ca="1">_xludf.XLOOKUP(H613,Base_Planos!$A:$A,Base_Planos!$B:$B,"Não encontrado")</f>
        <v>#NAME?</v>
      </c>
      <c r="J613" s="2">
        <f>VLOOKUP(H613,Base_Planos!$A:$G,4,FALSE)</f>
        <v>119.9</v>
      </c>
      <c r="K613" s="4">
        <v>46017</v>
      </c>
      <c r="L613" t="s">
        <v>170</v>
      </c>
      <c r="M613" t="s">
        <v>44</v>
      </c>
      <c r="N613" s="4"/>
      <c r="O613" s="10">
        <f t="shared" ca="1" si="58"/>
        <v>152</v>
      </c>
      <c r="P613" s="10" t="str">
        <f t="shared" ca="1" si="55"/>
        <v>91 a 180 dias</v>
      </c>
      <c r="Q613">
        <f t="shared" si="60"/>
        <v>0</v>
      </c>
      <c r="R613">
        <v>3</v>
      </c>
      <c r="S613" s="11">
        <f t="shared" si="59"/>
        <v>0</v>
      </c>
      <c r="T613" s="11" t="str">
        <f t="shared" si="56"/>
        <v>Detrator</v>
      </c>
      <c r="U613" s="11" t="str">
        <f t="shared" si="57"/>
        <v>Alto risco</v>
      </c>
      <c r="V613">
        <v>1</v>
      </c>
      <c r="W613">
        <v>60</v>
      </c>
      <c r="X613" s="2">
        <v>117.8</v>
      </c>
      <c r="Y613">
        <v>5</v>
      </c>
      <c r="Z613" t="s">
        <v>35</v>
      </c>
    </row>
    <row r="614" spans="1:26">
      <c r="A614" t="s">
        <v>1111</v>
      </c>
      <c r="B614" t="s">
        <v>1112</v>
      </c>
      <c r="C614" t="s">
        <v>71</v>
      </c>
      <c r="D614" t="s">
        <v>72</v>
      </c>
      <c r="E614">
        <v>62</v>
      </c>
      <c r="F614" t="s">
        <v>30</v>
      </c>
      <c r="G614" t="s">
        <v>67</v>
      </c>
      <c r="H614" t="s">
        <v>61</v>
      </c>
      <c r="I614" t="e">
        <f ca="1">_xludf.XLOOKUP(H614,Base_Planos!$A:$A,Base_Planos!$B:$B,"Não encontrado")</f>
        <v>#NAME?</v>
      </c>
      <c r="J614" s="2">
        <f>VLOOKUP(H614,Base_Planos!$A:$G,4,FALSE)</f>
        <v>59.9</v>
      </c>
      <c r="K614" s="4">
        <v>45026</v>
      </c>
      <c r="L614" t="s">
        <v>118</v>
      </c>
      <c r="M614" t="s">
        <v>34</v>
      </c>
      <c r="N614" s="4">
        <v>45243</v>
      </c>
      <c r="O614" s="10">
        <f t="shared" ca="1" si="58"/>
        <v>217</v>
      </c>
      <c r="P614" s="10" t="str">
        <f t="shared" ca="1" si="55"/>
        <v>181 a 365 dias</v>
      </c>
      <c r="Q614">
        <f t="shared" si="60"/>
        <v>0</v>
      </c>
      <c r="R614">
        <v>6</v>
      </c>
      <c r="S614" s="11">
        <f t="shared" si="59"/>
        <v>0</v>
      </c>
      <c r="T614" s="11" t="str">
        <f t="shared" si="56"/>
        <v>Detrator</v>
      </c>
      <c r="U614" s="11" t="str">
        <f t="shared" si="57"/>
        <v>Alto risco</v>
      </c>
      <c r="V614">
        <v>0</v>
      </c>
      <c r="W614">
        <v>0</v>
      </c>
      <c r="X614" s="2">
        <v>51.25</v>
      </c>
      <c r="Y614">
        <v>7</v>
      </c>
      <c r="Z614" t="s">
        <v>35</v>
      </c>
    </row>
    <row r="615" spans="1:26">
      <c r="A615" t="s">
        <v>1113</v>
      </c>
      <c r="B615" t="s">
        <v>1114</v>
      </c>
      <c r="C615" t="s">
        <v>53</v>
      </c>
      <c r="D615" t="s">
        <v>29</v>
      </c>
      <c r="E615">
        <v>30</v>
      </c>
      <c r="F615" t="s">
        <v>40</v>
      </c>
      <c r="G615" t="s">
        <v>55</v>
      </c>
      <c r="H615" t="s">
        <v>42</v>
      </c>
      <c r="I615" t="e">
        <f ca="1">_xludf.XLOOKUP(H615,Base_Planos!$A:$A,Base_Planos!$B:$B,"Não encontrado")</f>
        <v>#NAME?</v>
      </c>
      <c r="J615" s="2">
        <f>VLOOKUP(H615,Base_Planos!$A:$G,4,FALSE)</f>
        <v>29.9</v>
      </c>
      <c r="K615" s="4">
        <v>45124</v>
      </c>
      <c r="L615" t="s">
        <v>33</v>
      </c>
      <c r="M615" t="s">
        <v>34</v>
      </c>
      <c r="N615" s="4">
        <v>45488</v>
      </c>
      <c r="O615" s="10">
        <f t="shared" ca="1" si="58"/>
        <v>364</v>
      </c>
      <c r="P615" s="10" t="str">
        <f t="shared" ca="1" si="55"/>
        <v>181 a 365 dias</v>
      </c>
      <c r="Q615">
        <f t="shared" si="60"/>
        <v>1</v>
      </c>
      <c r="R615">
        <v>10</v>
      </c>
      <c r="S615" s="11">
        <f t="shared" si="59"/>
        <v>29.9</v>
      </c>
      <c r="T615" s="11" t="str">
        <f t="shared" si="56"/>
        <v>Promotor</v>
      </c>
      <c r="U615" s="11" t="str">
        <f t="shared" si="57"/>
        <v>Alto risco</v>
      </c>
      <c r="V615">
        <v>0</v>
      </c>
      <c r="W615">
        <v>71</v>
      </c>
      <c r="X615" s="2">
        <v>28.78</v>
      </c>
      <c r="Y615">
        <v>12</v>
      </c>
      <c r="Z615" t="s">
        <v>50</v>
      </c>
    </row>
    <row r="616" spans="1:26">
      <c r="A616" t="s">
        <v>1115</v>
      </c>
      <c r="B616" t="s">
        <v>1116</v>
      </c>
      <c r="C616" t="s">
        <v>59</v>
      </c>
      <c r="D616" t="s">
        <v>60</v>
      </c>
      <c r="E616">
        <v>52</v>
      </c>
      <c r="F616" t="s">
        <v>54</v>
      </c>
      <c r="G616" t="s">
        <v>41</v>
      </c>
      <c r="H616" t="s">
        <v>32</v>
      </c>
      <c r="I616" t="e">
        <f ca="1">_xludf.XLOOKUP(H616,Base_Planos!$A:$A,Base_Planos!$B:$B,"Não encontrado")</f>
        <v>#NAME?</v>
      </c>
      <c r="J616" s="2">
        <f>VLOOKUP(H616,Base_Planos!$A:$G,4,FALSE)</f>
        <v>39.9</v>
      </c>
      <c r="K616" s="4">
        <v>45364</v>
      </c>
      <c r="L616" t="s">
        <v>126</v>
      </c>
      <c r="M616" t="s">
        <v>34</v>
      </c>
      <c r="N616" s="4">
        <v>45792</v>
      </c>
      <c r="O616" s="10">
        <f t="shared" ca="1" si="58"/>
        <v>428</v>
      </c>
      <c r="P616" s="10" t="str">
        <f t="shared" ca="1" si="55"/>
        <v>Mais de 1 ano</v>
      </c>
      <c r="Q616">
        <f t="shared" si="60"/>
        <v>0</v>
      </c>
      <c r="R616">
        <v>1</v>
      </c>
      <c r="S616" s="11">
        <f t="shared" si="59"/>
        <v>0</v>
      </c>
      <c r="T616" s="11" t="str">
        <f t="shared" si="56"/>
        <v>Detrator</v>
      </c>
      <c r="U616" s="11" t="str">
        <f t="shared" si="57"/>
        <v>Alto risco</v>
      </c>
      <c r="V616">
        <v>0</v>
      </c>
      <c r="W616">
        <v>70</v>
      </c>
      <c r="X616" s="2">
        <v>35.67</v>
      </c>
      <c r="Y616">
        <v>14</v>
      </c>
      <c r="Z616" t="s">
        <v>35</v>
      </c>
    </row>
    <row r="617" spans="1:26">
      <c r="A617" t="s">
        <v>1117</v>
      </c>
      <c r="B617" t="s">
        <v>377</v>
      </c>
      <c r="C617" t="s">
        <v>65</v>
      </c>
      <c r="D617" t="s">
        <v>29</v>
      </c>
      <c r="E617">
        <v>57</v>
      </c>
      <c r="F617" t="s">
        <v>54</v>
      </c>
      <c r="G617" t="s">
        <v>55</v>
      </c>
      <c r="H617" t="s">
        <v>86</v>
      </c>
      <c r="I617" t="e">
        <f ca="1">_xludf.XLOOKUP(H617,Base_Planos!$A:$A,Base_Planos!$B:$B,"Não encontrado")</f>
        <v>#NAME?</v>
      </c>
      <c r="J617" s="2">
        <f>VLOOKUP(H617,Base_Planos!$A:$G,4,FALSE)</f>
        <v>119.9</v>
      </c>
      <c r="K617" s="4">
        <v>45768</v>
      </c>
      <c r="L617" t="s">
        <v>222</v>
      </c>
      <c r="M617" t="s">
        <v>44</v>
      </c>
      <c r="N617" s="4"/>
      <c r="O617" s="10">
        <f t="shared" ca="1" si="58"/>
        <v>401</v>
      </c>
      <c r="P617" s="10" t="str">
        <f t="shared" ca="1" si="55"/>
        <v>Mais de 1 ano</v>
      </c>
      <c r="Q617">
        <f t="shared" si="60"/>
        <v>0</v>
      </c>
      <c r="R617">
        <v>4</v>
      </c>
      <c r="S617" s="11">
        <f t="shared" si="59"/>
        <v>0</v>
      </c>
      <c r="T617" s="11" t="str">
        <f t="shared" si="56"/>
        <v>Detrator</v>
      </c>
      <c r="U617" s="11" t="str">
        <f t="shared" si="57"/>
        <v>Alto risco</v>
      </c>
      <c r="V617">
        <v>4</v>
      </c>
      <c r="W617">
        <v>24</v>
      </c>
      <c r="X617" s="2">
        <v>120.89</v>
      </c>
      <c r="Y617">
        <v>13</v>
      </c>
      <c r="Z617" t="s">
        <v>45</v>
      </c>
    </row>
    <row r="618" spans="1:26">
      <c r="A618" t="s">
        <v>1118</v>
      </c>
      <c r="B618" t="s">
        <v>1119</v>
      </c>
      <c r="C618" t="s">
        <v>94</v>
      </c>
      <c r="D618" t="s">
        <v>95</v>
      </c>
      <c r="E618">
        <v>34</v>
      </c>
      <c r="F618" t="s">
        <v>201</v>
      </c>
      <c r="G618" t="s">
        <v>165</v>
      </c>
      <c r="H618" t="s">
        <v>166</v>
      </c>
      <c r="I618" t="e">
        <f ca="1">_xludf.XLOOKUP(H618,Base_Planos!$A:$A,Base_Planos!$B:$B,"Não encontrado")</f>
        <v>#NAME?</v>
      </c>
      <c r="J618" s="2">
        <f>VLOOKUP(H618,Base_Planos!$A:$G,4,FALSE)</f>
        <v>399.9</v>
      </c>
      <c r="K618" s="4">
        <v>45722</v>
      </c>
      <c r="L618" t="s">
        <v>454</v>
      </c>
      <c r="M618" t="s">
        <v>34</v>
      </c>
      <c r="N618" s="4">
        <v>46141</v>
      </c>
      <c r="O618" s="10">
        <f t="shared" ca="1" si="58"/>
        <v>419</v>
      </c>
      <c r="P618" s="10" t="str">
        <f t="shared" ca="1" si="55"/>
        <v>Mais de 1 ano</v>
      </c>
      <c r="Q618">
        <f t="shared" si="60"/>
        <v>1</v>
      </c>
      <c r="R618">
        <v>10</v>
      </c>
      <c r="S618" s="11">
        <f t="shared" si="59"/>
        <v>399.9</v>
      </c>
      <c r="T618" s="11" t="str">
        <f t="shared" si="56"/>
        <v>Promotor</v>
      </c>
      <c r="U618" s="11" t="str">
        <f t="shared" si="57"/>
        <v>Alto risco</v>
      </c>
      <c r="V618">
        <v>0</v>
      </c>
      <c r="W618">
        <v>35</v>
      </c>
      <c r="X618" s="2">
        <v>418.14</v>
      </c>
      <c r="Y618">
        <v>13</v>
      </c>
      <c r="Z618" t="s">
        <v>35</v>
      </c>
    </row>
    <row r="619" spans="1:26">
      <c r="A619" t="s">
        <v>1120</v>
      </c>
      <c r="B619" t="s">
        <v>1121</v>
      </c>
      <c r="C619" t="s">
        <v>102</v>
      </c>
      <c r="D619" t="s">
        <v>103</v>
      </c>
      <c r="E619">
        <v>39</v>
      </c>
      <c r="F619" t="s">
        <v>30</v>
      </c>
      <c r="G619" t="s">
        <v>104</v>
      </c>
      <c r="H619" t="s">
        <v>112</v>
      </c>
      <c r="I619" t="e">
        <f ca="1">_xludf.XLOOKUP(H619,Base_Planos!$A:$A,Base_Planos!$B:$B,"Não encontrado")</f>
        <v>#NAME?</v>
      </c>
      <c r="J619" s="2">
        <f>VLOOKUP(H619,Base_Planos!$A:$G,4,FALSE)</f>
        <v>79.900000000000006</v>
      </c>
      <c r="K619" s="4">
        <v>45403</v>
      </c>
      <c r="L619" t="s">
        <v>56</v>
      </c>
      <c r="M619" t="s">
        <v>44</v>
      </c>
      <c r="N619" s="4"/>
      <c r="O619" s="10">
        <f t="shared" ca="1" si="58"/>
        <v>766</v>
      </c>
      <c r="P619" s="10" t="str">
        <f t="shared" ca="1" si="55"/>
        <v>Mais de 1 ano</v>
      </c>
      <c r="Q619">
        <f t="shared" si="60"/>
        <v>0</v>
      </c>
      <c r="R619">
        <v>8</v>
      </c>
      <c r="S619" s="11">
        <f t="shared" si="59"/>
        <v>0</v>
      </c>
      <c r="T619" s="11" t="str">
        <f t="shared" si="56"/>
        <v>Neutro</v>
      </c>
      <c r="U619" s="11" t="str">
        <f t="shared" si="57"/>
        <v>Médio risco</v>
      </c>
      <c r="V619">
        <v>0</v>
      </c>
      <c r="W619">
        <v>13</v>
      </c>
      <c r="X619" s="2">
        <v>82.25</v>
      </c>
      <c r="Y619">
        <v>25</v>
      </c>
      <c r="Z619" t="s">
        <v>35</v>
      </c>
    </row>
    <row r="620" spans="1:26">
      <c r="A620" t="s">
        <v>1122</v>
      </c>
      <c r="B620" t="s">
        <v>158</v>
      </c>
      <c r="C620" t="s">
        <v>137</v>
      </c>
      <c r="D620" t="s">
        <v>29</v>
      </c>
      <c r="E620">
        <v>45</v>
      </c>
      <c r="F620" t="s">
        <v>40</v>
      </c>
      <c r="G620" t="s">
        <v>55</v>
      </c>
      <c r="H620" t="s">
        <v>32</v>
      </c>
      <c r="I620" t="e">
        <f ca="1">_xludf.XLOOKUP(H620,Base_Planos!$A:$A,Base_Planos!$B:$B,"Não encontrado")</f>
        <v>#NAME?</v>
      </c>
      <c r="J620" s="2">
        <f>VLOOKUP(H620,Base_Planos!$A:$G,4,FALSE)</f>
        <v>39.9</v>
      </c>
      <c r="K620" s="4">
        <v>45694</v>
      </c>
      <c r="L620" t="s">
        <v>289</v>
      </c>
      <c r="M620" t="s">
        <v>34</v>
      </c>
      <c r="N620" s="4">
        <v>46095</v>
      </c>
      <c r="O620" s="10">
        <f t="shared" ca="1" si="58"/>
        <v>401</v>
      </c>
      <c r="P620" s="10" t="str">
        <f t="shared" ca="1" si="55"/>
        <v>Mais de 1 ano</v>
      </c>
      <c r="Q620">
        <f t="shared" si="60"/>
        <v>0</v>
      </c>
      <c r="R620">
        <v>7</v>
      </c>
      <c r="S620" s="11">
        <f t="shared" si="59"/>
        <v>0</v>
      </c>
      <c r="T620" s="11" t="str">
        <f t="shared" si="56"/>
        <v>Neutro</v>
      </c>
      <c r="U620" s="11" t="str">
        <f t="shared" si="57"/>
        <v>Médio risco</v>
      </c>
      <c r="V620">
        <v>0</v>
      </c>
      <c r="W620">
        <v>72</v>
      </c>
      <c r="X620" s="2">
        <v>39.81</v>
      </c>
      <c r="Y620">
        <v>13</v>
      </c>
      <c r="Z620" t="s">
        <v>50</v>
      </c>
    </row>
    <row r="621" spans="1:26">
      <c r="A621" t="s">
        <v>1123</v>
      </c>
      <c r="B621" t="s">
        <v>817</v>
      </c>
      <c r="C621" t="s">
        <v>140</v>
      </c>
      <c r="D621" t="s">
        <v>141</v>
      </c>
      <c r="E621">
        <v>38</v>
      </c>
      <c r="F621" t="s">
        <v>40</v>
      </c>
      <c r="G621" t="s">
        <v>67</v>
      </c>
      <c r="H621" t="s">
        <v>112</v>
      </c>
      <c r="I621" t="e">
        <f ca="1">_xludf.XLOOKUP(H621,Base_Planos!$A:$A,Base_Planos!$B:$B,"Não encontrado")</f>
        <v>#NAME?</v>
      </c>
      <c r="J621" s="2">
        <f>VLOOKUP(H621,Base_Planos!$A:$G,4,FALSE)</f>
        <v>79.900000000000006</v>
      </c>
      <c r="K621" s="4">
        <v>45776</v>
      </c>
      <c r="L621" t="s">
        <v>222</v>
      </c>
      <c r="M621" t="s">
        <v>44</v>
      </c>
      <c r="N621" s="4"/>
      <c r="O621" s="10">
        <f t="shared" ca="1" si="58"/>
        <v>393</v>
      </c>
      <c r="P621" s="10" t="str">
        <f t="shared" ca="1" si="55"/>
        <v>Mais de 1 ano</v>
      </c>
      <c r="Q621">
        <f t="shared" si="60"/>
        <v>0</v>
      </c>
      <c r="R621">
        <v>10</v>
      </c>
      <c r="S621" s="11">
        <f t="shared" si="59"/>
        <v>0</v>
      </c>
      <c r="T621" s="11" t="str">
        <f t="shared" si="56"/>
        <v>Promotor</v>
      </c>
      <c r="U621" s="11" t="str">
        <f t="shared" si="57"/>
        <v>Baixo risco</v>
      </c>
      <c r="V621">
        <v>0</v>
      </c>
      <c r="W621">
        <v>13</v>
      </c>
      <c r="X621" s="2">
        <v>73.39</v>
      </c>
      <c r="Y621">
        <v>13</v>
      </c>
      <c r="Z621" t="s">
        <v>35</v>
      </c>
    </row>
    <row r="622" spans="1:26">
      <c r="A622" t="s">
        <v>1124</v>
      </c>
      <c r="B622" t="s">
        <v>1125</v>
      </c>
      <c r="C622" t="s">
        <v>28</v>
      </c>
      <c r="D622" t="s">
        <v>29</v>
      </c>
      <c r="E622">
        <v>60</v>
      </c>
      <c r="F622" t="s">
        <v>201</v>
      </c>
      <c r="G622" t="s">
        <v>31</v>
      </c>
      <c r="H622" t="s">
        <v>61</v>
      </c>
      <c r="I622" t="e">
        <f ca="1">_xludf.XLOOKUP(H622,Base_Planos!$A:$A,Base_Planos!$B:$B,"Não encontrado")</f>
        <v>#NAME?</v>
      </c>
      <c r="J622" s="2">
        <f>VLOOKUP(H622,Base_Planos!$A:$G,4,FALSE)</f>
        <v>59.9</v>
      </c>
      <c r="K622" s="4">
        <v>45708</v>
      </c>
      <c r="L622" t="s">
        <v>289</v>
      </c>
      <c r="M622" t="s">
        <v>44</v>
      </c>
      <c r="N622" s="4"/>
      <c r="O622" s="10">
        <f t="shared" ca="1" si="58"/>
        <v>461</v>
      </c>
      <c r="P622" s="10" t="str">
        <f t="shared" ca="1" si="55"/>
        <v>Mais de 1 ano</v>
      </c>
      <c r="Q622">
        <f t="shared" si="60"/>
        <v>0</v>
      </c>
      <c r="R622">
        <v>8</v>
      </c>
      <c r="S622" s="11">
        <f t="shared" si="59"/>
        <v>0</v>
      </c>
      <c r="T622" s="11" t="str">
        <f t="shared" si="56"/>
        <v>Neutro</v>
      </c>
      <c r="U622" s="11" t="str">
        <f t="shared" si="57"/>
        <v>Médio risco</v>
      </c>
      <c r="V622">
        <v>0</v>
      </c>
      <c r="W622">
        <v>84</v>
      </c>
      <c r="X622" s="2">
        <v>51.75</v>
      </c>
      <c r="Y622">
        <v>15</v>
      </c>
      <c r="Z622" t="s">
        <v>50</v>
      </c>
    </row>
    <row r="623" spans="1:26">
      <c r="A623" t="s">
        <v>1126</v>
      </c>
      <c r="B623" t="s">
        <v>874</v>
      </c>
      <c r="C623" t="s">
        <v>65</v>
      </c>
      <c r="D623" t="s">
        <v>29</v>
      </c>
      <c r="E623">
        <v>27</v>
      </c>
      <c r="F623" t="s">
        <v>66</v>
      </c>
      <c r="G623" t="s">
        <v>96</v>
      </c>
      <c r="H623" t="s">
        <v>32</v>
      </c>
      <c r="I623" t="e">
        <f ca="1">_xludf.XLOOKUP(H623,Base_Planos!$A:$A,Base_Planos!$B:$B,"Não encontrado")</f>
        <v>#NAME?</v>
      </c>
      <c r="J623" s="2">
        <f>VLOOKUP(H623,Base_Planos!$A:$G,4,FALSE)</f>
        <v>39.9</v>
      </c>
      <c r="K623" s="4">
        <v>46051</v>
      </c>
      <c r="L623" t="s">
        <v>148</v>
      </c>
      <c r="M623" t="s">
        <v>34</v>
      </c>
      <c r="N623" s="4">
        <v>46106</v>
      </c>
      <c r="O623" s="10">
        <f t="shared" ca="1" si="58"/>
        <v>55</v>
      </c>
      <c r="P623" s="10" t="str">
        <f t="shared" ca="1" si="55"/>
        <v>31 a 90 dias</v>
      </c>
      <c r="Q623">
        <f t="shared" si="60"/>
        <v>0</v>
      </c>
      <c r="R623">
        <v>3</v>
      </c>
      <c r="S623" s="11">
        <f t="shared" si="59"/>
        <v>0</v>
      </c>
      <c r="T623" s="11" t="str">
        <f t="shared" si="56"/>
        <v>Detrator</v>
      </c>
      <c r="U623" s="11" t="str">
        <f t="shared" si="57"/>
        <v>Alto risco</v>
      </c>
      <c r="V623">
        <v>1</v>
      </c>
      <c r="W623">
        <v>68</v>
      </c>
      <c r="X623" s="2">
        <v>35.32</v>
      </c>
      <c r="Y623">
        <v>1</v>
      </c>
      <c r="Z623" t="s">
        <v>35</v>
      </c>
    </row>
    <row r="624" spans="1:26">
      <c r="A624" t="s">
        <v>1127</v>
      </c>
      <c r="B624" t="s">
        <v>1128</v>
      </c>
      <c r="C624" t="s">
        <v>140</v>
      </c>
      <c r="D624" t="s">
        <v>141</v>
      </c>
      <c r="E624">
        <v>54</v>
      </c>
      <c r="F624" t="s">
        <v>54</v>
      </c>
      <c r="G624" t="s">
        <v>31</v>
      </c>
      <c r="H624" t="s">
        <v>42</v>
      </c>
      <c r="I624" t="e">
        <f ca="1">_xludf.XLOOKUP(H624,Base_Planos!$A:$A,Base_Planos!$B:$B,"Não encontrado")</f>
        <v>#NAME?</v>
      </c>
      <c r="J624" s="2">
        <f>VLOOKUP(H624,Base_Planos!$A:$G,4,FALSE)</f>
        <v>29.9</v>
      </c>
      <c r="K624" s="4">
        <v>45912</v>
      </c>
      <c r="L624" t="s">
        <v>189</v>
      </c>
      <c r="M624" t="s">
        <v>44</v>
      </c>
      <c r="N624" s="4"/>
      <c r="O624" s="10">
        <f t="shared" ca="1" si="58"/>
        <v>257</v>
      </c>
      <c r="P624" s="10" t="str">
        <f t="shared" ca="1" si="55"/>
        <v>181 a 365 dias</v>
      </c>
      <c r="Q624">
        <f t="shared" si="60"/>
        <v>0</v>
      </c>
      <c r="R624">
        <v>1</v>
      </c>
      <c r="S624" s="11">
        <f t="shared" si="59"/>
        <v>0</v>
      </c>
      <c r="T624" s="11" t="str">
        <f t="shared" si="56"/>
        <v>Detrator</v>
      </c>
      <c r="U624" s="11" t="str">
        <f t="shared" si="57"/>
        <v>Alto risco</v>
      </c>
      <c r="V624">
        <v>0</v>
      </c>
      <c r="W624">
        <v>48</v>
      </c>
      <c r="X624" s="2">
        <v>27.94</v>
      </c>
      <c r="Y624">
        <v>8</v>
      </c>
      <c r="Z624" t="s">
        <v>35</v>
      </c>
    </row>
    <row r="625" spans="1:26">
      <c r="A625" t="s">
        <v>1129</v>
      </c>
      <c r="B625" t="s">
        <v>1130</v>
      </c>
      <c r="C625" t="s">
        <v>48</v>
      </c>
      <c r="D625" t="s">
        <v>29</v>
      </c>
      <c r="E625">
        <v>27</v>
      </c>
      <c r="F625" t="s">
        <v>40</v>
      </c>
      <c r="G625" t="s">
        <v>104</v>
      </c>
      <c r="H625" t="s">
        <v>32</v>
      </c>
      <c r="I625" t="e">
        <f ca="1">_xludf.XLOOKUP(H625,Base_Planos!$A:$A,Base_Planos!$B:$B,"Não encontrado")</f>
        <v>#NAME?</v>
      </c>
      <c r="J625" s="2">
        <f>VLOOKUP(H625,Base_Planos!$A:$G,4,FALSE)</f>
        <v>39.9</v>
      </c>
      <c r="K625" s="4">
        <v>45708</v>
      </c>
      <c r="L625" t="s">
        <v>289</v>
      </c>
      <c r="M625" t="s">
        <v>44</v>
      </c>
      <c r="N625" s="4"/>
      <c r="O625" s="10">
        <f t="shared" ca="1" si="58"/>
        <v>461</v>
      </c>
      <c r="P625" s="10" t="str">
        <f t="shared" ca="1" si="55"/>
        <v>Mais de 1 ano</v>
      </c>
      <c r="Q625">
        <f t="shared" si="60"/>
        <v>0</v>
      </c>
      <c r="R625">
        <v>6</v>
      </c>
      <c r="S625" s="11">
        <f t="shared" si="59"/>
        <v>0</v>
      </c>
      <c r="T625" s="11" t="str">
        <f t="shared" si="56"/>
        <v>Detrator</v>
      </c>
      <c r="U625" s="11" t="str">
        <f t="shared" si="57"/>
        <v>Alto risco</v>
      </c>
      <c r="V625">
        <v>3</v>
      </c>
      <c r="W625">
        <v>19</v>
      </c>
      <c r="X625" s="2">
        <v>35.130000000000003</v>
      </c>
      <c r="Y625">
        <v>15</v>
      </c>
      <c r="Z625" t="s">
        <v>45</v>
      </c>
    </row>
    <row r="626" spans="1:26">
      <c r="A626" t="s">
        <v>1131</v>
      </c>
      <c r="B626" t="s">
        <v>1132</v>
      </c>
      <c r="C626" t="s">
        <v>140</v>
      </c>
      <c r="D626" t="s">
        <v>141</v>
      </c>
      <c r="E626">
        <v>42</v>
      </c>
      <c r="F626" t="s">
        <v>54</v>
      </c>
      <c r="G626" t="s">
        <v>104</v>
      </c>
      <c r="H626" t="s">
        <v>42</v>
      </c>
      <c r="I626" t="e">
        <f ca="1">_xludf.XLOOKUP(H626,Base_Planos!$A:$A,Base_Planos!$B:$B,"Não encontrado")</f>
        <v>#NAME?</v>
      </c>
      <c r="J626" s="2">
        <f>VLOOKUP(H626,Base_Planos!$A:$G,4,FALSE)</f>
        <v>29.9</v>
      </c>
      <c r="K626" s="4">
        <v>46078</v>
      </c>
      <c r="L626" t="s">
        <v>74</v>
      </c>
      <c r="M626" t="s">
        <v>44</v>
      </c>
      <c r="N626" s="4"/>
      <c r="O626" s="10">
        <f t="shared" ca="1" si="58"/>
        <v>91</v>
      </c>
      <c r="P626" s="10" t="str">
        <f t="shared" ca="1" si="55"/>
        <v>91 a 180 dias</v>
      </c>
      <c r="Q626">
        <f t="shared" si="60"/>
        <v>1</v>
      </c>
      <c r="R626">
        <v>9</v>
      </c>
      <c r="S626" s="11">
        <f t="shared" si="59"/>
        <v>29.9</v>
      </c>
      <c r="T626" s="11" t="str">
        <f t="shared" si="56"/>
        <v>Promotor</v>
      </c>
      <c r="U626" s="11" t="str">
        <f t="shared" si="57"/>
        <v>Alto risco</v>
      </c>
      <c r="V626">
        <v>1</v>
      </c>
      <c r="W626">
        <v>60</v>
      </c>
      <c r="X626" s="2">
        <v>30.89</v>
      </c>
      <c r="Y626">
        <v>3</v>
      </c>
      <c r="Z626" t="s">
        <v>50</v>
      </c>
    </row>
    <row r="627" spans="1:26">
      <c r="A627" t="s">
        <v>1133</v>
      </c>
      <c r="B627" t="s">
        <v>1050</v>
      </c>
      <c r="C627" t="s">
        <v>53</v>
      </c>
      <c r="D627" t="s">
        <v>29</v>
      </c>
      <c r="E627">
        <v>50</v>
      </c>
      <c r="F627" t="s">
        <v>40</v>
      </c>
      <c r="G627" t="s">
        <v>165</v>
      </c>
      <c r="H627" t="s">
        <v>112</v>
      </c>
      <c r="I627" t="e">
        <f ca="1">_xludf.XLOOKUP(H627,Base_Planos!$A:$A,Base_Planos!$B:$B,"Não encontrado")</f>
        <v>#NAME?</v>
      </c>
      <c r="J627" s="2">
        <f>VLOOKUP(H627,Base_Planos!$A:$G,4,FALSE)</f>
        <v>79.900000000000006</v>
      </c>
      <c r="K627" s="4">
        <v>45778</v>
      </c>
      <c r="L627" t="s">
        <v>97</v>
      </c>
      <c r="M627" t="s">
        <v>44</v>
      </c>
      <c r="N627" s="4"/>
      <c r="O627" s="10">
        <f t="shared" ca="1" si="58"/>
        <v>391</v>
      </c>
      <c r="P627" s="10" t="str">
        <f t="shared" ca="1" si="55"/>
        <v>Mais de 1 ano</v>
      </c>
      <c r="Q627">
        <f t="shared" si="60"/>
        <v>0</v>
      </c>
      <c r="R627">
        <v>6</v>
      </c>
      <c r="S627" s="11">
        <f t="shared" si="59"/>
        <v>0</v>
      </c>
      <c r="T627" s="11" t="str">
        <f t="shared" si="56"/>
        <v>Detrator</v>
      </c>
      <c r="U627" s="11" t="str">
        <f t="shared" si="57"/>
        <v>Alto risco</v>
      </c>
      <c r="V627">
        <v>0</v>
      </c>
      <c r="W627">
        <v>52</v>
      </c>
      <c r="X627" s="2">
        <v>77.319999999999993</v>
      </c>
      <c r="Y627">
        <v>13</v>
      </c>
      <c r="Z627" t="s">
        <v>50</v>
      </c>
    </row>
    <row r="628" spans="1:26">
      <c r="A628" t="s">
        <v>1134</v>
      </c>
      <c r="B628" t="s">
        <v>956</v>
      </c>
      <c r="C628" t="s">
        <v>102</v>
      </c>
      <c r="D628" t="s">
        <v>103</v>
      </c>
      <c r="E628">
        <v>42</v>
      </c>
      <c r="F628" t="s">
        <v>66</v>
      </c>
      <c r="G628" t="s">
        <v>96</v>
      </c>
      <c r="H628" t="s">
        <v>42</v>
      </c>
      <c r="I628" t="e">
        <f ca="1">_xludf.XLOOKUP(H628,Base_Planos!$A:$A,Base_Planos!$B:$B,"Não encontrado")</f>
        <v>#NAME?</v>
      </c>
      <c r="J628" s="2">
        <f>VLOOKUP(H628,Base_Planos!$A:$G,4,FALSE)</f>
        <v>29.9</v>
      </c>
      <c r="K628" s="4">
        <v>45820</v>
      </c>
      <c r="L628" t="s">
        <v>167</v>
      </c>
      <c r="M628" t="s">
        <v>44</v>
      </c>
      <c r="N628" s="4"/>
      <c r="O628" s="10">
        <f t="shared" ca="1" si="58"/>
        <v>349</v>
      </c>
      <c r="P628" s="10" t="str">
        <f t="shared" ca="1" si="55"/>
        <v>181 a 365 dias</v>
      </c>
      <c r="Q628">
        <f t="shared" si="60"/>
        <v>0</v>
      </c>
      <c r="R628">
        <v>4</v>
      </c>
      <c r="S628" s="11">
        <f t="shared" si="59"/>
        <v>0</v>
      </c>
      <c r="T628" s="11" t="str">
        <f t="shared" si="56"/>
        <v>Detrator</v>
      </c>
      <c r="U628" s="11" t="str">
        <f t="shared" si="57"/>
        <v>Alto risco</v>
      </c>
      <c r="V628">
        <v>0</v>
      </c>
      <c r="W628">
        <v>10</v>
      </c>
      <c r="X628" s="2">
        <v>29.21</v>
      </c>
      <c r="Y628">
        <v>11</v>
      </c>
      <c r="Z628" t="s">
        <v>45</v>
      </c>
    </row>
    <row r="629" spans="1:26">
      <c r="A629" t="s">
        <v>1135</v>
      </c>
      <c r="B629" t="s">
        <v>134</v>
      </c>
      <c r="C629" t="s">
        <v>65</v>
      </c>
      <c r="D629" t="s">
        <v>29</v>
      </c>
      <c r="E629">
        <v>42</v>
      </c>
      <c r="F629" t="s">
        <v>66</v>
      </c>
      <c r="G629" t="s">
        <v>31</v>
      </c>
      <c r="H629" t="s">
        <v>42</v>
      </c>
      <c r="I629" t="e">
        <f ca="1">_xludf.XLOOKUP(H629,Base_Planos!$A:$A,Base_Planos!$B:$B,"Não encontrado")</f>
        <v>#NAME?</v>
      </c>
      <c r="J629" s="2">
        <f>VLOOKUP(H629,Base_Planos!$A:$G,4,FALSE)</f>
        <v>29.9</v>
      </c>
      <c r="K629" s="4">
        <v>44997</v>
      </c>
      <c r="L629" t="s">
        <v>68</v>
      </c>
      <c r="M629" t="s">
        <v>44</v>
      </c>
      <c r="N629" s="4"/>
      <c r="O629" s="10">
        <f t="shared" ca="1" si="58"/>
        <v>1172</v>
      </c>
      <c r="P629" s="10" t="str">
        <f t="shared" ca="1" si="55"/>
        <v>Mais de 1 ano</v>
      </c>
      <c r="Q629">
        <f t="shared" si="60"/>
        <v>0</v>
      </c>
      <c r="R629">
        <v>5</v>
      </c>
      <c r="S629" s="11">
        <f t="shared" si="59"/>
        <v>0</v>
      </c>
      <c r="T629" s="11" t="str">
        <f t="shared" si="56"/>
        <v>Detrator</v>
      </c>
      <c r="U629" s="11" t="str">
        <f t="shared" si="57"/>
        <v>Alto risco</v>
      </c>
      <c r="V629">
        <v>1</v>
      </c>
      <c r="W629">
        <v>26</v>
      </c>
      <c r="X629" s="2">
        <v>26.98</v>
      </c>
      <c r="Y629">
        <v>39</v>
      </c>
      <c r="Z629" t="s">
        <v>35</v>
      </c>
    </row>
    <row r="630" spans="1:26">
      <c r="A630" t="s">
        <v>1136</v>
      </c>
      <c r="B630" t="s">
        <v>1137</v>
      </c>
      <c r="C630" t="s">
        <v>140</v>
      </c>
      <c r="D630" t="s">
        <v>141</v>
      </c>
      <c r="E630">
        <v>33</v>
      </c>
      <c r="F630" t="s">
        <v>40</v>
      </c>
      <c r="G630" t="s">
        <v>96</v>
      </c>
      <c r="H630" t="s">
        <v>32</v>
      </c>
      <c r="I630" t="e">
        <f ca="1">_xludf.XLOOKUP(H630,Base_Planos!$A:$A,Base_Planos!$B:$B,"Não encontrado")</f>
        <v>#NAME?</v>
      </c>
      <c r="J630" s="2">
        <f>VLOOKUP(H630,Base_Planos!$A:$G,4,FALSE)</f>
        <v>39.9</v>
      </c>
      <c r="K630" s="4">
        <v>45116</v>
      </c>
      <c r="L630" t="s">
        <v>33</v>
      </c>
      <c r="M630" t="s">
        <v>44</v>
      </c>
      <c r="N630" s="4"/>
      <c r="O630" s="10">
        <f t="shared" ca="1" si="58"/>
        <v>1053</v>
      </c>
      <c r="P630" s="10" t="str">
        <f t="shared" ca="1" si="55"/>
        <v>Mais de 1 ano</v>
      </c>
      <c r="Q630">
        <f t="shared" si="60"/>
        <v>0</v>
      </c>
      <c r="R630">
        <v>10</v>
      </c>
      <c r="S630" s="11">
        <f t="shared" si="59"/>
        <v>0</v>
      </c>
      <c r="T630" s="11" t="str">
        <f t="shared" si="56"/>
        <v>Promotor</v>
      </c>
      <c r="U630" s="11" t="str">
        <f t="shared" si="57"/>
        <v>Baixo risco</v>
      </c>
      <c r="V630">
        <v>1</v>
      </c>
      <c r="W630">
        <v>30</v>
      </c>
      <c r="X630" s="2">
        <v>34.56</v>
      </c>
      <c r="Y630">
        <v>35</v>
      </c>
      <c r="Z630" t="s">
        <v>50</v>
      </c>
    </row>
    <row r="631" spans="1:26">
      <c r="A631" t="s">
        <v>1138</v>
      </c>
      <c r="B631" t="s">
        <v>214</v>
      </c>
      <c r="C631" t="s">
        <v>71</v>
      </c>
      <c r="D631" t="s">
        <v>72</v>
      </c>
      <c r="E631">
        <v>28</v>
      </c>
      <c r="F631" t="s">
        <v>66</v>
      </c>
      <c r="G631" t="s">
        <v>73</v>
      </c>
      <c r="H631" t="s">
        <v>61</v>
      </c>
      <c r="I631" t="e">
        <f ca="1">_xludf.XLOOKUP(H631,Base_Planos!$A:$A,Base_Planos!$B:$B,"Não encontrado")</f>
        <v>#NAME?</v>
      </c>
      <c r="J631" s="2">
        <f>VLOOKUP(H631,Base_Planos!$A:$G,4,FALSE)</f>
        <v>59.9</v>
      </c>
      <c r="K631" s="4">
        <v>45952</v>
      </c>
      <c r="L631" t="s">
        <v>196</v>
      </c>
      <c r="M631" t="s">
        <v>44</v>
      </c>
      <c r="N631" s="4"/>
      <c r="O631" s="10">
        <f t="shared" ca="1" si="58"/>
        <v>217</v>
      </c>
      <c r="P631" s="10" t="str">
        <f t="shared" ca="1" si="55"/>
        <v>181 a 365 dias</v>
      </c>
      <c r="Q631">
        <f t="shared" si="60"/>
        <v>0</v>
      </c>
      <c r="R631">
        <v>8</v>
      </c>
      <c r="S631" s="11">
        <f t="shared" si="59"/>
        <v>0</v>
      </c>
      <c r="T631" s="11" t="str">
        <f t="shared" si="56"/>
        <v>Neutro</v>
      </c>
      <c r="U631" s="11" t="str">
        <f t="shared" si="57"/>
        <v>Médio risco</v>
      </c>
      <c r="V631">
        <v>0</v>
      </c>
      <c r="W631">
        <v>33</v>
      </c>
      <c r="X631" s="2">
        <v>61.41</v>
      </c>
      <c r="Y631">
        <v>7</v>
      </c>
      <c r="Z631" t="s">
        <v>50</v>
      </c>
    </row>
    <row r="632" spans="1:26">
      <c r="A632" t="s">
        <v>1139</v>
      </c>
      <c r="B632" t="s">
        <v>242</v>
      </c>
      <c r="C632" t="s">
        <v>102</v>
      </c>
      <c r="D632" t="s">
        <v>103</v>
      </c>
      <c r="E632">
        <v>58</v>
      </c>
      <c r="F632" t="s">
        <v>54</v>
      </c>
      <c r="G632" t="s">
        <v>165</v>
      </c>
      <c r="H632" t="s">
        <v>82</v>
      </c>
      <c r="I632" t="e">
        <f ca="1">_xludf.XLOOKUP(H632,Base_Planos!$A:$A,Base_Planos!$B:$B,"Não encontrado")</f>
        <v>#NAME?</v>
      </c>
      <c r="J632" s="2">
        <f>VLOOKUP(H632,Base_Planos!$A:$G,4,FALSE)</f>
        <v>149.9</v>
      </c>
      <c r="K632" s="4">
        <v>45477</v>
      </c>
      <c r="L632" t="s">
        <v>142</v>
      </c>
      <c r="M632" t="s">
        <v>44</v>
      </c>
      <c r="N632" s="4"/>
      <c r="O632" s="10">
        <f t="shared" ca="1" si="58"/>
        <v>692</v>
      </c>
      <c r="P632" s="10" t="str">
        <f t="shared" ca="1" si="55"/>
        <v>Mais de 1 ano</v>
      </c>
      <c r="Q632">
        <f t="shared" si="60"/>
        <v>0</v>
      </c>
      <c r="R632">
        <v>3</v>
      </c>
      <c r="S632" s="11">
        <f t="shared" si="59"/>
        <v>0</v>
      </c>
      <c r="T632" s="11" t="str">
        <f t="shared" si="56"/>
        <v>Detrator</v>
      </c>
      <c r="U632" s="11" t="str">
        <f t="shared" si="57"/>
        <v>Alto risco</v>
      </c>
      <c r="V632">
        <v>0</v>
      </c>
      <c r="W632">
        <v>44</v>
      </c>
      <c r="X632" s="2">
        <v>151.88999999999999</v>
      </c>
      <c r="Y632">
        <v>23</v>
      </c>
      <c r="Z632" t="s">
        <v>45</v>
      </c>
    </row>
    <row r="633" spans="1:26">
      <c r="A633" t="s">
        <v>1140</v>
      </c>
      <c r="B633" t="s">
        <v>927</v>
      </c>
      <c r="C633" t="s">
        <v>102</v>
      </c>
      <c r="D633" t="s">
        <v>103</v>
      </c>
      <c r="E633">
        <v>62</v>
      </c>
      <c r="F633" t="s">
        <v>54</v>
      </c>
      <c r="G633" t="s">
        <v>41</v>
      </c>
      <c r="H633" t="s">
        <v>61</v>
      </c>
      <c r="I633" t="e">
        <f ca="1">_xludf.XLOOKUP(H633,Base_Planos!$A:$A,Base_Planos!$B:$B,"Não encontrado")</f>
        <v>#NAME?</v>
      </c>
      <c r="J633" s="2">
        <f>VLOOKUP(H633,Base_Planos!$A:$G,4,FALSE)</f>
        <v>59.9</v>
      </c>
      <c r="K633" s="4">
        <v>45809</v>
      </c>
      <c r="L633" t="s">
        <v>167</v>
      </c>
      <c r="M633" t="s">
        <v>44</v>
      </c>
      <c r="N633" s="4"/>
      <c r="O633" s="10">
        <f t="shared" ca="1" si="58"/>
        <v>360</v>
      </c>
      <c r="P633" s="10" t="str">
        <f t="shared" ca="1" si="55"/>
        <v>181 a 365 dias</v>
      </c>
      <c r="Q633">
        <f t="shared" si="60"/>
        <v>0</v>
      </c>
      <c r="R633">
        <v>2</v>
      </c>
      <c r="S633" s="11">
        <f t="shared" si="59"/>
        <v>0</v>
      </c>
      <c r="T633" s="11" t="str">
        <f t="shared" si="56"/>
        <v>Detrator</v>
      </c>
      <c r="U633" s="11" t="str">
        <f t="shared" si="57"/>
        <v>Alto risco</v>
      </c>
      <c r="V633">
        <v>0</v>
      </c>
      <c r="W633">
        <v>73</v>
      </c>
      <c r="X633" s="2">
        <v>56.94</v>
      </c>
      <c r="Y633">
        <v>12</v>
      </c>
      <c r="Z633" t="s">
        <v>35</v>
      </c>
    </row>
    <row r="634" spans="1:26">
      <c r="A634" t="s">
        <v>1141</v>
      </c>
      <c r="B634" t="s">
        <v>1142</v>
      </c>
      <c r="C634" t="s">
        <v>90</v>
      </c>
      <c r="D634" t="s">
        <v>29</v>
      </c>
      <c r="E634">
        <v>31</v>
      </c>
      <c r="F634" t="s">
        <v>30</v>
      </c>
      <c r="G634" t="s">
        <v>67</v>
      </c>
      <c r="H634" t="s">
        <v>82</v>
      </c>
      <c r="I634" t="e">
        <f ca="1">_xludf.XLOOKUP(H634,Base_Planos!$A:$A,Base_Planos!$B:$B,"Não encontrado")</f>
        <v>#NAME?</v>
      </c>
      <c r="J634" s="2">
        <f>VLOOKUP(H634,Base_Planos!$A:$G,4,FALSE)</f>
        <v>149.9</v>
      </c>
      <c r="K634" s="4">
        <v>45319</v>
      </c>
      <c r="L634" t="s">
        <v>516</v>
      </c>
      <c r="M634" t="s">
        <v>44</v>
      </c>
      <c r="N634" s="4"/>
      <c r="O634" s="10">
        <f t="shared" ca="1" si="58"/>
        <v>850</v>
      </c>
      <c r="P634" s="10" t="str">
        <f t="shared" ca="1" si="55"/>
        <v>Mais de 1 ano</v>
      </c>
      <c r="Q634">
        <f t="shared" si="60"/>
        <v>0</v>
      </c>
      <c r="R634">
        <v>4</v>
      </c>
      <c r="S634" s="11">
        <f t="shared" si="59"/>
        <v>0</v>
      </c>
      <c r="T634" s="11" t="str">
        <f t="shared" si="56"/>
        <v>Detrator</v>
      </c>
      <c r="U634" s="11" t="str">
        <f t="shared" si="57"/>
        <v>Alto risco</v>
      </c>
      <c r="V634">
        <v>0</v>
      </c>
      <c r="W634">
        <v>50</v>
      </c>
      <c r="X634" s="2">
        <v>130.69</v>
      </c>
      <c r="Y634">
        <v>28</v>
      </c>
      <c r="Z634" t="s">
        <v>45</v>
      </c>
    </row>
    <row r="635" spans="1:26">
      <c r="A635" t="s">
        <v>1143</v>
      </c>
      <c r="B635" t="s">
        <v>1144</v>
      </c>
      <c r="C635" t="s">
        <v>102</v>
      </c>
      <c r="D635" t="s">
        <v>103</v>
      </c>
      <c r="E635">
        <v>36</v>
      </c>
      <c r="F635" t="s">
        <v>30</v>
      </c>
      <c r="G635" t="s">
        <v>55</v>
      </c>
      <c r="H635" t="s">
        <v>42</v>
      </c>
      <c r="I635" t="e">
        <f ca="1">_xludf.XLOOKUP(H635,Base_Planos!$A:$A,Base_Planos!$B:$B,"Não encontrado")</f>
        <v>#NAME?</v>
      </c>
      <c r="J635" s="2">
        <f>VLOOKUP(H635,Base_Planos!$A:$G,4,FALSE)</f>
        <v>29.9</v>
      </c>
      <c r="K635" s="4">
        <v>45627</v>
      </c>
      <c r="L635" t="s">
        <v>49</v>
      </c>
      <c r="M635" t="s">
        <v>34</v>
      </c>
      <c r="N635" s="4">
        <v>45719</v>
      </c>
      <c r="O635" s="10">
        <f t="shared" ca="1" si="58"/>
        <v>92</v>
      </c>
      <c r="P635" s="10" t="str">
        <f t="shared" ca="1" si="55"/>
        <v>91 a 180 dias</v>
      </c>
      <c r="Q635">
        <f t="shared" si="60"/>
        <v>1</v>
      </c>
      <c r="R635">
        <v>0</v>
      </c>
      <c r="S635" s="11">
        <f t="shared" si="59"/>
        <v>29.9</v>
      </c>
      <c r="T635" s="11" t="str">
        <f t="shared" si="56"/>
        <v>Detrator</v>
      </c>
      <c r="U635" s="11" t="str">
        <f t="shared" si="57"/>
        <v>Alto risco</v>
      </c>
      <c r="V635">
        <v>1</v>
      </c>
      <c r="W635">
        <v>40</v>
      </c>
      <c r="X635" s="2">
        <v>31.13</v>
      </c>
      <c r="Y635">
        <v>3</v>
      </c>
      <c r="Z635" t="s">
        <v>35</v>
      </c>
    </row>
    <row r="636" spans="1:26">
      <c r="A636" t="s">
        <v>1145</v>
      </c>
      <c r="B636" t="s">
        <v>1146</v>
      </c>
      <c r="C636" t="s">
        <v>48</v>
      </c>
      <c r="D636" t="s">
        <v>29</v>
      </c>
      <c r="E636">
        <v>20</v>
      </c>
      <c r="F636" t="s">
        <v>30</v>
      </c>
      <c r="G636" t="s">
        <v>67</v>
      </c>
      <c r="H636" t="s">
        <v>112</v>
      </c>
      <c r="I636" t="e">
        <f ca="1">_xludf.XLOOKUP(H636,Base_Planos!$A:$A,Base_Planos!$B:$B,"Não encontrado")</f>
        <v>#NAME?</v>
      </c>
      <c r="J636" s="2">
        <f>VLOOKUP(H636,Base_Planos!$A:$G,4,FALSE)</f>
        <v>79.900000000000006</v>
      </c>
      <c r="K636" s="4">
        <v>45992</v>
      </c>
      <c r="L636" t="s">
        <v>170</v>
      </c>
      <c r="M636" t="s">
        <v>34</v>
      </c>
      <c r="N636" s="4">
        <v>46116</v>
      </c>
      <c r="O636" s="10">
        <f t="shared" ca="1" si="58"/>
        <v>124</v>
      </c>
      <c r="P636" s="10" t="str">
        <f t="shared" ca="1" si="55"/>
        <v>91 a 180 dias</v>
      </c>
      <c r="Q636">
        <f t="shared" si="60"/>
        <v>0</v>
      </c>
      <c r="R636">
        <v>4</v>
      </c>
      <c r="S636" s="11">
        <f t="shared" si="59"/>
        <v>0</v>
      </c>
      <c r="T636" s="11" t="str">
        <f t="shared" si="56"/>
        <v>Detrator</v>
      </c>
      <c r="U636" s="11" t="str">
        <f t="shared" si="57"/>
        <v>Alto risco</v>
      </c>
      <c r="V636">
        <v>0</v>
      </c>
      <c r="W636">
        <v>43</v>
      </c>
      <c r="X636" s="2">
        <v>73.400000000000006</v>
      </c>
      <c r="Y636">
        <v>4</v>
      </c>
      <c r="Z636" t="s">
        <v>45</v>
      </c>
    </row>
    <row r="637" spans="1:26">
      <c r="A637" t="s">
        <v>1147</v>
      </c>
      <c r="B637" t="s">
        <v>413</v>
      </c>
      <c r="C637" t="s">
        <v>108</v>
      </c>
      <c r="D637" t="s">
        <v>109</v>
      </c>
      <c r="E637">
        <v>60</v>
      </c>
      <c r="F637" t="s">
        <v>54</v>
      </c>
      <c r="G637" t="s">
        <v>67</v>
      </c>
      <c r="H637" t="s">
        <v>166</v>
      </c>
      <c r="I637" t="e">
        <f ca="1">_xludf.XLOOKUP(H637,Base_Planos!$A:$A,Base_Planos!$B:$B,"Não encontrado")</f>
        <v>#NAME?</v>
      </c>
      <c r="J637" s="2">
        <f>VLOOKUP(H637,Base_Planos!$A:$G,4,FALSE)</f>
        <v>399.9</v>
      </c>
      <c r="K637" s="4">
        <v>45603</v>
      </c>
      <c r="L637" t="s">
        <v>83</v>
      </c>
      <c r="M637" t="s">
        <v>44</v>
      </c>
      <c r="N637" s="4"/>
      <c r="O637" s="10">
        <f t="shared" ca="1" si="58"/>
        <v>566</v>
      </c>
      <c r="P637" s="10" t="str">
        <f t="shared" ca="1" si="55"/>
        <v>Mais de 1 ano</v>
      </c>
      <c r="Q637">
        <f t="shared" si="60"/>
        <v>1</v>
      </c>
      <c r="R637">
        <v>1</v>
      </c>
      <c r="S637" s="11">
        <f t="shared" si="59"/>
        <v>399.9</v>
      </c>
      <c r="T637" s="11" t="str">
        <f t="shared" si="56"/>
        <v>Detrator</v>
      </c>
      <c r="U637" s="11" t="str">
        <f t="shared" si="57"/>
        <v>Alto risco</v>
      </c>
      <c r="V637">
        <v>0</v>
      </c>
      <c r="W637">
        <v>58</v>
      </c>
      <c r="X637" s="2">
        <v>413.9</v>
      </c>
      <c r="Y637">
        <v>18</v>
      </c>
      <c r="Z637" t="s">
        <v>45</v>
      </c>
    </row>
    <row r="638" spans="1:26">
      <c r="A638" t="s">
        <v>1148</v>
      </c>
      <c r="B638" t="s">
        <v>327</v>
      </c>
      <c r="C638" t="s">
        <v>102</v>
      </c>
      <c r="D638" t="s">
        <v>103</v>
      </c>
      <c r="E638">
        <v>51</v>
      </c>
      <c r="F638" t="s">
        <v>30</v>
      </c>
      <c r="G638" t="s">
        <v>31</v>
      </c>
      <c r="H638" t="s">
        <v>112</v>
      </c>
      <c r="I638" t="e">
        <f ca="1">_xludf.XLOOKUP(H638,Base_Planos!$A:$A,Base_Planos!$B:$B,"Não encontrado")</f>
        <v>#NAME?</v>
      </c>
      <c r="J638" s="2">
        <f>VLOOKUP(H638,Base_Planos!$A:$G,4,FALSE)</f>
        <v>79.900000000000006</v>
      </c>
      <c r="K638" s="4">
        <v>45900</v>
      </c>
      <c r="L638" t="s">
        <v>159</v>
      </c>
      <c r="M638" t="s">
        <v>44</v>
      </c>
      <c r="N638" s="4"/>
      <c r="O638" s="10">
        <f t="shared" ca="1" si="58"/>
        <v>269</v>
      </c>
      <c r="P638" s="10" t="str">
        <f t="shared" ca="1" si="55"/>
        <v>181 a 365 dias</v>
      </c>
      <c r="Q638">
        <f t="shared" si="60"/>
        <v>0</v>
      </c>
      <c r="R638">
        <v>8</v>
      </c>
      <c r="S638" s="11">
        <f t="shared" si="59"/>
        <v>0</v>
      </c>
      <c r="T638" s="11" t="str">
        <f t="shared" si="56"/>
        <v>Neutro</v>
      </c>
      <c r="U638" s="11" t="str">
        <f t="shared" si="57"/>
        <v>Médio risco</v>
      </c>
      <c r="V638">
        <v>4</v>
      </c>
      <c r="W638">
        <v>66</v>
      </c>
      <c r="X638" s="2">
        <v>80.900000000000006</v>
      </c>
      <c r="Y638">
        <v>8</v>
      </c>
      <c r="Z638" t="s">
        <v>50</v>
      </c>
    </row>
    <row r="639" spans="1:26">
      <c r="A639" t="s">
        <v>1149</v>
      </c>
      <c r="B639" t="s">
        <v>1150</v>
      </c>
      <c r="C639" t="s">
        <v>53</v>
      </c>
      <c r="D639" t="s">
        <v>29</v>
      </c>
      <c r="E639">
        <v>20</v>
      </c>
      <c r="F639" t="s">
        <v>201</v>
      </c>
      <c r="G639" t="s">
        <v>165</v>
      </c>
      <c r="H639" t="s">
        <v>61</v>
      </c>
      <c r="I639" t="e">
        <f ca="1">_xludf.XLOOKUP(H639,Base_Planos!$A:$A,Base_Planos!$B:$B,"Não encontrado")</f>
        <v>#NAME?</v>
      </c>
      <c r="J639" s="2">
        <f>VLOOKUP(H639,Base_Planos!$A:$G,4,FALSE)</f>
        <v>59.9</v>
      </c>
      <c r="K639" s="4">
        <v>45405</v>
      </c>
      <c r="L639" t="s">
        <v>56</v>
      </c>
      <c r="M639" t="s">
        <v>44</v>
      </c>
      <c r="N639" s="4"/>
      <c r="O639" s="10">
        <f t="shared" ca="1" si="58"/>
        <v>764</v>
      </c>
      <c r="P639" s="10" t="str">
        <f t="shared" ca="1" si="55"/>
        <v>Mais de 1 ano</v>
      </c>
      <c r="Q639">
        <f t="shared" si="60"/>
        <v>0</v>
      </c>
      <c r="R639">
        <v>9</v>
      </c>
      <c r="S639" s="11">
        <f t="shared" si="59"/>
        <v>0</v>
      </c>
      <c r="T639" s="11" t="str">
        <f t="shared" si="56"/>
        <v>Promotor</v>
      </c>
      <c r="U639" s="11" t="str">
        <f t="shared" si="57"/>
        <v>Baixo risco</v>
      </c>
      <c r="V639">
        <v>1</v>
      </c>
      <c r="W639">
        <v>61</v>
      </c>
      <c r="X639" s="2">
        <v>62.17</v>
      </c>
      <c r="Y639">
        <v>25</v>
      </c>
      <c r="Z639" t="s">
        <v>50</v>
      </c>
    </row>
    <row r="640" spans="1:26">
      <c r="A640" t="s">
        <v>1151</v>
      </c>
      <c r="B640" t="s">
        <v>1152</v>
      </c>
      <c r="C640" t="s">
        <v>65</v>
      </c>
      <c r="D640" t="s">
        <v>29</v>
      </c>
      <c r="E640">
        <v>62</v>
      </c>
      <c r="F640" t="s">
        <v>66</v>
      </c>
      <c r="G640" t="s">
        <v>41</v>
      </c>
      <c r="H640" t="s">
        <v>42</v>
      </c>
      <c r="I640" t="e">
        <f ca="1">_xludf.XLOOKUP(H640,Base_Planos!$A:$A,Base_Planos!$B:$B,"Não encontrado")</f>
        <v>#NAME?</v>
      </c>
      <c r="J640" s="2">
        <f>VLOOKUP(H640,Base_Planos!$A:$G,4,FALSE)</f>
        <v>29.9</v>
      </c>
      <c r="K640" s="4">
        <v>45326</v>
      </c>
      <c r="L640" t="s">
        <v>297</v>
      </c>
      <c r="M640" t="s">
        <v>44</v>
      </c>
      <c r="N640" s="4"/>
      <c r="O640" s="10">
        <f t="shared" ca="1" si="58"/>
        <v>843</v>
      </c>
      <c r="P640" s="10" t="str">
        <f t="shared" ca="1" si="55"/>
        <v>Mais de 1 ano</v>
      </c>
      <c r="Q640">
        <f t="shared" si="60"/>
        <v>0</v>
      </c>
      <c r="R640">
        <v>2</v>
      </c>
      <c r="S640" s="11">
        <f t="shared" si="59"/>
        <v>0</v>
      </c>
      <c r="T640" s="11" t="str">
        <f t="shared" si="56"/>
        <v>Detrator</v>
      </c>
      <c r="U640" s="11" t="str">
        <f t="shared" si="57"/>
        <v>Alto risco</v>
      </c>
      <c r="V640">
        <v>1</v>
      </c>
      <c r="W640">
        <v>15</v>
      </c>
      <c r="X640" s="2">
        <v>25.6</v>
      </c>
      <c r="Y640">
        <v>28</v>
      </c>
      <c r="Z640" t="s">
        <v>45</v>
      </c>
    </row>
    <row r="641" spans="1:26">
      <c r="A641" t="s">
        <v>1153</v>
      </c>
      <c r="B641" t="s">
        <v>843</v>
      </c>
      <c r="C641" t="s">
        <v>140</v>
      </c>
      <c r="D641" t="s">
        <v>141</v>
      </c>
      <c r="E641">
        <v>61</v>
      </c>
      <c r="F641" t="s">
        <v>201</v>
      </c>
      <c r="G641" t="s">
        <v>104</v>
      </c>
      <c r="H641" t="s">
        <v>32</v>
      </c>
      <c r="I641" t="e">
        <f ca="1">_xludf.XLOOKUP(H641,Base_Planos!$A:$A,Base_Planos!$B:$B,"Não encontrado")</f>
        <v>#NAME?</v>
      </c>
      <c r="J641" s="2">
        <f>VLOOKUP(H641,Base_Planos!$A:$G,4,FALSE)</f>
        <v>39.9</v>
      </c>
      <c r="K641" s="4">
        <v>45840</v>
      </c>
      <c r="L641" t="s">
        <v>212</v>
      </c>
      <c r="M641" t="s">
        <v>34</v>
      </c>
      <c r="N641" s="4">
        <v>45915</v>
      </c>
      <c r="O641" s="10">
        <f t="shared" ca="1" si="58"/>
        <v>75</v>
      </c>
      <c r="P641" s="10" t="str">
        <f t="shared" ca="1" si="55"/>
        <v>31 a 90 dias</v>
      </c>
      <c r="Q641">
        <f t="shared" si="60"/>
        <v>0</v>
      </c>
      <c r="R641">
        <v>1</v>
      </c>
      <c r="S641" s="11">
        <f t="shared" si="59"/>
        <v>0</v>
      </c>
      <c r="T641" s="11" t="str">
        <f t="shared" si="56"/>
        <v>Detrator</v>
      </c>
      <c r="U641" s="11" t="str">
        <f t="shared" si="57"/>
        <v>Alto risco</v>
      </c>
      <c r="V641">
        <v>0</v>
      </c>
      <c r="W641">
        <v>60</v>
      </c>
      <c r="X641" s="2">
        <v>41.84</v>
      </c>
      <c r="Y641">
        <v>2</v>
      </c>
      <c r="Z641" t="s">
        <v>35</v>
      </c>
    </row>
    <row r="642" spans="1:26">
      <c r="A642" t="s">
        <v>1154</v>
      </c>
      <c r="B642" t="s">
        <v>136</v>
      </c>
      <c r="C642" t="s">
        <v>108</v>
      </c>
      <c r="D642" t="s">
        <v>109</v>
      </c>
      <c r="E642">
        <v>42</v>
      </c>
      <c r="F642" t="s">
        <v>40</v>
      </c>
      <c r="G642" t="s">
        <v>31</v>
      </c>
      <c r="H642" t="s">
        <v>82</v>
      </c>
      <c r="I642" t="e">
        <f ca="1">_xludf.XLOOKUP(H642,Base_Planos!$A:$A,Base_Planos!$B:$B,"Não encontrado")</f>
        <v>#NAME?</v>
      </c>
      <c r="J642" s="2">
        <f>VLOOKUP(H642,Base_Planos!$A:$G,4,FALSE)</f>
        <v>149.9</v>
      </c>
      <c r="K642" s="4">
        <v>45902</v>
      </c>
      <c r="L642" t="s">
        <v>189</v>
      </c>
      <c r="M642" t="s">
        <v>44</v>
      </c>
      <c r="N642" s="4"/>
      <c r="O642" s="10">
        <f t="shared" ca="1" si="58"/>
        <v>267</v>
      </c>
      <c r="P642" s="10" t="str">
        <f t="shared" ref="P642:P705" ca="1" si="61">IF(O642&lt;=30,"Até 30 dias",IF(O642&lt;=90,"31 a 90 dias",IF(O642&lt;=180,"91 a 180 dias",IF(O642&lt;=365,"181 a 365 dias","Mais de 1 ano"))))</f>
        <v>181 a 365 dias</v>
      </c>
      <c r="Q642">
        <f t="shared" si="60"/>
        <v>0</v>
      </c>
      <c r="R642">
        <v>10</v>
      </c>
      <c r="S642" s="11">
        <f t="shared" si="59"/>
        <v>0</v>
      </c>
      <c r="T642" s="11" t="str">
        <f t="shared" ref="T642:T705" si="62">IF(R642&lt;=6,"Detrator",IF(R642&lt;=8,"Neutro","Promotor"))</f>
        <v>Promotor</v>
      </c>
      <c r="U642" s="11" t="str">
        <f t="shared" ref="U642:U705" si="63">IF(Q642=1,"Alto risco",IF(R642&lt;=6,"Alto risco",IF(R642&lt;=8,"Médio risco","Baixo risco")))</f>
        <v>Baixo risco</v>
      </c>
      <c r="V642">
        <v>0</v>
      </c>
      <c r="W642">
        <v>67</v>
      </c>
      <c r="X642" s="2">
        <v>130.13</v>
      </c>
      <c r="Y642">
        <v>8</v>
      </c>
      <c r="Z642" t="s">
        <v>50</v>
      </c>
    </row>
    <row r="643" spans="1:26">
      <c r="A643" t="s">
        <v>1155</v>
      </c>
      <c r="B643" t="s">
        <v>360</v>
      </c>
      <c r="C643" t="s">
        <v>53</v>
      </c>
      <c r="D643" t="s">
        <v>29</v>
      </c>
      <c r="E643">
        <v>32</v>
      </c>
      <c r="F643" t="s">
        <v>66</v>
      </c>
      <c r="G643" t="s">
        <v>55</v>
      </c>
      <c r="H643" t="s">
        <v>61</v>
      </c>
      <c r="I643" t="e">
        <f ca="1">_xludf.XLOOKUP(H643,Base_Planos!$A:$A,Base_Planos!$B:$B,"Não encontrado")</f>
        <v>#NAME?</v>
      </c>
      <c r="J643" s="2">
        <f>VLOOKUP(H643,Base_Planos!$A:$G,4,FALSE)</f>
        <v>59.9</v>
      </c>
      <c r="K643" s="4">
        <v>45699</v>
      </c>
      <c r="L643" t="s">
        <v>289</v>
      </c>
      <c r="M643" t="s">
        <v>44</v>
      </c>
      <c r="N643" s="4"/>
      <c r="O643" s="10">
        <f t="shared" ref="O643:O706" ca="1" si="64">IF(M643="Cancelado",N643-K643,TODAY()-K643)</f>
        <v>470</v>
      </c>
      <c r="P643" s="10" t="str">
        <f t="shared" ca="1" si="61"/>
        <v>Mais de 1 ano</v>
      </c>
      <c r="Q643">
        <f t="shared" si="60"/>
        <v>0</v>
      </c>
      <c r="R643">
        <v>6</v>
      </c>
      <c r="S643" s="11">
        <f t="shared" ref="S643:S706" si="65">IF(Q643=1,J643,0)</f>
        <v>0</v>
      </c>
      <c r="T643" s="11" t="str">
        <f t="shared" si="62"/>
        <v>Detrator</v>
      </c>
      <c r="U643" s="11" t="str">
        <f t="shared" si="63"/>
        <v>Alto risco</v>
      </c>
      <c r="V643">
        <v>3</v>
      </c>
      <c r="W643">
        <v>16</v>
      </c>
      <c r="X643" s="2">
        <v>53.71</v>
      </c>
      <c r="Y643">
        <v>15</v>
      </c>
      <c r="Z643" t="s">
        <v>45</v>
      </c>
    </row>
    <row r="644" spans="1:26">
      <c r="A644" t="s">
        <v>1156</v>
      </c>
      <c r="B644" t="s">
        <v>447</v>
      </c>
      <c r="C644" t="s">
        <v>140</v>
      </c>
      <c r="D644" t="s">
        <v>141</v>
      </c>
      <c r="E644">
        <v>23</v>
      </c>
      <c r="F644" t="s">
        <v>30</v>
      </c>
      <c r="G644" t="s">
        <v>165</v>
      </c>
      <c r="H644" t="s">
        <v>82</v>
      </c>
      <c r="I644" t="e">
        <f ca="1">_xludf.XLOOKUP(H644,Base_Planos!$A:$A,Base_Planos!$B:$B,"Não encontrado")</f>
        <v>#NAME?</v>
      </c>
      <c r="J644" s="2">
        <f>VLOOKUP(H644,Base_Planos!$A:$G,4,FALSE)</f>
        <v>149.9</v>
      </c>
      <c r="K644" s="4">
        <v>45312</v>
      </c>
      <c r="L644" t="s">
        <v>516</v>
      </c>
      <c r="M644" t="s">
        <v>44</v>
      </c>
      <c r="N644" s="4"/>
      <c r="O644" s="10">
        <f t="shared" ca="1" si="64"/>
        <v>857</v>
      </c>
      <c r="P644" s="10" t="str">
        <f t="shared" ca="1" si="61"/>
        <v>Mais de 1 ano</v>
      </c>
      <c r="Q644">
        <f t="shared" si="60"/>
        <v>1</v>
      </c>
      <c r="R644">
        <v>1</v>
      </c>
      <c r="S644" s="11">
        <f t="shared" si="65"/>
        <v>149.9</v>
      </c>
      <c r="T644" s="11" t="str">
        <f t="shared" si="62"/>
        <v>Detrator</v>
      </c>
      <c r="U644" s="11" t="str">
        <f t="shared" si="63"/>
        <v>Alto risco</v>
      </c>
      <c r="V644">
        <v>0</v>
      </c>
      <c r="W644">
        <v>50</v>
      </c>
      <c r="X644" s="2">
        <v>149.51</v>
      </c>
      <c r="Y644">
        <v>28</v>
      </c>
      <c r="Z644" t="s">
        <v>35</v>
      </c>
    </row>
    <row r="645" spans="1:26">
      <c r="A645" t="s">
        <v>1157</v>
      </c>
      <c r="B645" t="s">
        <v>465</v>
      </c>
      <c r="C645" t="s">
        <v>90</v>
      </c>
      <c r="D645" t="s">
        <v>29</v>
      </c>
      <c r="E645">
        <v>52</v>
      </c>
      <c r="F645" t="s">
        <v>30</v>
      </c>
      <c r="G645" t="s">
        <v>41</v>
      </c>
      <c r="H645" t="s">
        <v>166</v>
      </c>
      <c r="I645" t="e">
        <f ca="1">_xludf.XLOOKUP(H645,Base_Planos!$A:$A,Base_Planos!$B:$B,"Não encontrado")</f>
        <v>#NAME?</v>
      </c>
      <c r="J645" s="2">
        <f>VLOOKUP(H645,Base_Planos!$A:$G,4,FALSE)</f>
        <v>399.9</v>
      </c>
      <c r="K645" s="4">
        <v>45581</v>
      </c>
      <c r="L645" t="s">
        <v>123</v>
      </c>
      <c r="M645" t="s">
        <v>44</v>
      </c>
      <c r="N645" s="4"/>
      <c r="O645" s="10">
        <f t="shared" ca="1" si="64"/>
        <v>588</v>
      </c>
      <c r="P645" s="10" t="str">
        <f t="shared" ca="1" si="61"/>
        <v>Mais de 1 ano</v>
      </c>
      <c r="Q645">
        <f t="shared" si="60"/>
        <v>1</v>
      </c>
      <c r="R645">
        <v>5</v>
      </c>
      <c r="S645" s="11">
        <f t="shared" si="65"/>
        <v>399.9</v>
      </c>
      <c r="T645" s="11" t="str">
        <f t="shared" si="62"/>
        <v>Detrator</v>
      </c>
      <c r="U645" s="11" t="str">
        <f t="shared" si="63"/>
        <v>Alto risco</v>
      </c>
      <c r="V645">
        <v>0</v>
      </c>
      <c r="W645">
        <v>0</v>
      </c>
      <c r="X645" s="2">
        <v>387.17</v>
      </c>
      <c r="Y645">
        <v>19</v>
      </c>
      <c r="Z645" t="s">
        <v>35</v>
      </c>
    </row>
    <row r="646" spans="1:26">
      <c r="A646" t="s">
        <v>1158</v>
      </c>
      <c r="B646" t="s">
        <v>646</v>
      </c>
      <c r="C646" t="s">
        <v>28</v>
      </c>
      <c r="D646" t="s">
        <v>29</v>
      </c>
      <c r="E646">
        <v>52</v>
      </c>
      <c r="F646" t="s">
        <v>66</v>
      </c>
      <c r="G646" t="s">
        <v>165</v>
      </c>
      <c r="H646" t="s">
        <v>32</v>
      </c>
      <c r="I646" t="e">
        <f ca="1">_xludf.XLOOKUP(H646,Base_Planos!$A:$A,Base_Planos!$B:$B,"Não encontrado")</f>
        <v>#NAME?</v>
      </c>
      <c r="J646" s="2">
        <f>VLOOKUP(H646,Base_Planos!$A:$G,4,FALSE)</f>
        <v>39.9</v>
      </c>
      <c r="K646" s="4">
        <v>45534</v>
      </c>
      <c r="L646" t="s">
        <v>156</v>
      </c>
      <c r="M646" t="s">
        <v>34</v>
      </c>
      <c r="N646" s="4">
        <v>45599</v>
      </c>
      <c r="O646" s="10">
        <f t="shared" ca="1" si="64"/>
        <v>65</v>
      </c>
      <c r="P646" s="10" t="str">
        <f t="shared" ca="1" si="61"/>
        <v>31 a 90 dias</v>
      </c>
      <c r="Q646">
        <f t="shared" si="60"/>
        <v>0</v>
      </c>
      <c r="R646">
        <v>3</v>
      </c>
      <c r="S646" s="11">
        <f t="shared" si="65"/>
        <v>0</v>
      </c>
      <c r="T646" s="11" t="str">
        <f t="shared" si="62"/>
        <v>Detrator</v>
      </c>
      <c r="U646" s="11" t="str">
        <f t="shared" si="63"/>
        <v>Alto risco</v>
      </c>
      <c r="V646">
        <v>1</v>
      </c>
      <c r="W646">
        <v>57</v>
      </c>
      <c r="X646" s="2">
        <v>36.380000000000003</v>
      </c>
      <c r="Y646">
        <v>2</v>
      </c>
      <c r="Z646" t="s">
        <v>35</v>
      </c>
    </row>
    <row r="647" spans="1:26">
      <c r="A647" t="s">
        <v>1159</v>
      </c>
      <c r="B647" t="s">
        <v>567</v>
      </c>
      <c r="C647" t="s">
        <v>140</v>
      </c>
      <c r="D647" t="s">
        <v>141</v>
      </c>
      <c r="E647">
        <v>63</v>
      </c>
      <c r="F647" t="s">
        <v>54</v>
      </c>
      <c r="G647" t="s">
        <v>31</v>
      </c>
      <c r="H647" t="s">
        <v>112</v>
      </c>
      <c r="I647" t="e">
        <f ca="1">_xludf.XLOOKUP(H647,Base_Planos!$A:$A,Base_Planos!$B:$B,"Não encontrado")</f>
        <v>#NAME?</v>
      </c>
      <c r="J647" s="2">
        <f>VLOOKUP(H647,Base_Planos!$A:$G,4,FALSE)</f>
        <v>79.900000000000006</v>
      </c>
      <c r="K647" s="4">
        <v>45698</v>
      </c>
      <c r="L647" t="s">
        <v>289</v>
      </c>
      <c r="M647" t="s">
        <v>34</v>
      </c>
      <c r="N647" s="4">
        <v>46103</v>
      </c>
      <c r="O647" s="10">
        <f t="shared" ca="1" si="64"/>
        <v>405</v>
      </c>
      <c r="P647" s="10" t="str">
        <f t="shared" ca="1" si="61"/>
        <v>Mais de 1 ano</v>
      </c>
      <c r="Q647">
        <f t="shared" si="60"/>
        <v>1</v>
      </c>
      <c r="R647">
        <v>0</v>
      </c>
      <c r="S647" s="11">
        <f t="shared" si="65"/>
        <v>79.900000000000006</v>
      </c>
      <c r="T647" s="11" t="str">
        <f t="shared" si="62"/>
        <v>Detrator</v>
      </c>
      <c r="U647" s="11" t="str">
        <f t="shared" si="63"/>
        <v>Alto risco</v>
      </c>
      <c r="V647">
        <v>2</v>
      </c>
      <c r="W647">
        <v>54</v>
      </c>
      <c r="X647" s="2">
        <v>71.510000000000005</v>
      </c>
      <c r="Y647">
        <v>13</v>
      </c>
      <c r="Z647" t="s">
        <v>45</v>
      </c>
    </row>
    <row r="648" spans="1:26">
      <c r="A648" t="s">
        <v>1160</v>
      </c>
      <c r="B648" t="s">
        <v>250</v>
      </c>
      <c r="C648" t="s">
        <v>53</v>
      </c>
      <c r="D648" t="s">
        <v>29</v>
      </c>
      <c r="E648">
        <v>29</v>
      </c>
      <c r="F648" t="s">
        <v>66</v>
      </c>
      <c r="G648" t="s">
        <v>41</v>
      </c>
      <c r="H648" t="s">
        <v>42</v>
      </c>
      <c r="I648" t="e">
        <f ca="1">_xludf.XLOOKUP(H648,Base_Planos!$A:$A,Base_Planos!$B:$B,"Não encontrado")</f>
        <v>#NAME?</v>
      </c>
      <c r="J648" s="2">
        <f>VLOOKUP(H648,Base_Planos!$A:$G,4,FALSE)</f>
        <v>29.9</v>
      </c>
      <c r="K648" s="4">
        <v>45253</v>
      </c>
      <c r="L648" t="s">
        <v>79</v>
      </c>
      <c r="M648" t="s">
        <v>44</v>
      </c>
      <c r="N648" s="4"/>
      <c r="O648" s="10">
        <f t="shared" ca="1" si="64"/>
        <v>916</v>
      </c>
      <c r="P648" s="10" t="str">
        <f t="shared" ca="1" si="61"/>
        <v>Mais de 1 ano</v>
      </c>
      <c r="Q648">
        <f t="shared" si="60"/>
        <v>0</v>
      </c>
      <c r="R648">
        <v>0</v>
      </c>
      <c r="S648" s="11">
        <f t="shared" si="65"/>
        <v>0</v>
      </c>
      <c r="T648" s="11" t="str">
        <f t="shared" si="62"/>
        <v>Detrator</v>
      </c>
      <c r="U648" s="11" t="str">
        <f t="shared" si="63"/>
        <v>Alto risco</v>
      </c>
      <c r="V648">
        <v>1</v>
      </c>
      <c r="W648">
        <v>49</v>
      </c>
      <c r="X648" s="2">
        <v>29.95</v>
      </c>
      <c r="Y648">
        <v>30</v>
      </c>
      <c r="Z648" t="s">
        <v>35</v>
      </c>
    </row>
    <row r="649" spans="1:26">
      <c r="A649" t="s">
        <v>1161</v>
      </c>
      <c r="B649" t="s">
        <v>240</v>
      </c>
      <c r="C649" t="s">
        <v>38</v>
      </c>
      <c r="D649" t="s">
        <v>39</v>
      </c>
      <c r="E649">
        <v>64</v>
      </c>
      <c r="F649" t="s">
        <v>30</v>
      </c>
      <c r="G649" t="s">
        <v>31</v>
      </c>
      <c r="H649" t="s">
        <v>82</v>
      </c>
      <c r="I649" t="e">
        <f ca="1">_xludf.XLOOKUP(H649,Base_Planos!$A:$A,Base_Planos!$B:$B,"Não encontrado")</f>
        <v>#NAME?</v>
      </c>
      <c r="J649" s="2">
        <f>VLOOKUP(H649,Base_Planos!$A:$G,4,FALSE)</f>
        <v>149.9</v>
      </c>
      <c r="K649" s="4">
        <v>46049</v>
      </c>
      <c r="L649" t="s">
        <v>148</v>
      </c>
      <c r="M649" t="s">
        <v>44</v>
      </c>
      <c r="N649" s="4"/>
      <c r="O649" s="10">
        <f t="shared" ca="1" si="64"/>
        <v>120</v>
      </c>
      <c r="P649" s="10" t="str">
        <f t="shared" ca="1" si="61"/>
        <v>91 a 180 dias</v>
      </c>
      <c r="Q649">
        <f t="shared" si="60"/>
        <v>0</v>
      </c>
      <c r="R649">
        <v>6</v>
      </c>
      <c r="S649" s="11">
        <f t="shared" si="65"/>
        <v>0</v>
      </c>
      <c r="T649" s="11" t="str">
        <f t="shared" si="62"/>
        <v>Detrator</v>
      </c>
      <c r="U649" s="11" t="str">
        <f t="shared" si="63"/>
        <v>Alto risco</v>
      </c>
      <c r="V649">
        <v>1</v>
      </c>
      <c r="W649">
        <v>71</v>
      </c>
      <c r="X649" s="2">
        <v>129.04</v>
      </c>
      <c r="Y649">
        <v>4</v>
      </c>
      <c r="Z649" t="s">
        <v>35</v>
      </c>
    </row>
    <row r="650" spans="1:26">
      <c r="A650" t="s">
        <v>1162</v>
      </c>
      <c r="B650" t="s">
        <v>1163</v>
      </c>
      <c r="C650" t="s">
        <v>77</v>
      </c>
      <c r="D650" t="s">
        <v>78</v>
      </c>
      <c r="E650">
        <v>59</v>
      </c>
      <c r="F650" t="s">
        <v>30</v>
      </c>
      <c r="G650" t="s">
        <v>96</v>
      </c>
      <c r="H650" t="s">
        <v>112</v>
      </c>
      <c r="I650" t="e">
        <f ca="1">_xludf.XLOOKUP(H650,Base_Planos!$A:$A,Base_Planos!$B:$B,"Não encontrado")</f>
        <v>#NAME?</v>
      </c>
      <c r="J650" s="2">
        <f>VLOOKUP(H650,Base_Planos!$A:$G,4,FALSE)</f>
        <v>79.900000000000006</v>
      </c>
      <c r="K650" s="4">
        <v>45915</v>
      </c>
      <c r="L650" t="s">
        <v>189</v>
      </c>
      <c r="M650" t="s">
        <v>34</v>
      </c>
      <c r="N650" s="4">
        <v>46111</v>
      </c>
      <c r="O650" s="10">
        <f t="shared" ca="1" si="64"/>
        <v>196</v>
      </c>
      <c r="P650" s="10" t="str">
        <f t="shared" ca="1" si="61"/>
        <v>181 a 365 dias</v>
      </c>
      <c r="Q650">
        <f t="shared" si="60"/>
        <v>1</v>
      </c>
      <c r="R650">
        <v>4</v>
      </c>
      <c r="S650" s="11">
        <f t="shared" si="65"/>
        <v>79.900000000000006</v>
      </c>
      <c r="T650" s="11" t="str">
        <f t="shared" si="62"/>
        <v>Detrator</v>
      </c>
      <c r="U650" s="11" t="str">
        <f t="shared" si="63"/>
        <v>Alto risco</v>
      </c>
      <c r="V650">
        <v>2</v>
      </c>
      <c r="W650">
        <v>45</v>
      </c>
      <c r="X650" s="2">
        <v>79.52</v>
      </c>
      <c r="Y650">
        <v>6</v>
      </c>
      <c r="Z650" t="s">
        <v>45</v>
      </c>
    </row>
    <row r="651" spans="1:26">
      <c r="A651" t="s">
        <v>1164</v>
      </c>
      <c r="B651" t="s">
        <v>1062</v>
      </c>
      <c r="C651" t="s">
        <v>65</v>
      </c>
      <c r="D651" t="s">
        <v>29</v>
      </c>
      <c r="E651">
        <v>27</v>
      </c>
      <c r="F651" t="s">
        <v>54</v>
      </c>
      <c r="G651" t="s">
        <v>41</v>
      </c>
      <c r="H651" t="s">
        <v>61</v>
      </c>
      <c r="I651" t="e">
        <f ca="1">_xludf.XLOOKUP(H651,Base_Planos!$A:$A,Base_Planos!$B:$B,"Não encontrado")</f>
        <v>#NAME?</v>
      </c>
      <c r="J651" s="2">
        <f>VLOOKUP(H651,Base_Planos!$A:$G,4,FALSE)</f>
        <v>59.9</v>
      </c>
      <c r="K651" s="4">
        <v>45271</v>
      </c>
      <c r="L651" t="s">
        <v>62</v>
      </c>
      <c r="M651" t="s">
        <v>34</v>
      </c>
      <c r="N651" s="4">
        <v>45828</v>
      </c>
      <c r="O651" s="10">
        <f t="shared" ca="1" si="64"/>
        <v>557</v>
      </c>
      <c r="P651" s="10" t="str">
        <f t="shared" ca="1" si="61"/>
        <v>Mais de 1 ano</v>
      </c>
      <c r="Q651">
        <f t="shared" si="60"/>
        <v>0</v>
      </c>
      <c r="R651">
        <v>0</v>
      </c>
      <c r="S651" s="11">
        <f t="shared" si="65"/>
        <v>0</v>
      </c>
      <c r="T651" s="11" t="str">
        <f t="shared" si="62"/>
        <v>Detrator</v>
      </c>
      <c r="U651" s="11" t="str">
        <f t="shared" si="63"/>
        <v>Alto risco</v>
      </c>
      <c r="V651">
        <v>0</v>
      </c>
      <c r="W651">
        <v>99</v>
      </c>
      <c r="X651" s="2">
        <v>58.02</v>
      </c>
      <c r="Y651">
        <v>18</v>
      </c>
      <c r="Z651" t="s">
        <v>45</v>
      </c>
    </row>
    <row r="652" spans="1:26">
      <c r="A652" t="s">
        <v>1165</v>
      </c>
      <c r="B652" t="s">
        <v>1091</v>
      </c>
      <c r="C652" t="s">
        <v>59</v>
      </c>
      <c r="D652" t="s">
        <v>60</v>
      </c>
      <c r="E652">
        <v>20</v>
      </c>
      <c r="F652" t="s">
        <v>30</v>
      </c>
      <c r="G652" t="s">
        <v>41</v>
      </c>
      <c r="H652" t="s">
        <v>112</v>
      </c>
      <c r="I652" t="e">
        <f ca="1">_xludf.XLOOKUP(H652,Base_Planos!$A:$A,Base_Planos!$B:$B,"Não encontrado")</f>
        <v>#NAME?</v>
      </c>
      <c r="J652" s="2">
        <f>VLOOKUP(H652,Base_Planos!$A:$G,4,FALSE)</f>
        <v>79.900000000000006</v>
      </c>
      <c r="K652" s="4">
        <v>45280</v>
      </c>
      <c r="L652" t="s">
        <v>62</v>
      </c>
      <c r="M652" t="s">
        <v>44</v>
      </c>
      <c r="N652" s="4"/>
      <c r="O652" s="10">
        <f t="shared" ca="1" si="64"/>
        <v>889</v>
      </c>
      <c r="P652" s="10" t="str">
        <f t="shared" ca="1" si="61"/>
        <v>Mais de 1 ano</v>
      </c>
      <c r="Q652">
        <f t="shared" si="60"/>
        <v>0</v>
      </c>
      <c r="R652">
        <v>10</v>
      </c>
      <c r="S652" s="11">
        <f t="shared" si="65"/>
        <v>0</v>
      </c>
      <c r="T652" s="11" t="str">
        <f t="shared" si="62"/>
        <v>Promotor</v>
      </c>
      <c r="U652" s="11" t="str">
        <f t="shared" si="63"/>
        <v>Baixo risco</v>
      </c>
      <c r="V652">
        <v>4</v>
      </c>
      <c r="W652">
        <v>8</v>
      </c>
      <c r="X652" s="2">
        <v>69.349999999999994</v>
      </c>
      <c r="Y652">
        <v>29</v>
      </c>
      <c r="Z652" t="s">
        <v>35</v>
      </c>
    </row>
    <row r="653" spans="1:26">
      <c r="A653" t="s">
        <v>1166</v>
      </c>
      <c r="B653" t="s">
        <v>1167</v>
      </c>
      <c r="C653" t="s">
        <v>140</v>
      </c>
      <c r="D653" t="s">
        <v>141</v>
      </c>
      <c r="E653">
        <v>58</v>
      </c>
      <c r="F653" t="s">
        <v>40</v>
      </c>
      <c r="G653" t="s">
        <v>165</v>
      </c>
      <c r="H653" t="s">
        <v>32</v>
      </c>
      <c r="I653" t="e">
        <f ca="1">_xludf.XLOOKUP(H653,Base_Planos!$A:$A,Base_Planos!$B:$B,"Não encontrado")</f>
        <v>#NAME?</v>
      </c>
      <c r="J653" s="2">
        <f>VLOOKUP(H653,Base_Planos!$A:$G,4,FALSE)</f>
        <v>39.9</v>
      </c>
      <c r="K653" s="4">
        <v>45165</v>
      </c>
      <c r="L653" t="s">
        <v>162</v>
      </c>
      <c r="M653" t="s">
        <v>34</v>
      </c>
      <c r="N653" s="4">
        <v>45795</v>
      </c>
      <c r="O653" s="10">
        <f t="shared" ca="1" si="64"/>
        <v>630</v>
      </c>
      <c r="P653" s="10" t="str">
        <f t="shared" ca="1" si="61"/>
        <v>Mais de 1 ano</v>
      </c>
      <c r="Q653">
        <f t="shared" si="60"/>
        <v>1</v>
      </c>
      <c r="R653">
        <v>1</v>
      </c>
      <c r="S653" s="11">
        <f t="shared" si="65"/>
        <v>39.9</v>
      </c>
      <c r="T653" s="11" t="str">
        <f t="shared" si="62"/>
        <v>Detrator</v>
      </c>
      <c r="U653" s="11" t="str">
        <f t="shared" si="63"/>
        <v>Alto risco</v>
      </c>
      <c r="V653">
        <v>3</v>
      </c>
      <c r="W653">
        <v>84</v>
      </c>
      <c r="X653" s="2">
        <v>38.479999999999997</v>
      </c>
      <c r="Y653">
        <v>21</v>
      </c>
      <c r="Z653" t="s">
        <v>45</v>
      </c>
    </row>
    <row r="654" spans="1:26">
      <c r="A654" t="s">
        <v>1168</v>
      </c>
      <c r="B654" t="s">
        <v>447</v>
      </c>
      <c r="C654" t="s">
        <v>48</v>
      </c>
      <c r="D654" t="s">
        <v>29</v>
      </c>
      <c r="E654">
        <v>55</v>
      </c>
      <c r="F654" t="s">
        <v>30</v>
      </c>
      <c r="G654" t="s">
        <v>104</v>
      </c>
      <c r="H654" t="s">
        <v>166</v>
      </c>
      <c r="I654" t="e">
        <f ca="1">_xludf.XLOOKUP(H654,Base_Planos!$A:$A,Base_Planos!$B:$B,"Não encontrado")</f>
        <v>#NAME?</v>
      </c>
      <c r="J654" s="2">
        <f>VLOOKUP(H654,Base_Planos!$A:$G,4,FALSE)</f>
        <v>399.9</v>
      </c>
      <c r="K654" s="4">
        <v>45815</v>
      </c>
      <c r="L654" t="s">
        <v>167</v>
      </c>
      <c r="M654" t="s">
        <v>44</v>
      </c>
      <c r="N654" s="4"/>
      <c r="O654" s="10">
        <f t="shared" ca="1" si="64"/>
        <v>354</v>
      </c>
      <c r="P654" s="10" t="str">
        <f t="shared" ca="1" si="61"/>
        <v>181 a 365 dias</v>
      </c>
      <c r="Q654">
        <f t="shared" si="60"/>
        <v>0</v>
      </c>
      <c r="R654">
        <v>4</v>
      </c>
      <c r="S654" s="11">
        <f t="shared" si="65"/>
        <v>0</v>
      </c>
      <c r="T654" s="11" t="str">
        <f t="shared" si="62"/>
        <v>Detrator</v>
      </c>
      <c r="U654" s="11" t="str">
        <f t="shared" si="63"/>
        <v>Alto risco</v>
      </c>
      <c r="V654">
        <v>0</v>
      </c>
      <c r="W654">
        <v>51</v>
      </c>
      <c r="X654" s="2">
        <v>403.52</v>
      </c>
      <c r="Y654">
        <v>11</v>
      </c>
      <c r="Z654" t="s">
        <v>35</v>
      </c>
    </row>
    <row r="655" spans="1:26">
      <c r="A655" t="s">
        <v>1169</v>
      </c>
      <c r="B655" t="s">
        <v>396</v>
      </c>
      <c r="C655" t="s">
        <v>53</v>
      </c>
      <c r="D655" t="s">
        <v>29</v>
      </c>
      <c r="E655">
        <v>62</v>
      </c>
      <c r="F655" t="s">
        <v>30</v>
      </c>
      <c r="G655" t="s">
        <v>104</v>
      </c>
      <c r="H655" t="s">
        <v>32</v>
      </c>
      <c r="I655" t="e">
        <f ca="1">_xludf.XLOOKUP(H655,Base_Planos!$A:$A,Base_Planos!$B:$B,"Não encontrado")</f>
        <v>#NAME?</v>
      </c>
      <c r="J655" s="2">
        <f>VLOOKUP(H655,Base_Planos!$A:$G,4,FALSE)</f>
        <v>39.9</v>
      </c>
      <c r="K655" s="4">
        <v>46124</v>
      </c>
      <c r="L655" t="s">
        <v>43</v>
      </c>
      <c r="M655" t="s">
        <v>44</v>
      </c>
      <c r="N655" s="4"/>
      <c r="O655" s="10">
        <f t="shared" ca="1" si="64"/>
        <v>45</v>
      </c>
      <c r="P655" s="10" t="str">
        <f t="shared" ca="1" si="61"/>
        <v>31 a 90 dias</v>
      </c>
      <c r="Q655">
        <f t="shared" si="60"/>
        <v>1</v>
      </c>
      <c r="R655">
        <v>8</v>
      </c>
      <c r="S655" s="11">
        <f t="shared" si="65"/>
        <v>39.9</v>
      </c>
      <c r="T655" s="11" t="str">
        <f t="shared" si="62"/>
        <v>Neutro</v>
      </c>
      <c r="U655" s="11" t="str">
        <f t="shared" si="63"/>
        <v>Alto risco</v>
      </c>
      <c r="V655">
        <v>0</v>
      </c>
      <c r="W655">
        <v>8</v>
      </c>
      <c r="X655" s="2">
        <v>41.62</v>
      </c>
      <c r="Y655">
        <v>1</v>
      </c>
      <c r="Z655" t="s">
        <v>35</v>
      </c>
    </row>
    <row r="656" spans="1:26">
      <c r="A656" t="s">
        <v>1170</v>
      </c>
      <c r="B656" t="s">
        <v>498</v>
      </c>
      <c r="C656" t="s">
        <v>94</v>
      </c>
      <c r="D656" t="s">
        <v>95</v>
      </c>
      <c r="E656">
        <v>56</v>
      </c>
      <c r="F656" t="s">
        <v>40</v>
      </c>
      <c r="G656" t="s">
        <v>67</v>
      </c>
      <c r="H656" t="s">
        <v>61</v>
      </c>
      <c r="I656" t="e">
        <f ca="1">_xludf.XLOOKUP(H656,Base_Planos!$A:$A,Base_Planos!$B:$B,"Não encontrado")</f>
        <v>#NAME?</v>
      </c>
      <c r="J656" s="2">
        <f>VLOOKUP(H656,Base_Planos!$A:$G,4,FALSE)</f>
        <v>59.9</v>
      </c>
      <c r="K656" s="4">
        <v>45570</v>
      </c>
      <c r="L656" t="s">
        <v>123</v>
      </c>
      <c r="M656" t="s">
        <v>34</v>
      </c>
      <c r="N656" s="4">
        <v>45862</v>
      </c>
      <c r="O656" s="10">
        <f t="shared" ca="1" si="64"/>
        <v>292</v>
      </c>
      <c r="P656" s="10" t="str">
        <f t="shared" ca="1" si="61"/>
        <v>181 a 365 dias</v>
      </c>
      <c r="Q656">
        <f t="shared" si="60"/>
        <v>0</v>
      </c>
      <c r="R656">
        <v>1</v>
      </c>
      <c r="S656" s="11">
        <f t="shared" si="65"/>
        <v>0</v>
      </c>
      <c r="T656" s="11" t="str">
        <f t="shared" si="62"/>
        <v>Detrator</v>
      </c>
      <c r="U656" s="11" t="str">
        <f t="shared" si="63"/>
        <v>Alto risco</v>
      </c>
      <c r="V656">
        <v>1</v>
      </c>
      <c r="W656">
        <v>65</v>
      </c>
      <c r="X656" s="2">
        <v>51.33</v>
      </c>
      <c r="Y656">
        <v>9</v>
      </c>
      <c r="Z656" t="s">
        <v>45</v>
      </c>
    </row>
    <row r="657" spans="1:26">
      <c r="A657" t="s">
        <v>1171</v>
      </c>
      <c r="B657" t="s">
        <v>438</v>
      </c>
      <c r="C657" t="s">
        <v>140</v>
      </c>
      <c r="D657" t="s">
        <v>141</v>
      </c>
      <c r="E657">
        <v>41</v>
      </c>
      <c r="F657" t="s">
        <v>201</v>
      </c>
      <c r="G657" t="s">
        <v>96</v>
      </c>
      <c r="H657" t="s">
        <v>112</v>
      </c>
      <c r="I657" t="e">
        <f ca="1">_xludf.XLOOKUP(H657,Base_Planos!$A:$A,Base_Planos!$B:$B,"Não encontrado")</f>
        <v>#NAME?</v>
      </c>
      <c r="J657" s="2">
        <f>VLOOKUP(H657,Base_Planos!$A:$G,4,FALSE)</f>
        <v>79.900000000000006</v>
      </c>
      <c r="K657" s="4">
        <v>44927</v>
      </c>
      <c r="L657" t="s">
        <v>153</v>
      </c>
      <c r="M657" t="s">
        <v>44</v>
      </c>
      <c r="N657" s="4"/>
      <c r="O657" s="10">
        <f t="shared" ca="1" si="64"/>
        <v>1242</v>
      </c>
      <c r="P657" s="10" t="str">
        <f t="shared" ca="1" si="61"/>
        <v>Mais de 1 ano</v>
      </c>
      <c r="Q657">
        <f t="shared" si="60"/>
        <v>0</v>
      </c>
      <c r="R657">
        <v>3</v>
      </c>
      <c r="S657" s="11">
        <f t="shared" si="65"/>
        <v>0</v>
      </c>
      <c r="T657" s="11" t="str">
        <f t="shared" si="62"/>
        <v>Detrator</v>
      </c>
      <c r="U657" s="11" t="str">
        <f t="shared" si="63"/>
        <v>Alto risco</v>
      </c>
      <c r="V657">
        <v>0</v>
      </c>
      <c r="W657">
        <v>100</v>
      </c>
      <c r="X657" s="2">
        <v>78.45</v>
      </c>
      <c r="Y657">
        <v>41</v>
      </c>
      <c r="Z657" t="s">
        <v>35</v>
      </c>
    </row>
    <row r="658" spans="1:26">
      <c r="A658" t="s">
        <v>1172</v>
      </c>
      <c r="B658" t="s">
        <v>1137</v>
      </c>
      <c r="C658" t="s">
        <v>90</v>
      </c>
      <c r="D658" t="s">
        <v>29</v>
      </c>
      <c r="E658">
        <v>49</v>
      </c>
      <c r="F658" t="s">
        <v>40</v>
      </c>
      <c r="G658" t="s">
        <v>165</v>
      </c>
      <c r="H658" t="s">
        <v>61</v>
      </c>
      <c r="I658" t="e">
        <f ca="1">_xludf.XLOOKUP(H658,Base_Planos!$A:$A,Base_Planos!$B:$B,"Não encontrado")</f>
        <v>#NAME?</v>
      </c>
      <c r="J658" s="2">
        <f>VLOOKUP(H658,Base_Planos!$A:$G,4,FALSE)</f>
        <v>59.9</v>
      </c>
      <c r="K658" s="4">
        <v>45972</v>
      </c>
      <c r="L658" t="s">
        <v>87</v>
      </c>
      <c r="M658" t="s">
        <v>34</v>
      </c>
      <c r="N658" s="4">
        <v>46038</v>
      </c>
      <c r="O658" s="10">
        <f t="shared" ca="1" si="64"/>
        <v>66</v>
      </c>
      <c r="P658" s="10" t="str">
        <f t="shared" ca="1" si="61"/>
        <v>31 a 90 dias</v>
      </c>
      <c r="Q658">
        <f t="shared" si="60"/>
        <v>0</v>
      </c>
      <c r="R658">
        <v>3</v>
      </c>
      <c r="S658" s="11">
        <f t="shared" si="65"/>
        <v>0</v>
      </c>
      <c r="T658" s="11" t="str">
        <f t="shared" si="62"/>
        <v>Detrator</v>
      </c>
      <c r="U658" s="11" t="str">
        <f t="shared" si="63"/>
        <v>Alto risco</v>
      </c>
      <c r="V658">
        <v>0</v>
      </c>
      <c r="W658">
        <v>18</v>
      </c>
      <c r="X658" s="2">
        <v>60.89</v>
      </c>
      <c r="Y658">
        <v>2</v>
      </c>
      <c r="Z658" t="s">
        <v>45</v>
      </c>
    </row>
    <row r="659" spans="1:26">
      <c r="A659" t="s">
        <v>1173</v>
      </c>
      <c r="B659" t="s">
        <v>754</v>
      </c>
      <c r="C659" t="s">
        <v>38</v>
      </c>
      <c r="D659" t="s">
        <v>39</v>
      </c>
      <c r="E659">
        <v>31</v>
      </c>
      <c r="F659" t="s">
        <v>54</v>
      </c>
      <c r="G659" t="s">
        <v>73</v>
      </c>
      <c r="H659" t="s">
        <v>32</v>
      </c>
      <c r="I659" t="e">
        <f ca="1">_xludf.XLOOKUP(H659,Base_Planos!$A:$A,Base_Planos!$B:$B,"Não encontrado")</f>
        <v>#NAME?</v>
      </c>
      <c r="J659" s="2">
        <f>VLOOKUP(H659,Base_Planos!$A:$G,4,FALSE)</f>
        <v>39.9</v>
      </c>
      <c r="K659" s="4">
        <v>45791</v>
      </c>
      <c r="L659" t="s">
        <v>97</v>
      </c>
      <c r="M659" t="s">
        <v>34</v>
      </c>
      <c r="N659" s="4">
        <v>46054</v>
      </c>
      <c r="O659" s="10">
        <f t="shared" ca="1" si="64"/>
        <v>263</v>
      </c>
      <c r="P659" s="10" t="str">
        <f t="shared" ca="1" si="61"/>
        <v>181 a 365 dias</v>
      </c>
      <c r="Q659">
        <f t="shared" si="60"/>
        <v>0</v>
      </c>
      <c r="R659">
        <v>1</v>
      </c>
      <c r="S659" s="11">
        <f t="shared" si="65"/>
        <v>0</v>
      </c>
      <c r="T659" s="11" t="str">
        <f t="shared" si="62"/>
        <v>Detrator</v>
      </c>
      <c r="U659" s="11" t="str">
        <f t="shared" si="63"/>
        <v>Alto risco</v>
      </c>
      <c r="V659">
        <v>1</v>
      </c>
      <c r="W659">
        <v>50</v>
      </c>
      <c r="X659" s="2">
        <v>35.94</v>
      </c>
      <c r="Y659">
        <v>8</v>
      </c>
      <c r="Z659" t="s">
        <v>35</v>
      </c>
    </row>
    <row r="660" spans="1:26">
      <c r="A660" t="s">
        <v>1174</v>
      </c>
      <c r="B660" t="s">
        <v>495</v>
      </c>
      <c r="C660" t="s">
        <v>38</v>
      </c>
      <c r="D660" t="s">
        <v>39</v>
      </c>
      <c r="E660">
        <v>31</v>
      </c>
      <c r="F660" t="s">
        <v>30</v>
      </c>
      <c r="G660" t="s">
        <v>73</v>
      </c>
      <c r="H660" t="s">
        <v>166</v>
      </c>
      <c r="I660" t="e">
        <f ca="1">_xludf.XLOOKUP(H660,Base_Planos!$A:$A,Base_Planos!$B:$B,"Não encontrado")</f>
        <v>#NAME?</v>
      </c>
      <c r="J660" s="2">
        <f>VLOOKUP(H660,Base_Planos!$A:$G,4,FALSE)</f>
        <v>399.9</v>
      </c>
      <c r="K660" s="4">
        <v>45321</v>
      </c>
      <c r="L660" t="s">
        <v>516</v>
      </c>
      <c r="M660" t="s">
        <v>44</v>
      </c>
      <c r="N660" s="4"/>
      <c r="O660" s="10">
        <f t="shared" ca="1" si="64"/>
        <v>848</v>
      </c>
      <c r="P660" s="10" t="str">
        <f t="shared" ca="1" si="61"/>
        <v>Mais de 1 ano</v>
      </c>
      <c r="Q660">
        <f t="shared" si="60"/>
        <v>0</v>
      </c>
      <c r="R660">
        <v>5</v>
      </c>
      <c r="S660" s="11">
        <f t="shared" si="65"/>
        <v>0</v>
      </c>
      <c r="T660" s="11" t="str">
        <f t="shared" si="62"/>
        <v>Detrator</v>
      </c>
      <c r="U660" s="11" t="str">
        <f t="shared" si="63"/>
        <v>Alto risco</v>
      </c>
      <c r="V660">
        <v>0</v>
      </c>
      <c r="W660">
        <v>41</v>
      </c>
      <c r="X660" s="2">
        <v>405.62</v>
      </c>
      <c r="Y660">
        <v>28</v>
      </c>
      <c r="Z660" t="s">
        <v>35</v>
      </c>
    </row>
    <row r="661" spans="1:26">
      <c r="A661" t="s">
        <v>1175</v>
      </c>
      <c r="B661" t="s">
        <v>694</v>
      </c>
      <c r="C661" t="s">
        <v>71</v>
      </c>
      <c r="D661" t="s">
        <v>72</v>
      </c>
      <c r="E661">
        <v>19</v>
      </c>
      <c r="F661" t="s">
        <v>201</v>
      </c>
      <c r="G661" t="s">
        <v>31</v>
      </c>
      <c r="H661" t="s">
        <v>32</v>
      </c>
      <c r="I661" t="e">
        <f ca="1">_xludf.XLOOKUP(H661,Base_Planos!$A:$A,Base_Planos!$B:$B,"Não encontrado")</f>
        <v>#NAME?</v>
      </c>
      <c r="J661" s="2">
        <f>VLOOKUP(H661,Base_Planos!$A:$G,4,FALSE)</f>
        <v>39.9</v>
      </c>
      <c r="K661" s="4">
        <v>45182</v>
      </c>
      <c r="L661" t="s">
        <v>105</v>
      </c>
      <c r="M661" t="s">
        <v>44</v>
      </c>
      <c r="N661" s="4"/>
      <c r="O661" s="10">
        <f t="shared" ca="1" si="64"/>
        <v>987</v>
      </c>
      <c r="P661" s="10" t="str">
        <f t="shared" ca="1" si="61"/>
        <v>Mais de 1 ano</v>
      </c>
      <c r="Q661">
        <f t="shared" si="60"/>
        <v>0</v>
      </c>
      <c r="R661">
        <v>8</v>
      </c>
      <c r="S661" s="11">
        <f t="shared" si="65"/>
        <v>0</v>
      </c>
      <c r="T661" s="11" t="str">
        <f t="shared" si="62"/>
        <v>Neutro</v>
      </c>
      <c r="U661" s="11" t="str">
        <f t="shared" si="63"/>
        <v>Médio risco</v>
      </c>
      <c r="V661">
        <v>0</v>
      </c>
      <c r="W661">
        <v>79</v>
      </c>
      <c r="X661" s="2">
        <v>36.81</v>
      </c>
      <c r="Y661">
        <v>32</v>
      </c>
      <c r="Z661" t="s">
        <v>50</v>
      </c>
    </row>
    <row r="662" spans="1:26">
      <c r="A662" t="s">
        <v>1176</v>
      </c>
      <c r="B662" t="s">
        <v>1177</v>
      </c>
      <c r="C662" t="s">
        <v>94</v>
      </c>
      <c r="D662" t="s">
        <v>95</v>
      </c>
      <c r="E662">
        <v>32</v>
      </c>
      <c r="F662" t="s">
        <v>30</v>
      </c>
      <c r="G662" t="s">
        <v>55</v>
      </c>
      <c r="H662" t="s">
        <v>112</v>
      </c>
      <c r="I662" t="e">
        <f ca="1">_xludf.XLOOKUP(H662,Base_Planos!$A:$A,Base_Planos!$B:$B,"Não encontrado")</f>
        <v>#NAME?</v>
      </c>
      <c r="J662" s="2">
        <f>VLOOKUP(H662,Base_Planos!$A:$G,4,FALSE)</f>
        <v>79.900000000000006</v>
      </c>
      <c r="K662" s="4">
        <v>45382</v>
      </c>
      <c r="L662" t="s">
        <v>126</v>
      </c>
      <c r="M662" t="s">
        <v>44</v>
      </c>
      <c r="N662" s="4"/>
      <c r="O662" s="10">
        <f t="shared" ca="1" si="64"/>
        <v>787</v>
      </c>
      <c r="P662" s="10" t="str">
        <f t="shared" ca="1" si="61"/>
        <v>Mais de 1 ano</v>
      </c>
      <c r="Q662">
        <f t="shared" ref="Q662:Q725" si="66">IF(M439="Cancelado",1,0)</f>
        <v>0</v>
      </c>
      <c r="R662">
        <v>6</v>
      </c>
      <c r="S662" s="11">
        <f t="shared" si="65"/>
        <v>0</v>
      </c>
      <c r="T662" s="11" t="str">
        <f t="shared" si="62"/>
        <v>Detrator</v>
      </c>
      <c r="U662" s="11" t="str">
        <f t="shared" si="63"/>
        <v>Alto risco</v>
      </c>
      <c r="V662">
        <v>0</v>
      </c>
      <c r="W662">
        <v>42</v>
      </c>
      <c r="X662" s="2">
        <v>81.91</v>
      </c>
      <c r="Y662">
        <v>26</v>
      </c>
      <c r="Z662" t="s">
        <v>35</v>
      </c>
    </row>
    <row r="663" spans="1:26">
      <c r="A663" t="s">
        <v>1178</v>
      </c>
      <c r="B663" t="s">
        <v>491</v>
      </c>
      <c r="C663" t="s">
        <v>102</v>
      </c>
      <c r="D663" t="s">
        <v>103</v>
      </c>
      <c r="E663">
        <v>51</v>
      </c>
      <c r="F663" t="s">
        <v>30</v>
      </c>
      <c r="G663" t="s">
        <v>73</v>
      </c>
      <c r="H663" t="s">
        <v>61</v>
      </c>
      <c r="I663" t="e">
        <f ca="1">_xludf.XLOOKUP(H663,Base_Planos!$A:$A,Base_Planos!$B:$B,"Não encontrado")</f>
        <v>#NAME?</v>
      </c>
      <c r="J663" s="2">
        <f>VLOOKUP(H663,Base_Planos!$A:$G,4,FALSE)</f>
        <v>59.9</v>
      </c>
      <c r="K663" s="4">
        <v>45129</v>
      </c>
      <c r="L663" t="s">
        <v>33</v>
      </c>
      <c r="M663" t="s">
        <v>34</v>
      </c>
      <c r="N663" s="4">
        <v>45918</v>
      </c>
      <c r="O663" s="10">
        <f t="shared" ca="1" si="64"/>
        <v>789</v>
      </c>
      <c r="P663" s="10" t="str">
        <f t="shared" ca="1" si="61"/>
        <v>Mais de 1 ano</v>
      </c>
      <c r="Q663">
        <f t="shared" si="66"/>
        <v>0</v>
      </c>
      <c r="R663">
        <v>0</v>
      </c>
      <c r="S663" s="11">
        <f t="shared" si="65"/>
        <v>0</v>
      </c>
      <c r="T663" s="11" t="str">
        <f t="shared" si="62"/>
        <v>Detrator</v>
      </c>
      <c r="U663" s="11" t="str">
        <f t="shared" si="63"/>
        <v>Alto risco</v>
      </c>
      <c r="V663">
        <v>0</v>
      </c>
      <c r="W663">
        <v>100</v>
      </c>
      <c r="X663" s="2">
        <v>60.36</v>
      </c>
      <c r="Y663">
        <v>26</v>
      </c>
      <c r="Z663" t="s">
        <v>45</v>
      </c>
    </row>
    <row r="664" spans="1:26">
      <c r="A664" t="s">
        <v>1179</v>
      </c>
      <c r="B664" t="s">
        <v>1180</v>
      </c>
      <c r="C664" t="s">
        <v>53</v>
      </c>
      <c r="D664" t="s">
        <v>29</v>
      </c>
      <c r="E664">
        <v>43</v>
      </c>
      <c r="F664" t="s">
        <v>54</v>
      </c>
      <c r="G664" t="s">
        <v>96</v>
      </c>
      <c r="H664" t="s">
        <v>42</v>
      </c>
      <c r="I664" t="e">
        <f ca="1">_xludf.XLOOKUP(H664,Base_Planos!$A:$A,Base_Planos!$B:$B,"Não encontrado")</f>
        <v>#NAME?</v>
      </c>
      <c r="J664" s="2">
        <f>VLOOKUP(H664,Base_Planos!$A:$G,4,FALSE)</f>
        <v>29.9</v>
      </c>
      <c r="K664" s="4">
        <v>45978</v>
      </c>
      <c r="L664" t="s">
        <v>87</v>
      </c>
      <c r="M664" t="s">
        <v>34</v>
      </c>
      <c r="N664" s="4">
        <v>46102</v>
      </c>
      <c r="O664" s="10">
        <f t="shared" ca="1" si="64"/>
        <v>124</v>
      </c>
      <c r="P664" s="10" t="str">
        <f t="shared" ca="1" si="61"/>
        <v>91 a 180 dias</v>
      </c>
      <c r="Q664">
        <f t="shared" si="66"/>
        <v>0</v>
      </c>
      <c r="R664">
        <v>2</v>
      </c>
      <c r="S664" s="11">
        <f t="shared" si="65"/>
        <v>0</v>
      </c>
      <c r="T664" s="11" t="str">
        <f t="shared" si="62"/>
        <v>Detrator</v>
      </c>
      <c r="U664" s="11" t="str">
        <f t="shared" si="63"/>
        <v>Alto risco</v>
      </c>
      <c r="V664">
        <v>0</v>
      </c>
      <c r="W664">
        <v>44</v>
      </c>
      <c r="X664" s="2">
        <v>26.9</v>
      </c>
      <c r="Y664">
        <v>4</v>
      </c>
      <c r="Z664" t="s">
        <v>35</v>
      </c>
    </row>
    <row r="665" spans="1:26">
      <c r="A665" t="s">
        <v>1181</v>
      </c>
      <c r="B665" t="s">
        <v>1130</v>
      </c>
      <c r="C665" t="s">
        <v>137</v>
      </c>
      <c r="D665" t="s">
        <v>29</v>
      </c>
      <c r="E665">
        <v>47</v>
      </c>
      <c r="F665" t="s">
        <v>30</v>
      </c>
      <c r="G665" t="s">
        <v>165</v>
      </c>
      <c r="H665" t="s">
        <v>82</v>
      </c>
      <c r="I665" t="e">
        <f ca="1">_xludf.XLOOKUP(H665,Base_Planos!$A:$A,Base_Planos!$B:$B,"Não encontrado")</f>
        <v>#NAME?</v>
      </c>
      <c r="J665" s="2">
        <f>VLOOKUP(H665,Base_Planos!$A:$G,4,FALSE)</f>
        <v>149.9</v>
      </c>
      <c r="K665" s="4">
        <v>45955</v>
      </c>
      <c r="L665" t="s">
        <v>196</v>
      </c>
      <c r="M665" t="s">
        <v>44</v>
      </c>
      <c r="N665" s="4"/>
      <c r="O665" s="10">
        <f t="shared" ca="1" si="64"/>
        <v>214</v>
      </c>
      <c r="P665" s="10" t="str">
        <f t="shared" ca="1" si="61"/>
        <v>181 a 365 dias</v>
      </c>
      <c r="Q665">
        <f t="shared" si="66"/>
        <v>1</v>
      </c>
      <c r="R665">
        <v>4</v>
      </c>
      <c r="S665" s="11">
        <f t="shared" si="65"/>
        <v>149.9</v>
      </c>
      <c r="T665" s="11" t="str">
        <f t="shared" si="62"/>
        <v>Detrator</v>
      </c>
      <c r="U665" s="11" t="str">
        <f t="shared" si="63"/>
        <v>Alto risco</v>
      </c>
      <c r="V665">
        <v>3</v>
      </c>
      <c r="W665">
        <v>86</v>
      </c>
      <c r="X665" s="2">
        <v>151.82</v>
      </c>
      <c r="Y665">
        <v>7</v>
      </c>
      <c r="Z665" t="s">
        <v>35</v>
      </c>
    </row>
    <row r="666" spans="1:26">
      <c r="A666" t="s">
        <v>1182</v>
      </c>
      <c r="B666" t="s">
        <v>1183</v>
      </c>
      <c r="C666" t="s">
        <v>140</v>
      </c>
      <c r="D666" t="s">
        <v>141</v>
      </c>
      <c r="E666">
        <v>44</v>
      </c>
      <c r="F666" t="s">
        <v>40</v>
      </c>
      <c r="G666" t="s">
        <v>55</v>
      </c>
      <c r="H666" t="s">
        <v>61</v>
      </c>
      <c r="I666" t="e">
        <f ca="1">_xludf.XLOOKUP(H666,Base_Planos!$A:$A,Base_Planos!$B:$B,"Não encontrado")</f>
        <v>#NAME?</v>
      </c>
      <c r="J666" s="2">
        <f>VLOOKUP(H666,Base_Planos!$A:$G,4,FALSE)</f>
        <v>59.9</v>
      </c>
      <c r="K666" s="4">
        <v>45084</v>
      </c>
      <c r="L666" t="s">
        <v>328</v>
      </c>
      <c r="M666" t="s">
        <v>44</v>
      </c>
      <c r="N666" s="4"/>
      <c r="O666" s="10">
        <f t="shared" ca="1" si="64"/>
        <v>1085</v>
      </c>
      <c r="P666" s="10" t="str">
        <f t="shared" ca="1" si="61"/>
        <v>Mais de 1 ano</v>
      </c>
      <c r="Q666">
        <f t="shared" si="66"/>
        <v>0</v>
      </c>
      <c r="R666">
        <v>3</v>
      </c>
      <c r="S666" s="11">
        <f t="shared" si="65"/>
        <v>0</v>
      </c>
      <c r="T666" s="11" t="str">
        <f t="shared" si="62"/>
        <v>Detrator</v>
      </c>
      <c r="U666" s="11" t="str">
        <f t="shared" si="63"/>
        <v>Alto risco</v>
      </c>
      <c r="V666">
        <v>0</v>
      </c>
      <c r="W666">
        <v>51</v>
      </c>
      <c r="X666" s="2">
        <v>57.55</v>
      </c>
      <c r="Y666">
        <v>36</v>
      </c>
      <c r="Z666" t="s">
        <v>35</v>
      </c>
    </row>
    <row r="667" spans="1:26">
      <c r="A667" t="s">
        <v>1184</v>
      </c>
      <c r="B667" t="s">
        <v>363</v>
      </c>
      <c r="C667" t="s">
        <v>71</v>
      </c>
      <c r="D667" t="s">
        <v>72</v>
      </c>
      <c r="E667">
        <v>61</v>
      </c>
      <c r="F667" t="s">
        <v>54</v>
      </c>
      <c r="G667" t="s">
        <v>96</v>
      </c>
      <c r="H667" t="s">
        <v>112</v>
      </c>
      <c r="I667" t="e">
        <f ca="1">_xludf.XLOOKUP(H667,Base_Planos!$A:$A,Base_Planos!$B:$B,"Não encontrado")</f>
        <v>#NAME?</v>
      </c>
      <c r="J667" s="2">
        <f>VLOOKUP(H667,Base_Planos!$A:$G,4,FALSE)</f>
        <v>79.900000000000006</v>
      </c>
      <c r="K667" s="4">
        <v>45981</v>
      </c>
      <c r="L667" t="s">
        <v>87</v>
      </c>
      <c r="M667" t="s">
        <v>44</v>
      </c>
      <c r="N667" s="4"/>
      <c r="O667" s="10">
        <f t="shared" ca="1" si="64"/>
        <v>188</v>
      </c>
      <c r="P667" s="10" t="str">
        <f t="shared" ca="1" si="61"/>
        <v>181 a 365 dias</v>
      </c>
      <c r="Q667">
        <f t="shared" si="66"/>
        <v>0</v>
      </c>
      <c r="R667">
        <v>10</v>
      </c>
      <c r="S667" s="11">
        <f t="shared" si="65"/>
        <v>0</v>
      </c>
      <c r="T667" s="11" t="str">
        <f t="shared" si="62"/>
        <v>Promotor</v>
      </c>
      <c r="U667" s="11" t="str">
        <f t="shared" si="63"/>
        <v>Baixo risco</v>
      </c>
      <c r="V667">
        <v>1</v>
      </c>
      <c r="W667">
        <v>56</v>
      </c>
      <c r="X667" s="2">
        <v>77.760000000000005</v>
      </c>
      <c r="Y667">
        <v>6</v>
      </c>
      <c r="Z667" t="s">
        <v>35</v>
      </c>
    </row>
    <row r="668" spans="1:26">
      <c r="A668" t="s">
        <v>1185</v>
      </c>
      <c r="B668" t="s">
        <v>89</v>
      </c>
      <c r="C668" t="s">
        <v>137</v>
      </c>
      <c r="D668" t="s">
        <v>29</v>
      </c>
      <c r="E668">
        <v>45</v>
      </c>
      <c r="F668" t="s">
        <v>40</v>
      </c>
      <c r="G668" t="s">
        <v>165</v>
      </c>
      <c r="H668" t="s">
        <v>42</v>
      </c>
      <c r="I668" t="e">
        <f ca="1">_xludf.XLOOKUP(H668,Base_Planos!$A:$A,Base_Planos!$B:$B,"Não encontrado")</f>
        <v>#NAME?</v>
      </c>
      <c r="J668" s="2">
        <f>VLOOKUP(H668,Base_Planos!$A:$G,4,FALSE)</f>
        <v>29.9</v>
      </c>
      <c r="K668" s="4">
        <v>46008</v>
      </c>
      <c r="L668" t="s">
        <v>170</v>
      </c>
      <c r="M668" t="s">
        <v>44</v>
      </c>
      <c r="N668" s="4"/>
      <c r="O668" s="10">
        <f t="shared" ca="1" si="64"/>
        <v>161</v>
      </c>
      <c r="P668" s="10" t="str">
        <f t="shared" ca="1" si="61"/>
        <v>91 a 180 dias</v>
      </c>
      <c r="Q668">
        <f t="shared" si="66"/>
        <v>0</v>
      </c>
      <c r="R668">
        <v>10</v>
      </c>
      <c r="S668" s="11">
        <f t="shared" si="65"/>
        <v>0</v>
      </c>
      <c r="T668" s="11" t="str">
        <f t="shared" si="62"/>
        <v>Promotor</v>
      </c>
      <c r="U668" s="11" t="str">
        <f t="shared" si="63"/>
        <v>Baixo risco</v>
      </c>
      <c r="V668">
        <v>3</v>
      </c>
      <c r="W668">
        <v>32</v>
      </c>
      <c r="X668" s="2">
        <v>30.69</v>
      </c>
      <c r="Y668">
        <v>5</v>
      </c>
      <c r="Z668" t="s">
        <v>35</v>
      </c>
    </row>
    <row r="669" spans="1:26">
      <c r="A669" t="s">
        <v>1186</v>
      </c>
      <c r="B669" t="s">
        <v>759</v>
      </c>
      <c r="C669" t="s">
        <v>94</v>
      </c>
      <c r="D669" t="s">
        <v>95</v>
      </c>
      <c r="E669">
        <v>22</v>
      </c>
      <c r="F669" t="s">
        <v>54</v>
      </c>
      <c r="G669" t="s">
        <v>96</v>
      </c>
      <c r="H669" t="s">
        <v>112</v>
      </c>
      <c r="I669" t="e">
        <f ca="1">_xludf.XLOOKUP(H669,Base_Planos!$A:$A,Base_Planos!$B:$B,"Não encontrado")</f>
        <v>#NAME?</v>
      </c>
      <c r="J669" s="2">
        <f>VLOOKUP(H669,Base_Planos!$A:$G,4,FALSE)</f>
        <v>79.900000000000006</v>
      </c>
      <c r="K669" s="4">
        <v>45031</v>
      </c>
      <c r="L669" t="s">
        <v>118</v>
      </c>
      <c r="M669" t="s">
        <v>44</v>
      </c>
      <c r="N669" s="4"/>
      <c r="O669" s="10">
        <f t="shared" ca="1" si="64"/>
        <v>1138</v>
      </c>
      <c r="P669" s="10" t="str">
        <f t="shared" ca="1" si="61"/>
        <v>Mais de 1 ano</v>
      </c>
      <c r="Q669">
        <f t="shared" si="66"/>
        <v>1</v>
      </c>
      <c r="R669">
        <v>6</v>
      </c>
      <c r="S669" s="11">
        <f t="shared" si="65"/>
        <v>79.900000000000006</v>
      </c>
      <c r="T669" s="11" t="str">
        <f t="shared" si="62"/>
        <v>Detrator</v>
      </c>
      <c r="U669" s="11" t="str">
        <f t="shared" si="63"/>
        <v>Alto risco</v>
      </c>
      <c r="V669">
        <v>3</v>
      </c>
      <c r="W669">
        <v>57</v>
      </c>
      <c r="X669" s="2">
        <v>78.77</v>
      </c>
      <c r="Y669">
        <v>37</v>
      </c>
      <c r="Z669" t="s">
        <v>35</v>
      </c>
    </row>
    <row r="670" spans="1:26">
      <c r="A670" t="s">
        <v>1187</v>
      </c>
      <c r="B670" t="s">
        <v>1188</v>
      </c>
      <c r="C670" t="s">
        <v>53</v>
      </c>
      <c r="D670" t="s">
        <v>29</v>
      </c>
      <c r="E670">
        <v>25</v>
      </c>
      <c r="F670" t="s">
        <v>30</v>
      </c>
      <c r="G670" t="s">
        <v>104</v>
      </c>
      <c r="H670" t="s">
        <v>42</v>
      </c>
      <c r="I670" t="e">
        <f ca="1">_xludf.XLOOKUP(H670,Base_Planos!$A:$A,Base_Planos!$B:$B,"Não encontrado")</f>
        <v>#NAME?</v>
      </c>
      <c r="J670" s="2">
        <f>VLOOKUP(H670,Base_Planos!$A:$G,4,FALSE)</f>
        <v>29.9</v>
      </c>
      <c r="K670" s="4">
        <v>45363</v>
      </c>
      <c r="L670" t="s">
        <v>126</v>
      </c>
      <c r="M670" t="s">
        <v>34</v>
      </c>
      <c r="N670" s="4">
        <v>46051</v>
      </c>
      <c r="O670" s="10">
        <f t="shared" ca="1" si="64"/>
        <v>688</v>
      </c>
      <c r="P670" s="10" t="str">
        <f t="shared" ca="1" si="61"/>
        <v>Mais de 1 ano</v>
      </c>
      <c r="Q670">
        <f t="shared" si="66"/>
        <v>0</v>
      </c>
      <c r="R670">
        <v>0</v>
      </c>
      <c r="S670" s="11">
        <f t="shared" si="65"/>
        <v>0</v>
      </c>
      <c r="T670" s="11" t="str">
        <f t="shared" si="62"/>
        <v>Detrator</v>
      </c>
      <c r="U670" s="11" t="str">
        <f t="shared" si="63"/>
        <v>Alto risco</v>
      </c>
      <c r="V670">
        <v>0</v>
      </c>
      <c r="W670">
        <v>20</v>
      </c>
      <c r="X670" s="2">
        <v>30.76</v>
      </c>
      <c r="Y670">
        <v>22</v>
      </c>
      <c r="Z670" t="s">
        <v>45</v>
      </c>
    </row>
    <row r="671" spans="1:26">
      <c r="A671" t="s">
        <v>1189</v>
      </c>
      <c r="B671" t="s">
        <v>1190</v>
      </c>
      <c r="C671" t="s">
        <v>90</v>
      </c>
      <c r="D671" t="s">
        <v>29</v>
      </c>
      <c r="E671">
        <v>49</v>
      </c>
      <c r="F671" t="s">
        <v>30</v>
      </c>
      <c r="G671" t="s">
        <v>67</v>
      </c>
      <c r="H671" t="s">
        <v>61</v>
      </c>
      <c r="I671" t="e">
        <f ca="1">_xludf.XLOOKUP(H671,Base_Planos!$A:$A,Base_Planos!$B:$B,"Não encontrado")</f>
        <v>#NAME?</v>
      </c>
      <c r="J671" s="2">
        <f>VLOOKUP(H671,Base_Planos!$A:$G,4,FALSE)</f>
        <v>59.9</v>
      </c>
      <c r="K671" s="4">
        <v>45599</v>
      </c>
      <c r="L671" t="s">
        <v>83</v>
      </c>
      <c r="M671" t="s">
        <v>34</v>
      </c>
      <c r="N671" s="4">
        <v>45992</v>
      </c>
      <c r="O671" s="10">
        <f t="shared" ca="1" si="64"/>
        <v>393</v>
      </c>
      <c r="P671" s="10" t="str">
        <f t="shared" ca="1" si="61"/>
        <v>Mais de 1 ano</v>
      </c>
      <c r="Q671">
        <f t="shared" si="66"/>
        <v>0</v>
      </c>
      <c r="R671">
        <v>4</v>
      </c>
      <c r="S671" s="11">
        <f t="shared" si="65"/>
        <v>0</v>
      </c>
      <c r="T671" s="11" t="str">
        <f t="shared" si="62"/>
        <v>Detrator</v>
      </c>
      <c r="U671" s="11" t="str">
        <f t="shared" si="63"/>
        <v>Alto risco</v>
      </c>
      <c r="V671">
        <v>2</v>
      </c>
      <c r="W671">
        <v>59</v>
      </c>
      <c r="X671" s="2">
        <v>56.08</v>
      </c>
      <c r="Y671">
        <v>13</v>
      </c>
      <c r="Z671" t="s">
        <v>45</v>
      </c>
    </row>
    <row r="672" spans="1:26">
      <c r="A672" t="s">
        <v>1191</v>
      </c>
      <c r="B672" t="s">
        <v>195</v>
      </c>
      <c r="C672" t="s">
        <v>38</v>
      </c>
      <c r="D672" t="s">
        <v>39</v>
      </c>
      <c r="E672">
        <v>50</v>
      </c>
      <c r="F672" t="s">
        <v>66</v>
      </c>
      <c r="G672" t="s">
        <v>41</v>
      </c>
      <c r="H672" t="s">
        <v>32</v>
      </c>
      <c r="I672" t="e">
        <f ca="1">_xludf.XLOOKUP(H672,Base_Planos!$A:$A,Base_Planos!$B:$B,"Não encontrado")</f>
        <v>#NAME?</v>
      </c>
      <c r="J672" s="2">
        <f>VLOOKUP(H672,Base_Planos!$A:$G,4,FALSE)</f>
        <v>39.9</v>
      </c>
      <c r="K672" s="4">
        <v>45925</v>
      </c>
      <c r="L672" t="s">
        <v>189</v>
      </c>
      <c r="M672" t="s">
        <v>44</v>
      </c>
      <c r="N672" s="4"/>
      <c r="O672" s="10">
        <f t="shared" ca="1" si="64"/>
        <v>244</v>
      </c>
      <c r="P672" s="10" t="str">
        <f t="shared" ca="1" si="61"/>
        <v>181 a 365 dias</v>
      </c>
      <c r="Q672">
        <f t="shared" si="66"/>
        <v>0</v>
      </c>
      <c r="R672">
        <v>0</v>
      </c>
      <c r="S672" s="11">
        <f t="shared" si="65"/>
        <v>0</v>
      </c>
      <c r="T672" s="11" t="str">
        <f t="shared" si="62"/>
        <v>Detrator</v>
      </c>
      <c r="U672" s="11" t="str">
        <f t="shared" si="63"/>
        <v>Alto risco</v>
      </c>
      <c r="V672">
        <v>0</v>
      </c>
      <c r="W672">
        <v>90</v>
      </c>
      <c r="X672" s="2">
        <v>36.299999999999997</v>
      </c>
      <c r="Y672">
        <v>8</v>
      </c>
      <c r="Z672" t="s">
        <v>35</v>
      </c>
    </row>
    <row r="673" spans="1:26">
      <c r="A673" t="s">
        <v>1192</v>
      </c>
      <c r="B673" t="s">
        <v>556</v>
      </c>
      <c r="C673" t="s">
        <v>38</v>
      </c>
      <c r="D673" t="s">
        <v>39</v>
      </c>
      <c r="E673">
        <v>35</v>
      </c>
      <c r="F673" t="s">
        <v>30</v>
      </c>
      <c r="G673" t="s">
        <v>104</v>
      </c>
      <c r="H673" t="s">
        <v>61</v>
      </c>
      <c r="I673" t="e">
        <f ca="1">_xludf.XLOOKUP(H673,Base_Planos!$A:$A,Base_Planos!$B:$B,"Não encontrado")</f>
        <v>#NAME?</v>
      </c>
      <c r="J673" s="2">
        <f>VLOOKUP(H673,Base_Planos!$A:$G,4,FALSE)</f>
        <v>59.9</v>
      </c>
      <c r="K673" s="4">
        <v>45826</v>
      </c>
      <c r="L673" t="s">
        <v>167</v>
      </c>
      <c r="M673" t="s">
        <v>44</v>
      </c>
      <c r="N673" s="4"/>
      <c r="O673" s="10">
        <f t="shared" ca="1" si="64"/>
        <v>343</v>
      </c>
      <c r="P673" s="10" t="str">
        <f t="shared" ca="1" si="61"/>
        <v>181 a 365 dias</v>
      </c>
      <c r="Q673">
        <f t="shared" si="66"/>
        <v>0</v>
      </c>
      <c r="R673">
        <v>2</v>
      </c>
      <c r="S673" s="11">
        <f t="shared" si="65"/>
        <v>0</v>
      </c>
      <c r="T673" s="11" t="str">
        <f t="shared" si="62"/>
        <v>Detrator</v>
      </c>
      <c r="U673" s="11" t="str">
        <f t="shared" si="63"/>
        <v>Alto risco</v>
      </c>
      <c r="V673">
        <v>0</v>
      </c>
      <c r="W673">
        <v>92</v>
      </c>
      <c r="X673" s="2">
        <v>59.41</v>
      </c>
      <c r="Y673">
        <v>11</v>
      </c>
      <c r="Z673" t="s">
        <v>45</v>
      </c>
    </row>
    <row r="674" spans="1:26">
      <c r="A674" t="s">
        <v>1193</v>
      </c>
      <c r="B674" t="s">
        <v>1194</v>
      </c>
      <c r="C674" t="s">
        <v>140</v>
      </c>
      <c r="D674" t="s">
        <v>141</v>
      </c>
      <c r="E674">
        <v>20</v>
      </c>
      <c r="F674" t="s">
        <v>30</v>
      </c>
      <c r="G674" t="s">
        <v>41</v>
      </c>
      <c r="H674" t="s">
        <v>82</v>
      </c>
      <c r="I674" t="e">
        <f ca="1">_xludf.XLOOKUP(H674,Base_Planos!$A:$A,Base_Planos!$B:$B,"Não encontrado")</f>
        <v>#NAME?</v>
      </c>
      <c r="J674" s="2">
        <f>VLOOKUP(H674,Base_Planos!$A:$G,4,FALSE)</f>
        <v>149.9</v>
      </c>
      <c r="K674" s="4">
        <v>44991</v>
      </c>
      <c r="L674" t="s">
        <v>68</v>
      </c>
      <c r="M674" t="s">
        <v>44</v>
      </c>
      <c r="N674" s="4"/>
      <c r="O674" s="10">
        <f t="shared" ca="1" si="64"/>
        <v>1178</v>
      </c>
      <c r="P674" s="10" t="str">
        <f t="shared" ca="1" si="61"/>
        <v>Mais de 1 ano</v>
      </c>
      <c r="Q674">
        <f t="shared" si="66"/>
        <v>1</v>
      </c>
      <c r="R674">
        <v>2</v>
      </c>
      <c r="S674" s="11">
        <f t="shared" si="65"/>
        <v>149.9</v>
      </c>
      <c r="T674" s="11" t="str">
        <f t="shared" si="62"/>
        <v>Detrator</v>
      </c>
      <c r="U674" s="11" t="str">
        <f t="shared" si="63"/>
        <v>Alto risco</v>
      </c>
      <c r="V674">
        <v>3</v>
      </c>
      <c r="W674">
        <v>0</v>
      </c>
      <c r="X674" s="2">
        <v>130.97999999999999</v>
      </c>
      <c r="Y674">
        <v>39</v>
      </c>
      <c r="Z674" t="s">
        <v>45</v>
      </c>
    </row>
    <row r="675" spans="1:26">
      <c r="A675" t="s">
        <v>1195</v>
      </c>
      <c r="B675" t="s">
        <v>670</v>
      </c>
      <c r="C675" t="s">
        <v>77</v>
      </c>
      <c r="D675" t="s">
        <v>78</v>
      </c>
      <c r="E675">
        <v>61</v>
      </c>
      <c r="F675" t="s">
        <v>40</v>
      </c>
      <c r="G675" t="s">
        <v>165</v>
      </c>
      <c r="H675" t="s">
        <v>82</v>
      </c>
      <c r="I675" t="e">
        <f ca="1">_xludf.XLOOKUP(H675,Base_Planos!$A:$A,Base_Planos!$B:$B,"Não encontrado")</f>
        <v>#NAME?</v>
      </c>
      <c r="J675" s="2">
        <f>VLOOKUP(H675,Base_Planos!$A:$G,4,FALSE)</f>
        <v>149.9</v>
      </c>
      <c r="K675" s="4">
        <v>45745</v>
      </c>
      <c r="L675" t="s">
        <v>454</v>
      </c>
      <c r="M675" t="s">
        <v>34</v>
      </c>
      <c r="N675" s="4">
        <v>45830</v>
      </c>
      <c r="O675" s="10">
        <f t="shared" ca="1" si="64"/>
        <v>85</v>
      </c>
      <c r="P675" s="10" t="str">
        <f t="shared" ca="1" si="61"/>
        <v>31 a 90 dias</v>
      </c>
      <c r="Q675">
        <f t="shared" si="66"/>
        <v>0</v>
      </c>
      <c r="R675">
        <v>8</v>
      </c>
      <c r="S675" s="11">
        <f t="shared" si="65"/>
        <v>0</v>
      </c>
      <c r="T675" s="11" t="str">
        <f t="shared" si="62"/>
        <v>Neutro</v>
      </c>
      <c r="U675" s="11" t="str">
        <f t="shared" si="63"/>
        <v>Médio risco</v>
      </c>
      <c r="V675">
        <v>2</v>
      </c>
      <c r="W675">
        <v>11</v>
      </c>
      <c r="X675" s="2">
        <v>131.19999999999999</v>
      </c>
      <c r="Y675">
        <v>2</v>
      </c>
      <c r="Z675" t="s">
        <v>35</v>
      </c>
    </row>
    <row r="676" spans="1:26">
      <c r="A676" t="s">
        <v>1196</v>
      </c>
      <c r="B676" t="s">
        <v>1197</v>
      </c>
      <c r="C676" t="s">
        <v>28</v>
      </c>
      <c r="D676" t="s">
        <v>29</v>
      </c>
      <c r="E676">
        <v>61</v>
      </c>
      <c r="F676" t="s">
        <v>30</v>
      </c>
      <c r="G676" t="s">
        <v>165</v>
      </c>
      <c r="H676" t="s">
        <v>112</v>
      </c>
      <c r="I676" t="e">
        <f ca="1">_xludf.XLOOKUP(H676,Base_Planos!$A:$A,Base_Planos!$B:$B,"Não encontrado")</f>
        <v>#NAME?</v>
      </c>
      <c r="J676" s="2">
        <f>VLOOKUP(H676,Base_Planos!$A:$G,4,FALSE)</f>
        <v>79.900000000000006</v>
      </c>
      <c r="K676" s="4">
        <v>44943</v>
      </c>
      <c r="L676" t="s">
        <v>153</v>
      </c>
      <c r="M676" t="s">
        <v>44</v>
      </c>
      <c r="N676" s="4"/>
      <c r="O676" s="10">
        <f t="shared" ca="1" si="64"/>
        <v>1226</v>
      </c>
      <c r="P676" s="10" t="str">
        <f t="shared" ca="1" si="61"/>
        <v>Mais de 1 ano</v>
      </c>
      <c r="Q676">
        <f t="shared" si="66"/>
        <v>0</v>
      </c>
      <c r="R676">
        <v>6</v>
      </c>
      <c r="S676" s="11">
        <f t="shared" si="65"/>
        <v>0</v>
      </c>
      <c r="T676" s="11" t="str">
        <f t="shared" si="62"/>
        <v>Detrator</v>
      </c>
      <c r="U676" s="11" t="str">
        <f t="shared" si="63"/>
        <v>Alto risco</v>
      </c>
      <c r="V676">
        <v>0</v>
      </c>
      <c r="W676">
        <v>59</v>
      </c>
      <c r="X676" s="2">
        <v>77.78</v>
      </c>
      <c r="Y676">
        <v>40</v>
      </c>
      <c r="Z676" t="s">
        <v>50</v>
      </c>
    </row>
    <row r="677" spans="1:26">
      <c r="A677" t="s">
        <v>1198</v>
      </c>
      <c r="B677" t="s">
        <v>1199</v>
      </c>
      <c r="C677" t="s">
        <v>94</v>
      </c>
      <c r="D677" t="s">
        <v>95</v>
      </c>
      <c r="E677">
        <v>33</v>
      </c>
      <c r="F677" t="s">
        <v>30</v>
      </c>
      <c r="G677" t="s">
        <v>55</v>
      </c>
      <c r="H677" t="s">
        <v>86</v>
      </c>
      <c r="I677" t="e">
        <f ca="1">_xludf.XLOOKUP(H677,Base_Planos!$A:$A,Base_Planos!$B:$B,"Não encontrado")</f>
        <v>#NAME?</v>
      </c>
      <c r="J677" s="2">
        <f>VLOOKUP(H677,Base_Planos!$A:$G,4,FALSE)</f>
        <v>119.9</v>
      </c>
      <c r="K677" s="4">
        <v>45433</v>
      </c>
      <c r="L677" t="s">
        <v>130</v>
      </c>
      <c r="M677" t="s">
        <v>44</v>
      </c>
      <c r="N677" s="4"/>
      <c r="O677" s="10">
        <f t="shared" ca="1" si="64"/>
        <v>736</v>
      </c>
      <c r="P677" s="10" t="str">
        <f t="shared" ca="1" si="61"/>
        <v>Mais de 1 ano</v>
      </c>
      <c r="Q677">
        <f t="shared" si="66"/>
        <v>0</v>
      </c>
      <c r="R677">
        <v>10</v>
      </c>
      <c r="S677" s="11">
        <f t="shared" si="65"/>
        <v>0</v>
      </c>
      <c r="T677" s="11" t="str">
        <f t="shared" si="62"/>
        <v>Promotor</v>
      </c>
      <c r="U677" s="11" t="str">
        <f t="shared" si="63"/>
        <v>Baixo risco</v>
      </c>
      <c r="V677">
        <v>1</v>
      </c>
      <c r="W677">
        <v>40</v>
      </c>
      <c r="X677" s="2">
        <v>118.73</v>
      </c>
      <c r="Y677">
        <v>24</v>
      </c>
      <c r="Z677" t="s">
        <v>35</v>
      </c>
    </row>
    <row r="678" spans="1:26">
      <c r="A678" t="s">
        <v>1200</v>
      </c>
      <c r="B678" t="s">
        <v>1201</v>
      </c>
      <c r="C678" t="s">
        <v>94</v>
      </c>
      <c r="D678" t="s">
        <v>95</v>
      </c>
      <c r="E678">
        <v>30</v>
      </c>
      <c r="F678" t="s">
        <v>201</v>
      </c>
      <c r="G678" t="s">
        <v>96</v>
      </c>
      <c r="H678" t="s">
        <v>42</v>
      </c>
      <c r="I678" t="e">
        <f ca="1">_xludf.XLOOKUP(H678,Base_Planos!$A:$A,Base_Planos!$B:$B,"Não encontrado")</f>
        <v>#NAME?</v>
      </c>
      <c r="J678" s="2">
        <f>VLOOKUP(H678,Base_Planos!$A:$G,4,FALSE)</f>
        <v>29.9</v>
      </c>
      <c r="K678" s="4">
        <v>45197</v>
      </c>
      <c r="L678" t="s">
        <v>105</v>
      </c>
      <c r="M678" t="s">
        <v>44</v>
      </c>
      <c r="N678" s="4"/>
      <c r="O678" s="10">
        <f t="shared" ca="1" si="64"/>
        <v>972</v>
      </c>
      <c r="P678" s="10" t="str">
        <f t="shared" ca="1" si="61"/>
        <v>Mais de 1 ano</v>
      </c>
      <c r="Q678">
        <f t="shared" si="66"/>
        <v>1</v>
      </c>
      <c r="R678">
        <v>6</v>
      </c>
      <c r="S678" s="11">
        <f t="shared" si="65"/>
        <v>29.9</v>
      </c>
      <c r="T678" s="11" t="str">
        <f t="shared" si="62"/>
        <v>Detrator</v>
      </c>
      <c r="U678" s="11" t="str">
        <f t="shared" si="63"/>
        <v>Alto risco</v>
      </c>
      <c r="V678">
        <v>3</v>
      </c>
      <c r="W678">
        <v>77</v>
      </c>
      <c r="X678" s="2">
        <v>29.1</v>
      </c>
      <c r="Y678">
        <v>32</v>
      </c>
      <c r="Z678" t="s">
        <v>45</v>
      </c>
    </row>
    <row r="679" spans="1:26">
      <c r="A679" t="s">
        <v>1202</v>
      </c>
      <c r="B679" t="s">
        <v>1203</v>
      </c>
      <c r="C679" t="s">
        <v>71</v>
      </c>
      <c r="D679" t="s">
        <v>72</v>
      </c>
      <c r="E679">
        <v>44</v>
      </c>
      <c r="F679" t="s">
        <v>54</v>
      </c>
      <c r="G679" t="s">
        <v>31</v>
      </c>
      <c r="H679" t="s">
        <v>42</v>
      </c>
      <c r="I679" t="e">
        <f ca="1">_xludf.XLOOKUP(H679,Base_Planos!$A:$A,Base_Planos!$B:$B,"Não encontrado")</f>
        <v>#NAME?</v>
      </c>
      <c r="J679" s="2">
        <f>VLOOKUP(H679,Base_Planos!$A:$G,4,FALSE)</f>
        <v>29.9</v>
      </c>
      <c r="K679" s="4">
        <v>45799</v>
      </c>
      <c r="L679" t="s">
        <v>97</v>
      </c>
      <c r="M679" t="s">
        <v>34</v>
      </c>
      <c r="N679" s="4">
        <v>46015</v>
      </c>
      <c r="O679" s="10">
        <f t="shared" ca="1" si="64"/>
        <v>216</v>
      </c>
      <c r="P679" s="10" t="str">
        <f t="shared" ca="1" si="61"/>
        <v>181 a 365 dias</v>
      </c>
      <c r="Q679">
        <f t="shared" si="66"/>
        <v>0</v>
      </c>
      <c r="R679">
        <v>7</v>
      </c>
      <c r="S679" s="11">
        <f t="shared" si="65"/>
        <v>0</v>
      </c>
      <c r="T679" s="11" t="str">
        <f t="shared" si="62"/>
        <v>Neutro</v>
      </c>
      <c r="U679" s="11" t="str">
        <f t="shared" si="63"/>
        <v>Médio risco</v>
      </c>
      <c r="V679">
        <v>0</v>
      </c>
      <c r="W679">
        <v>68</v>
      </c>
      <c r="X679" s="2">
        <v>31.05</v>
      </c>
      <c r="Y679">
        <v>7</v>
      </c>
      <c r="Z679" t="s">
        <v>50</v>
      </c>
    </row>
    <row r="680" spans="1:26">
      <c r="A680" t="s">
        <v>1204</v>
      </c>
      <c r="B680" t="s">
        <v>457</v>
      </c>
      <c r="C680" t="s">
        <v>59</v>
      </c>
      <c r="D680" t="s">
        <v>60</v>
      </c>
      <c r="E680">
        <v>38</v>
      </c>
      <c r="F680" t="s">
        <v>66</v>
      </c>
      <c r="G680" t="s">
        <v>96</v>
      </c>
      <c r="H680" t="s">
        <v>32</v>
      </c>
      <c r="I680" t="e">
        <f ca="1">_xludf.XLOOKUP(H680,Base_Planos!$A:$A,Base_Planos!$B:$B,"Não encontrado")</f>
        <v>#NAME?</v>
      </c>
      <c r="J680" s="2">
        <f>VLOOKUP(H680,Base_Planos!$A:$G,4,FALSE)</f>
        <v>39.9</v>
      </c>
      <c r="K680" s="4">
        <v>45033</v>
      </c>
      <c r="L680" t="s">
        <v>118</v>
      </c>
      <c r="M680" t="s">
        <v>44</v>
      </c>
      <c r="N680" s="4"/>
      <c r="O680" s="10">
        <f t="shared" ca="1" si="64"/>
        <v>1136</v>
      </c>
      <c r="P680" s="10" t="str">
        <f t="shared" ca="1" si="61"/>
        <v>Mais de 1 ano</v>
      </c>
      <c r="Q680">
        <f t="shared" si="66"/>
        <v>0</v>
      </c>
      <c r="R680">
        <v>10</v>
      </c>
      <c r="S680" s="11">
        <f t="shared" si="65"/>
        <v>0</v>
      </c>
      <c r="T680" s="11" t="str">
        <f t="shared" si="62"/>
        <v>Promotor</v>
      </c>
      <c r="U680" s="11" t="str">
        <f t="shared" si="63"/>
        <v>Baixo risco</v>
      </c>
      <c r="V680">
        <v>0</v>
      </c>
      <c r="W680">
        <v>37</v>
      </c>
      <c r="X680" s="2">
        <v>34.72</v>
      </c>
      <c r="Y680">
        <v>37</v>
      </c>
      <c r="Z680" t="s">
        <v>50</v>
      </c>
    </row>
    <row r="681" spans="1:26">
      <c r="A681" t="s">
        <v>1205</v>
      </c>
      <c r="B681" t="s">
        <v>111</v>
      </c>
      <c r="C681" t="s">
        <v>77</v>
      </c>
      <c r="D681" t="s">
        <v>78</v>
      </c>
      <c r="E681">
        <v>41</v>
      </c>
      <c r="F681" t="s">
        <v>30</v>
      </c>
      <c r="G681" t="s">
        <v>55</v>
      </c>
      <c r="H681" t="s">
        <v>32</v>
      </c>
      <c r="I681" t="e">
        <f ca="1">_xludf.XLOOKUP(H681,Base_Planos!$A:$A,Base_Planos!$B:$B,"Não encontrado")</f>
        <v>#NAME?</v>
      </c>
      <c r="J681" s="2">
        <f>VLOOKUP(H681,Base_Planos!$A:$G,4,FALSE)</f>
        <v>39.9</v>
      </c>
      <c r="K681" s="4">
        <v>44954</v>
      </c>
      <c r="L681" t="s">
        <v>153</v>
      </c>
      <c r="M681" t="s">
        <v>44</v>
      </c>
      <c r="N681" s="4"/>
      <c r="O681" s="10">
        <f t="shared" ca="1" si="64"/>
        <v>1215</v>
      </c>
      <c r="P681" s="10" t="str">
        <f t="shared" ca="1" si="61"/>
        <v>Mais de 1 ano</v>
      </c>
      <c r="Q681">
        <f t="shared" si="66"/>
        <v>1</v>
      </c>
      <c r="R681">
        <v>10</v>
      </c>
      <c r="S681" s="11">
        <f t="shared" si="65"/>
        <v>39.9</v>
      </c>
      <c r="T681" s="11" t="str">
        <f t="shared" si="62"/>
        <v>Promotor</v>
      </c>
      <c r="U681" s="11" t="str">
        <f t="shared" si="63"/>
        <v>Alto risco</v>
      </c>
      <c r="V681">
        <v>0</v>
      </c>
      <c r="W681">
        <v>39</v>
      </c>
      <c r="X681" s="2">
        <v>36.799999999999997</v>
      </c>
      <c r="Y681">
        <v>40</v>
      </c>
      <c r="Z681" t="s">
        <v>50</v>
      </c>
    </row>
    <row r="682" spans="1:26">
      <c r="A682" t="s">
        <v>1206</v>
      </c>
      <c r="B682" t="s">
        <v>673</v>
      </c>
      <c r="C682" t="s">
        <v>38</v>
      </c>
      <c r="D682" t="s">
        <v>39</v>
      </c>
      <c r="E682">
        <v>56</v>
      </c>
      <c r="F682" t="s">
        <v>54</v>
      </c>
      <c r="G682" t="s">
        <v>73</v>
      </c>
      <c r="H682" t="s">
        <v>42</v>
      </c>
      <c r="I682" t="e">
        <f ca="1">_xludf.XLOOKUP(H682,Base_Planos!$A:$A,Base_Planos!$B:$B,"Não encontrado")</f>
        <v>#NAME?</v>
      </c>
      <c r="J682" s="2">
        <f>VLOOKUP(H682,Base_Planos!$A:$G,4,FALSE)</f>
        <v>29.9</v>
      </c>
      <c r="K682" s="4">
        <v>45713</v>
      </c>
      <c r="L682" t="s">
        <v>289</v>
      </c>
      <c r="M682" t="s">
        <v>34</v>
      </c>
      <c r="N682" s="4">
        <v>46043</v>
      </c>
      <c r="O682" s="10">
        <f t="shared" ca="1" si="64"/>
        <v>330</v>
      </c>
      <c r="P682" s="10" t="str">
        <f t="shared" ca="1" si="61"/>
        <v>181 a 365 dias</v>
      </c>
      <c r="Q682">
        <f t="shared" si="66"/>
        <v>1</v>
      </c>
      <c r="R682">
        <v>1</v>
      </c>
      <c r="S682" s="11">
        <f t="shared" si="65"/>
        <v>29.9</v>
      </c>
      <c r="T682" s="11" t="str">
        <f t="shared" si="62"/>
        <v>Detrator</v>
      </c>
      <c r="U682" s="11" t="str">
        <f t="shared" si="63"/>
        <v>Alto risco</v>
      </c>
      <c r="V682">
        <v>1</v>
      </c>
      <c r="W682">
        <v>47</v>
      </c>
      <c r="X682" s="2">
        <v>30.7</v>
      </c>
      <c r="Y682">
        <v>11</v>
      </c>
      <c r="Z682" t="s">
        <v>35</v>
      </c>
    </row>
    <row r="683" spans="1:26">
      <c r="A683" t="s">
        <v>1207</v>
      </c>
      <c r="B683" t="s">
        <v>856</v>
      </c>
      <c r="C683" t="s">
        <v>59</v>
      </c>
      <c r="D683" t="s">
        <v>60</v>
      </c>
      <c r="E683">
        <v>63</v>
      </c>
      <c r="F683" t="s">
        <v>54</v>
      </c>
      <c r="G683" t="s">
        <v>55</v>
      </c>
      <c r="H683" t="s">
        <v>32</v>
      </c>
      <c r="I683" t="e">
        <f ca="1">_xludf.XLOOKUP(H683,Base_Planos!$A:$A,Base_Planos!$B:$B,"Não encontrado")</f>
        <v>#NAME?</v>
      </c>
      <c r="J683" s="2">
        <f>VLOOKUP(H683,Base_Planos!$A:$G,4,FALSE)</f>
        <v>39.9</v>
      </c>
      <c r="K683" s="4">
        <v>46046</v>
      </c>
      <c r="L683" t="s">
        <v>148</v>
      </c>
      <c r="M683" t="s">
        <v>34</v>
      </c>
      <c r="N683" s="4">
        <v>46168</v>
      </c>
      <c r="O683" s="10">
        <f t="shared" ca="1" si="64"/>
        <v>122</v>
      </c>
      <c r="P683" s="10" t="str">
        <f t="shared" ca="1" si="61"/>
        <v>91 a 180 dias</v>
      </c>
      <c r="Q683">
        <f t="shared" si="66"/>
        <v>0</v>
      </c>
      <c r="R683">
        <v>9</v>
      </c>
      <c r="S683" s="11">
        <f t="shared" si="65"/>
        <v>0</v>
      </c>
      <c r="T683" s="11" t="str">
        <f t="shared" si="62"/>
        <v>Promotor</v>
      </c>
      <c r="U683" s="11" t="str">
        <f t="shared" si="63"/>
        <v>Baixo risco</v>
      </c>
      <c r="V683">
        <v>4</v>
      </c>
      <c r="W683">
        <v>94</v>
      </c>
      <c r="X683" s="2">
        <v>34.26</v>
      </c>
      <c r="Y683">
        <v>4</v>
      </c>
      <c r="Z683" t="s">
        <v>50</v>
      </c>
    </row>
    <row r="684" spans="1:26">
      <c r="A684" t="s">
        <v>1208</v>
      </c>
      <c r="B684" t="s">
        <v>1209</v>
      </c>
      <c r="C684" t="s">
        <v>38</v>
      </c>
      <c r="D684" t="s">
        <v>39</v>
      </c>
      <c r="E684">
        <v>63</v>
      </c>
      <c r="F684" t="s">
        <v>30</v>
      </c>
      <c r="G684" t="s">
        <v>165</v>
      </c>
      <c r="H684" t="s">
        <v>86</v>
      </c>
      <c r="I684" t="e">
        <f ca="1">_xludf.XLOOKUP(H684,Base_Planos!$A:$A,Base_Planos!$B:$B,"Não encontrado")</f>
        <v>#NAME?</v>
      </c>
      <c r="J684" s="2">
        <f>VLOOKUP(H684,Base_Planos!$A:$G,4,FALSE)</f>
        <v>119.9</v>
      </c>
      <c r="K684" s="4">
        <v>45845</v>
      </c>
      <c r="L684" t="s">
        <v>212</v>
      </c>
      <c r="M684" t="s">
        <v>44</v>
      </c>
      <c r="N684" s="4"/>
      <c r="O684" s="10">
        <f t="shared" ca="1" si="64"/>
        <v>324</v>
      </c>
      <c r="P684" s="10" t="str">
        <f t="shared" ca="1" si="61"/>
        <v>181 a 365 dias</v>
      </c>
      <c r="Q684">
        <f t="shared" si="66"/>
        <v>1</v>
      </c>
      <c r="R684">
        <v>10</v>
      </c>
      <c r="S684" s="11">
        <f t="shared" si="65"/>
        <v>119.9</v>
      </c>
      <c r="T684" s="11" t="str">
        <f t="shared" si="62"/>
        <v>Promotor</v>
      </c>
      <c r="U684" s="11" t="str">
        <f t="shared" si="63"/>
        <v>Alto risco</v>
      </c>
      <c r="V684">
        <v>0</v>
      </c>
      <c r="W684">
        <v>0</v>
      </c>
      <c r="X684" s="2">
        <v>124.25</v>
      </c>
      <c r="Y684">
        <v>10</v>
      </c>
      <c r="Z684" t="s">
        <v>35</v>
      </c>
    </row>
    <row r="685" spans="1:26">
      <c r="A685" t="s">
        <v>1210</v>
      </c>
      <c r="B685" t="s">
        <v>1211</v>
      </c>
      <c r="C685" t="s">
        <v>94</v>
      </c>
      <c r="D685" t="s">
        <v>95</v>
      </c>
      <c r="E685">
        <v>56</v>
      </c>
      <c r="F685" t="s">
        <v>30</v>
      </c>
      <c r="G685" t="s">
        <v>96</v>
      </c>
      <c r="H685" t="s">
        <v>42</v>
      </c>
      <c r="I685" t="e">
        <f ca="1">_xludf.XLOOKUP(H685,Base_Planos!$A:$A,Base_Planos!$B:$B,"Não encontrado")</f>
        <v>#NAME?</v>
      </c>
      <c r="J685" s="2">
        <f>VLOOKUP(H685,Base_Planos!$A:$G,4,FALSE)</f>
        <v>29.9</v>
      </c>
      <c r="K685" s="4">
        <v>46086</v>
      </c>
      <c r="L685" t="s">
        <v>292</v>
      </c>
      <c r="M685" t="s">
        <v>34</v>
      </c>
      <c r="N685" s="4">
        <v>46159</v>
      </c>
      <c r="O685" s="10">
        <f t="shared" ca="1" si="64"/>
        <v>73</v>
      </c>
      <c r="P685" s="10" t="str">
        <f t="shared" ca="1" si="61"/>
        <v>31 a 90 dias</v>
      </c>
      <c r="Q685">
        <f t="shared" si="66"/>
        <v>1</v>
      </c>
      <c r="R685">
        <v>0</v>
      </c>
      <c r="S685" s="11">
        <f t="shared" si="65"/>
        <v>29.9</v>
      </c>
      <c r="T685" s="11" t="str">
        <f t="shared" si="62"/>
        <v>Detrator</v>
      </c>
      <c r="U685" s="11" t="str">
        <f t="shared" si="63"/>
        <v>Alto risco</v>
      </c>
      <c r="V685">
        <v>1</v>
      </c>
      <c r="W685">
        <v>15</v>
      </c>
      <c r="X685" s="2">
        <v>28.49</v>
      </c>
      <c r="Y685">
        <v>2</v>
      </c>
      <c r="Z685" t="s">
        <v>45</v>
      </c>
    </row>
    <row r="686" spans="1:26">
      <c r="A686" t="s">
        <v>1212</v>
      </c>
      <c r="B686" t="s">
        <v>1213</v>
      </c>
      <c r="C686" t="s">
        <v>77</v>
      </c>
      <c r="D686" t="s">
        <v>78</v>
      </c>
      <c r="E686">
        <v>50</v>
      </c>
      <c r="F686" t="s">
        <v>54</v>
      </c>
      <c r="G686" t="s">
        <v>41</v>
      </c>
      <c r="H686" t="s">
        <v>112</v>
      </c>
      <c r="I686" t="e">
        <f ca="1">_xludf.XLOOKUP(H686,Base_Planos!$A:$A,Base_Planos!$B:$B,"Não encontrado")</f>
        <v>#NAME?</v>
      </c>
      <c r="J686" s="2">
        <f>VLOOKUP(H686,Base_Planos!$A:$G,4,FALSE)</f>
        <v>79.900000000000006</v>
      </c>
      <c r="K686" s="4">
        <v>45483</v>
      </c>
      <c r="L686" t="s">
        <v>142</v>
      </c>
      <c r="M686" t="s">
        <v>44</v>
      </c>
      <c r="N686" s="4"/>
      <c r="O686" s="10">
        <f t="shared" ca="1" si="64"/>
        <v>686</v>
      </c>
      <c r="P686" s="10" t="str">
        <f t="shared" ca="1" si="61"/>
        <v>Mais de 1 ano</v>
      </c>
      <c r="Q686">
        <f t="shared" si="66"/>
        <v>0</v>
      </c>
      <c r="R686">
        <v>3</v>
      </c>
      <c r="S686" s="11">
        <f t="shared" si="65"/>
        <v>0</v>
      </c>
      <c r="T686" s="11" t="str">
        <f t="shared" si="62"/>
        <v>Detrator</v>
      </c>
      <c r="U686" s="11" t="str">
        <f t="shared" si="63"/>
        <v>Alto risco</v>
      </c>
      <c r="V686">
        <v>0</v>
      </c>
      <c r="W686">
        <v>72</v>
      </c>
      <c r="X686" s="2">
        <v>81.96</v>
      </c>
      <c r="Y686">
        <v>22</v>
      </c>
      <c r="Z686" t="s">
        <v>35</v>
      </c>
    </row>
    <row r="687" spans="1:26">
      <c r="A687" t="s">
        <v>1214</v>
      </c>
      <c r="B687" t="s">
        <v>796</v>
      </c>
      <c r="C687" t="s">
        <v>77</v>
      </c>
      <c r="D687" t="s">
        <v>78</v>
      </c>
      <c r="E687">
        <v>50</v>
      </c>
      <c r="F687" t="s">
        <v>40</v>
      </c>
      <c r="G687" t="s">
        <v>73</v>
      </c>
      <c r="H687" t="s">
        <v>42</v>
      </c>
      <c r="I687" t="e">
        <f ca="1">_xludf.XLOOKUP(H687,Base_Planos!$A:$A,Base_Planos!$B:$B,"Não encontrado")</f>
        <v>#NAME?</v>
      </c>
      <c r="J687" s="2">
        <f>VLOOKUP(H687,Base_Planos!$A:$G,4,FALSE)</f>
        <v>29.9</v>
      </c>
      <c r="K687" s="4">
        <v>45378</v>
      </c>
      <c r="L687" t="s">
        <v>126</v>
      </c>
      <c r="M687" t="s">
        <v>34</v>
      </c>
      <c r="N687" s="4">
        <v>45651</v>
      </c>
      <c r="O687" s="10">
        <f t="shared" ca="1" si="64"/>
        <v>273</v>
      </c>
      <c r="P687" s="10" t="str">
        <f t="shared" ca="1" si="61"/>
        <v>181 a 365 dias</v>
      </c>
      <c r="Q687">
        <f t="shared" si="66"/>
        <v>0</v>
      </c>
      <c r="R687">
        <v>4</v>
      </c>
      <c r="S687" s="11">
        <f t="shared" si="65"/>
        <v>0</v>
      </c>
      <c r="T687" s="11" t="str">
        <f t="shared" si="62"/>
        <v>Detrator</v>
      </c>
      <c r="U687" s="11" t="str">
        <f t="shared" si="63"/>
        <v>Alto risco</v>
      </c>
      <c r="V687">
        <v>0</v>
      </c>
      <c r="W687">
        <v>22</v>
      </c>
      <c r="X687" s="2">
        <v>29.24</v>
      </c>
      <c r="Y687">
        <v>9</v>
      </c>
      <c r="Z687" t="s">
        <v>35</v>
      </c>
    </row>
    <row r="688" spans="1:26">
      <c r="A688" t="s">
        <v>1215</v>
      </c>
      <c r="B688" t="s">
        <v>1216</v>
      </c>
      <c r="C688" t="s">
        <v>94</v>
      </c>
      <c r="D688" t="s">
        <v>95</v>
      </c>
      <c r="E688">
        <v>35</v>
      </c>
      <c r="F688" t="s">
        <v>66</v>
      </c>
      <c r="G688" t="s">
        <v>67</v>
      </c>
      <c r="H688" t="s">
        <v>61</v>
      </c>
      <c r="I688" t="e">
        <f ca="1">_xludf.XLOOKUP(H688,Base_Planos!$A:$A,Base_Planos!$B:$B,"Não encontrado")</f>
        <v>#NAME?</v>
      </c>
      <c r="J688" s="2">
        <f>VLOOKUP(H688,Base_Planos!$A:$G,4,FALSE)</f>
        <v>59.9</v>
      </c>
      <c r="K688" s="4">
        <v>45436</v>
      </c>
      <c r="L688" t="s">
        <v>130</v>
      </c>
      <c r="M688" t="s">
        <v>44</v>
      </c>
      <c r="N688" s="4"/>
      <c r="O688" s="10">
        <f t="shared" ca="1" si="64"/>
        <v>733</v>
      </c>
      <c r="P688" s="10" t="str">
        <f t="shared" ca="1" si="61"/>
        <v>Mais de 1 ano</v>
      </c>
      <c r="Q688">
        <f t="shared" si="66"/>
        <v>0</v>
      </c>
      <c r="R688">
        <v>3</v>
      </c>
      <c r="S688" s="11">
        <f t="shared" si="65"/>
        <v>0</v>
      </c>
      <c r="T688" s="11" t="str">
        <f t="shared" si="62"/>
        <v>Detrator</v>
      </c>
      <c r="U688" s="11" t="str">
        <f t="shared" si="63"/>
        <v>Alto risco</v>
      </c>
      <c r="V688">
        <v>0</v>
      </c>
      <c r="W688">
        <v>56</v>
      </c>
      <c r="X688" s="2">
        <v>55.34</v>
      </c>
      <c r="Y688">
        <v>24</v>
      </c>
      <c r="Z688" t="s">
        <v>35</v>
      </c>
    </row>
    <row r="689" spans="1:26">
      <c r="A689" t="s">
        <v>1217</v>
      </c>
      <c r="B689" t="s">
        <v>419</v>
      </c>
      <c r="C689" t="s">
        <v>140</v>
      </c>
      <c r="D689" t="s">
        <v>141</v>
      </c>
      <c r="E689">
        <v>64</v>
      </c>
      <c r="F689" t="s">
        <v>30</v>
      </c>
      <c r="G689" t="s">
        <v>73</v>
      </c>
      <c r="H689" t="s">
        <v>42</v>
      </c>
      <c r="I689" t="e">
        <f ca="1">_xludf.XLOOKUP(H689,Base_Planos!$A:$A,Base_Planos!$B:$B,"Não encontrado")</f>
        <v>#NAME?</v>
      </c>
      <c r="J689" s="2">
        <f>VLOOKUP(H689,Base_Planos!$A:$G,4,FALSE)</f>
        <v>29.9</v>
      </c>
      <c r="K689" s="4">
        <v>45044</v>
      </c>
      <c r="L689" t="s">
        <v>118</v>
      </c>
      <c r="M689" t="s">
        <v>44</v>
      </c>
      <c r="N689" s="4"/>
      <c r="O689" s="10">
        <f t="shared" ca="1" si="64"/>
        <v>1125</v>
      </c>
      <c r="P689" s="10" t="str">
        <f t="shared" ca="1" si="61"/>
        <v>Mais de 1 ano</v>
      </c>
      <c r="Q689">
        <f t="shared" si="66"/>
        <v>0</v>
      </c>
      <c r="R689">
        <v>10</v>
      </c>
      <c r="S689" s="11">
        <f t="shared" si="65"/>
        <v>0</v>
      </c>
      <c r="T689" s="11" t="str">
        <f t="shared" si="62"/>
        <v>Promotor</v>
      </c>
      <c r="U689" s="11" t="str">
        <f t="shared" si="63"/>
        <v>Baixo risco</v>
      </c>
      <c r="V689">
        <v>0</v>
      </c>
      <c r="W689">
        <v>9</v>
      </c>
      <c r="X689" s="2">
        <v>26.47</v>
      </c>
      <c r="Y689">
        <v>37</v>
      </c>
      <c r="Z689" t="s">
        <v>35</v>
      </c>
    </row>
    <row r="690" spans="1:26">
      <c r="A690" t="s">
        <v>1218</v>
      </c>
      <c r="B690" t="s">
        <v>782</v>
      </c>
      <c r="C690" t="s">
        <v>65</v>
      </c>
      <c r="D690" t="s">
        <v>29</v>
      </c>
      <c r="E690">
        <v>55</v>
      </c>
      <c r="F690" t="s">
        <v>30</v>
      </c>
      <c r="G690" t="s">
        <v>41</v>
      </c>
      <c r="H690" t="s">
        <v>166</v>
      </c>
      <c r="I690" t="e">
        <f ca="1">_xludf.XLOOKUP(H690,Base_Planos!$A:$A,Base_Planos!$B:$B,"Não encontrado")</f>
        <v>#NAME?</v>
      </c>
      <c r="J690" s="2">
        <f>VLOOKUP(H690,Base_Planos!$A:$G,4,FALSE)</f>
        <v>399.9</v>
      </c>
      <c r="K690" s="4">
        <v>45454</v>
      </c>
      <c r="L690" t="s">
        <v>145</v>
      </c>
      <c r="M690" t="s">
        <v>34</v>
      </c>
      <c r="N690" s="4">
        <v>45759</v>
      </c>
      <c r="O690" s="10">
        <f t="shared" ca="1" si="64"/>
        <v>305</v>
      </c>
      <c r="P690" s="10" t="str">
        <f t="shared" ca="1" si="61"/>
        <v>181 a 365 dias</v>
      </c>
      <c r="Q690">
        <f t="shared" si="66"/>
        <v>0</v>
      </c>
      <c r="R690">
        <v>10</v>
      </c>
      <c r="S690" s="11">
        <f t="shared" si="65"/>
        <v>0</v>
      </c>
      <c r="T690" s="11" t="str">
        <f t="shared" si="62"/>
        <v>Promotor</v>
      </c>
      <c r="U690" s="11" t="str">
        <f t="shared" si="63"/>
        <v>Baixo risco</v>
      </c>
      <c r="V690">
        <v>2</v>
      </c>
      <c r="W690">
        <v>30</v>
      </c>
      <c r="X690" s="2">
        <v>386.44</v>
      </c>
      <c r="Y690">
        <v>10</v>
      </c>
      <c r="Z690" t="s">
        <v>35</v>
      </c>
    </row>
    <row r="691" spans="1:26">
      <c r="A691" t="s">
        <v>1219</v>
      </c>
      <c r="B691" t="s">
        <v>467</v>
      </c>
      <c r="C691" t="s">
        <v>94</v>
      </c>
      <c r="D691" t="s">
        <v>95</v>
      </c>
      <c r="E691">
        <v>46</v>
      </c>
      <c r="F691" t="s">
        <v>30</v>
      </c>
      <c r="G691" t="s">
        <v>41</v>
      </c>
      <c r="H691" t="s">
        <v>112</v>
      </c>
      <c r="I691" t="e">
        <f ca="1">_xludf.XLOOKUP(H691,Base_Planos!$A:$A,Base_Planos!$B:$B,"Não encontrado")</f>
        <v>#NAME?</v>
      </c>
      <c r="J691" s="2">
        <f>VLOOKUP(H691,Base_Planos!$A:$G,4,FALSE)</f>
        <v>79.900000000000006</v>
      </c>
      <c r="K691" s="4">
        <v>45908</v>
      </c>
      <c r="L691" t="s">
        <v>189</v>
      </c>
      <c r="M691" t="s">
        <v>34</v>
      </c>
      <c r="N691" s="4">
        <v>46083</v>
      </c>
      <c r="O691" s="10">
        <f t="shared" ca="1" si="64"/>
        <v>175</v>
      </c>
      <c r="P691" s="10" t="str">
        <f t="shared" ca="1" si="61"/>
        <v>91 a 180 dias</v>
      </c>
      <c r="Q691">
        <f t="shared" si="66"/>
        <v>0</v>
      </c>
      <c r="R691">
        <v>1</v>
      </c>
      <c r="S691" s="11">
        <f t="shared" si="65"/>
        <v>0</v>
      </c>
      <c r="T691" s="11" t="str">
        <f t="shared" si="62"/>
        <v>Detrator</v>
      </c>
      <c r="U691" s="11" t="str">
        <f t="shared" si="63"/>
        <v>Alto risco</v>
      </c>
      <c r="V691">
        <v>2</v>
      </c>
      <c r="W691">
        <v>57</v>
      </c>
      <c r="X691" s="2">
        <v>79.569999999999993</v>
      </c>
      <c r="Y691">
        <v>5</v>
      </c>
      <c r="Z691" t="s">
        <v>35</v>
      </c>
    </row>
    <row r="692" spans="1:26">
      <c r="A692" t="s">
        <v>1220</v>
      </c>
      <c r="B692" t="s">
        <v>1097</v>
      </c>
      <c r="C692" t="s">
        <v>28</v>
      </c>
      <c r="D692" t="s">
        <v>29</v>
      </c>
      <c r="E692">
        <v>37</v>
      </c>
      <c r="F692" t="s">
        <v>30</v>
      </c>
      <c r="G692" t="s">
        <v>96</v>
      </c>
      <c r="H692" t="s">
        <v>82</v>
      </c>
      <c r="I692" t="e">
        <f ca="1">_xludf.XLOOKUP(H692,Base_Planos!$A:$A,Base_Planos!$B:$B,"Não encontrado")</f>
        <v>#NAME?</v>
      </c>
      <c r="J692" s="2">
        <f>VLOOKUP(H692,Base_Planos!$A:$G,4,FALSE)</f>
        <v>149.9</v>
      </c>
      <c r="K692" s="4">
        <v>45311</v>
      </c>
      <c r="L692" t="s">
        <v>516</v>
      </c>
      <c r="M692" t="s">
        <v>44</v>
      </c>
      <c r="N692" s="4"/>
      <c r="O692" s="10">
        <f t="shared" ca="1" si="64"/>
        <v>858</v>
      </c>
      <c r="P692" s="10" t="str">
        <f t="shared" ca="1" si="61"/>
        <v>Mais de 1 ano</v>
      </c>
      <c r="Q692">
        <f t="shared" si="66"/>
        <v>1</v>
      </c>
      <c r="R692">
        <v>1</v>
      </c>
      <c r="S692" s="11">
        <f t="shared" si="65"/>
        <v>149.9</v>
      </c>
      <c r="T692" s="11" t="str">
        <f t="shared" si="62"/>
        <v>Detrator</v>
      </c>
      <c r="U692" s="11" t="str">
        <f t="shared" si="63"/>
        <v>Alto risco</v>
      </c>
      <c r="V692">
        <v>0</v>
      </c>
      <c r="W692">
        <v>80</v>
      </c>
      <c r="X692" s="2">
        <v>139.47999999999999</v>
      </c>
      <c r="Y692">
        <v>28</v>
      </c>
      <c r="Z692" t="s">
        <v>35</v>
      </c>
    </row>
    <row r="693" spans="1:26">
      <c r="A693" t="s">
        <v>1221</v>
      </c>
      <c r="B693" t="s">
        <v>1199</v>
      </c>
      <c r="C693" t="s">
        <v>94</v>
      </c>
      <c r="D693" t="s">
        <v>95</v>
      </c>
      <c r="E693">
        <v>64</v>
      </c>
      <c r="F693" t="s">
        <v>40</v>
      </c>
      <c r="G693" t="s">
        <v>67</v>
      </c>
      <c r="H693" t="s">
        <v>61</v>
      </c>
      <c r="I693" t="e">
        <f ca="1">_xludf.XLOOKUP(H693,Base_Planos!$A:$A,Base_Planos!$B:$B,"Não encontrado")</f>
        <v>#NAME?</v>
      </c>
      <c r="J693" s="2">
        <f>VLOOKUP(H693,Base_Planos!$A:$G,4,FALSE)</f>
        <v>59.9</v>
      </c>
      <c r="K693" s="4">
        <v>45700</v>
      </c>
      <c r="L693" t="s">
        <v>289</v>
      </c>
      <c r="M693" t="s">
        <v>44</v>
      </c>
      <c r="N693" s="4"/>
      <c r="O693" s="10">
        <f t="shared" ca="1" si="64"/>
        <v>469</v>
      </c>
      <c r="P693" s="10" t="str">
        <f t="shared" ca="1" si="61"/>
        <v>Mais de 1 ano</v>
      </c>
      <c r="Q693">
        <f t="shared" si="66"/>
        <v>0</v>
      </c>
      <c r="R693">
        <v>6</v>
      </c>
      <c r="S693" s="11">
        <f t="shared" si="65"/>
        <v>0</v>
      </c>
      <c r="T693" s="11" t="str">
        <f t="shared" si="62"/>
        <v>Detrator</v>
      </c>
      <c r="U693" s="11" t="str">
        <f t="shared" si="63"/>
        <v>Alto risco</v>
      </c>
      <c r="V693">
        <v>1</v>
      </c>
      <c r="W693">
        <v>63</v>
      </c>
      <c r="X693" s="2">
        <v>51.44</v>
      </c>
      <c r="Y693">
        <v>15</v>
      </c>
      <c r="Z693" t="s">
        <v>35</v>
      </c>
    </row>
    <row r="694" spans="1:26">
      <c r="A694" t="s">
        <v>1222</v>
      </c>
      <c r="B694" t="s">
        <v>1223</v>
      </c>
      <c r="C694" t="s">
        <v>140</v>
      </c>
      <c r="D694" t="s">
        <v>141</v>
      </c>
      <c r="E694">
        <v>27</v>
      </c>
      <c r="F694" t="s">
        <v>66</v>
      </c>
      <c r="G694" t="s">
        <v>67</v>
      </c>
      <c r="H694" t="s">
        <v>82</v>
      </c>
      <c r="I694" t="e">
        <f ca="1">_xludf.XLOOKUP(H694,Base_Planos!$A:$A,Base_Planos!$B:$B,"Não encontrado")</f>
        <v>#NAME?</v>
      </c>
      <c r="J694" s="2">
        <f>VLOOKUP(H694,Base_Planos!$A:$G,4,FALSE)</f>
        <v>149.9</v>
      </c>
      <c r="K694" s="4">
        <v>44946</v>
      </c>
      <c r="L694" t="s">
        <v>153</v>
      </c>
      <c r="M694" t="s">
        <v>34</v>
      </c>
      <c r="N694" s="4">
        <v>45261</v>
      </c>
      <c r="O694" s="10">
        <f t="shared" ca="1" si="64"/>
        <v>315</v>
      </c>
      <c r="P694" s="10" t="str">
        <f t="shared" ca="1" si="61"/>
        <v>181 a 365 dias</v>
      </c>
      <c r="Q694">
        <f t="shared" si="66"/>
        <v>1</v>
      </c>
      <c r="R694">
        <v>1</v>
      </c>
      <c r="S694" s="11">
        <f t="shared" si="65"/>
        <v>149.9</v>
      </c>
      <c r="T694" s="11" t="str">
        <f t="shared" si="62"/>
        <v>Detrator</v>
      </c>
      <c r="U694" s="11" t="str">
        <f t="shared" si="63"/>
        <v>Alto risco</v>
      </c>
      <c r="V694">
        <v>2</v>
      </c>
      <c r="W694">
        <v>43</v>
      </c>
      <c r="X694" s="2">
        <v>144.29</v>
      </c>
      <c r="Y694">
        <v>10</v>
      </c>
      <c r="Z694" t="s">
        <v>45</v>
      </c>
    </row>
    <row r="695" spans="1:26">
      <c r="A695" t="s">
        <v>1224</v>
      </c>
      <c r="B695" t="s">
        <v>1082</v>
      </c>
      <c r="C695" t="s">
        <v>140</v>
      </c>
      <c r="D695" t="s">
        <v>141</v>
      </c>
      <c r="E695">
        <v>39</v>
      </c>
      <c r="F695" t="s">
        <v>54</v>
      </c>
      <c r="G695" t="s">
        <v>31</v>
      </c>
      <c r="H695" t="s">
        <v>32</v>
      </c>
      <c r="I695" t="e">
        <f ca="1">_xludf.XLOOKUP(H695,Base_Planos!$A:$A,Base_Planos!$B:$B,"Não encontrado")</f>
        <v>#NAME?</v>
      </c>
      <c r="J695" s="2">
        <f>VLOOKUP(H695,Base_Planos!$A:$G,4,FALSE)</f>
        <v>39.9</v>
      </c>
      <c r="K695" s="4">
        <v>45474</v>
      </c>
      <c r="L695" t="s">
        <v>142</v>
      </c>
      <c r="M695" t="s">
        <v>44</v>
      </c>
      <c r="N695" s="4"/>
      <c r="O695" s="10">
        <f t="shared" ca="1" si="64"/>
        <v>695</v>
      </c>
      <c r="P695" s="10" t="str">
        <f t="shared" ca="1" si="61"/>
        <v>Mais de 1 ano</v>
      </c>
      <c r="Q695">
        <f t="shared" si="66"/>
        <v>0</v>
      </c>
      <c r="R695">
        <v>10</v>
      </c>
      <c r="S695" s="11">
        <f t="shared" si="65"/>
        <v>0</v>
      </c>
      <c r="T695" s="11" t="str">
        <f t="shared" si="62"/>
        <v>Promotor</v>
      </c>
      <c r="U695" s="11" t="str">
        <f t="shared" si="63"/>
        <v>Baixo risco</v>
      </c>
      <c r="V695">
        <v>0</v>
      </c>
      <c r="W695">
        <v>55</v>
      </c>
      <c r="X695" s="2">
        <v>34.729999999999997</v>
      </c>
      <c r="Y695">
        <v>23</v>
      </c>
      <c r="Z695" t="s">
        <v>50</v>
      </c>
    </row>
    <row r="696" spans="1:26">
      <c r="A696" t="s">
        <v>1225</v>
      </c>
      <c r="B696" t="s">
        <v>263</v>
      </c>
      <c r="C696" t="s">
        <v>94</v>
      </c>
      <c r="D696" t="s">
        <v>95</v>
      </c>
      <c r="E696">
        <v>18</v>
      </c>
      <c r="F696" t="s">
        <v>66</v>
      </c>
      <c r="G696" t="s">
        <v>67</v>
      </c>
      <c r="H696" t="s">
        <v>42</v>
      </c>
      <c r="I696" t="e">
        <f ca="1">_xludf.XLOOKUP(H696,Base_Planos!$A:$A,Base_Planos!$B:$B,"Não encontrado")</f>
        <v>#NAME?</v>
      </c>
      <c r="J696" s="2">
        <f>VLOOKUP(H696,Base_Planos!$A:$G,4,FALSE)</f>
        <v>29.9</v>
      </c>
      <c r="K696" s="4">
        <v>45716</v>
      </c>
      <c r="L696" t="s">
        <v>289</v>
      </c>
      <c r="M696" t="s">
        <v>44</v>
      </c>
      <c r="N696" s="4"/>
      <c r="O696" s="10">
        <f t="shared" ca="1" si="64"/>
        <v>453</v>
      </c>
      <c r="P696" s="10" t="str">
        <f t="shared" ca="1" si="61"/>
        <v>Mais de 1 ano</v>
      </c>
      <c r="Q696">
        <f t="shared" si="66"/>
        <v>0</v>
      </c>
      <c r="R696">
        <v>2</v>
      </c>
      <c r="S696" s="11">
        <f t="shared" si="65"/>
        <v>0</v>
      </c>
      <c r="T696" s="11" t="str">
        <f t="shared" si="62"/>
        <v>Detrator</v>
      </c>
      <c r="U696" s="11" t="str">
        <f t="shared" si="63"/>
        <v>Alto risco</v>
      </c>
      <c r="V696">
        <v>3</v>
      </c>
      <c r="W696">
        <v>75</v>
      </c>
      <c r="X696" s="2">
        <v>29.52</v>
      </c>
      <c r="Y696">
        <v>15</v>
      </c>
      <c r="Z696" t="s">
        <v>35</v>
      </c>
    </row>
    <row r="697" spans="1:26">
      <c r="A697" t="s">
        <v>1226</v>
      </c>
      <c r="B697" t="s">
        <v>567</v>
      </c>
      <c r="C697" t="s">
        <v>77</v>
      </c>
      <c r="D697" t="s">
        <v>78</v>
      </c>
      <c r="E697">
        <v>28</v>
      </c>
      <c r="F697" t="s">
        <v>201</v>
      </c>
      <c r="G697" t="s">
        <v>31</v>
      </c>
      <c r="H697" t="s">
        <v>32</v>
      </c>
      <c r="I697" t="e">
        <f ca="1">_xludf.XLOOKUP(H697,Base_Planos!$A:$A,Base_Planos!$B:$B,"Não encontrado")</f>
        <v>#NAME?</v>
      </c>
      <c r="J697" s="2">
        <f>VLOOKUP(H697,Base_Planos!$A:$G,4,FALSE)</f>
        <v>39.9</v>
      </c>
      <c r="K697" s="4">
        <v>45504</v>
      </c>
      <c r="L697" t="s">
        <v>142</v>
      </c>
      <c r="M697" t="s">
        <v>44</v>
      </c>
      <c r="N697" s="4"/>
      <c r="O697" s="10">
        <f t="shared" ca="1" si="64"/>
        <v>665</v>
      </c>
      <c r="P697" s="10" t="str">
        <f t="shared" ca="1" si="61"/>
        <v>Mais de 1 ano</v>
      </c>
      <c r="Q697">
        <f t="shared" si="66"/>
        <v>1</v>
      </c>
      <c r="R697">
        <v>5</v>
      </c>
      <c r="S697" s="11">
        <f t="shared" si="65"/>
        <v>39.9</v>
      </c>
      <c r="T697" s="11" t="str">
        <f t="shared" si="62"/>
        <v>Detrator</v>
      </c>
      <c r="U697" s="11" t="str">
        <f t="shared" si="63"/>
        <v>Alto risco</v>
      </c>
      <c r="V697">
        <v>0</v>
      </c>
      <c r="W697">
        <v>68</v>
      </c>
      <c r="X697" s="2">
        <v>34.590000000000003</v>
      </c>
      <c r="Y697">
        <v>22</v>
      </c>
      <c r="Z697" t="s">
        <v>50</v>
      </c>
    </row>
    <row r="698" spans="1:26">
      <c r="A698" t="s">
        <v>1227</v>
      </c>
      <c r="B698" t="s">
        <v>1228</v>
      </c>
      <c r="C698" t="s">
        <v>94</v>
      </c>
      <c r="D698" t="s">
        <v>95</v>
      </c>
      <c r="E698">
        <v>29</v>
      </c>
      <c r="F698" t="s">
        <v>54</v>
      </c>
      <c r="G698" t="s">
        <v>165</v>
      </c>
      <c r="H698" t="s">
        <v>61</v>
      </c>
      <c r="I698" t="e">
        <f ca="1">_xludf.XLOOKUP(H698,Base_Planos!$A:$A,Base_Planos!$B:$B,"Não encontrado")</f>
        <v>#NAME?</v>
      </c>
      <c r="J698" s="2">
        <f>VLOOKUP(H698,Base_Planos!$A:$G,4,FALSE)</f>
        <v>59.9</v>
      </c>
      <c r="K698" s="4">
        <v>45797</v>
      </c>
      <c r="L698" t="s">
        <v>97</v>
      </c>
      <c r="M698" t="s">
        <v>34</v>
      </c>
      <c r="N698" s="4">
        <v>45880</v>
      </c>
      <c r="O698" s="10">
        <f t="shared" ca="1" si="64"/>
        <v>83</v>
      </c>
      <c r="P698" s="10" t="str">
        <f t="shared" ca="1" si="61"/>
        <v>31 a 90 dias</v>
      </c>
      <c r="Q698">
        <f t="shared" si="66"/>
        <v>0</v>
      </c>
      <c r="R698">
        <v>2</v>
      </c>
      <c r="S698" s="11">
        <f t="shared" si="65"/>
        <v>0</v>
      </c>
      <c r="T698" s="11" t="str">
        <f t="shared" si="62"/>
        <v>Detrator</v>
      </c>
      <c r="U698" s="11" t="str">
        <f t="shared" si="63"/>
        <v>Alto risco</v>
      </c>
      <c r="V698">
        <v>1</v>
      </c>
      <c r="W698">
        <v>30</v>
      </c>
      <c r="X698" s="2">
        <v>56.9</v>
      </c>
      <c r="Y698">
        <v>2</v>
      </c>
      <c r="Z698" t="s">
        <v>45</v>
      </c>
    </row>
    <row r="699" spans="1:26">
      <c r="A699" t="s">
        <v>1229</v>
      </c>
      <c r="B699" t="s">
        <v>1230</v>
      </c>
      <c r="C699" t="s">
        <v>48</v>
      </c>
      <c r="D699" t="s">
        <v>29</v>
      </c>
      <c r="E699">
        <v>63</v>
      </c>
      <c r="F699" t="s">
        <v>40</v>
      </c>
      <c r="G699" t="s">
        <v>67</v>
      </c>
      <c r="H699" t="s">
        <v>86</v>
      </c>
      <c r="I699" t="e">
        <f ca="1">_xludf.XLOOKUP(H699,Base_Planos!$A:$A,Base_Planos!$B:$B,"Não encontrado")</f>
        <v>#NAME?</v>
      </c>
      <c r="J699" s="2">
        <f>VLOOKUP(H699,Base_Planos!$A:$G,4,FALSE)</f>
        <v>119.9</v>
      </c>
      <c r="K699" s="4">
        <v>45231</v>
      </c>
      <c r="L699" t="s">
        <v>79</v>
      </c>
      <c r="M699" t="s">
        <v>44</v>
      </c>
      <c r="N699" s="4"/>
      <c r="O699" s="10">
        <f t="shared" ca="1" si="64"/>
        <v>938</v>
      </c>
      <c r="P699" s="10" t="str">
        <f t="shared" ca="1" si="61"/>
        <v>Mais de 1 ano</v>
      </c>
      <c r="Q699">
        <f t="shared" si="66"/>
        <v>1</v>
      </c>
      <c r="R699">
        <v>10</v>
      </c>
      <c r="S699" s="11">
        <f t="shared" si="65"/>
        <v>119.9</v>
      </c>
      <c r="T699" s="11" t="str">
        <f t="shared" si="62"/>
        <v>Promotor</v>
      </c>
      <c r="U699" s="11" t="str">
        <f t="shared" si="63"/>
        <v>Alto risco</v>
      </c>
      <c r="V699">
        <v>0</v>
      </c>
      <c r="W699">
        <v>69</v>
      </c>
      <c r="X699" s="2">
        <v>125.33</v>
      </c>
      <c r="Y699">
        <v>31</v>
      </c>
      <c r="Z699" t="s">
        <v>50</v>
      </c>
    </row>
    <row r="700" spans="1:26">
      <c r="A700" t="s">
        <v>1231</v>
      </c>
      <c r="B700" t="s">
        <v>1232</v>
      </c>
      <c r="C700" t="s">
        <v>102</v>
      </c>
      <c r="D700" t="s">
        <v>103</v>
      </c>
      <c r="E700">
        <v>54</v>
      </c>
      <c r="F700" t="s">
        <v>54</v>
      </c>
      <c r="G700" t="s">
        <v>73</v>
      </c>
      <c r="H700" t="s">
        <v>32</v>
      </c>
      <c r="I700" t="e">
        <f ca="1">_xludf.XLOOKUP(H700,Base_Planos!$A:$A,Base_Planos!$B:$B,"Não encontrado")</f>
        <v>#NAME?</v>
      </c>
      <c r="J700" s="2">
        <f>VLOOKUP(H700,Base_Planos!$A:$G,4,FALSE)</f>
        <v>39.9</v>
      </c>
      <c r="K700" s="4">
        <v>45588</v>
      </c>
      <c r="L700" t="s">
        <v>123</v>
      </c>
      <c r="M700" t="s">
        <v>44</v>
      </c>
      <c r="N700" s="4"/>
      <c r="O700" s="10">
        <f t="shared" ca="1" si="64"/>
        <v>581</v>
      </c>
      <c r="P700" s="10" t="str">
        <f t="shared" ca="1" si="61"/>
        <v>Mais de 1 ano</v>
      </c>
      <c r="Q700">
        <f t="shared" si="66"/>
        <v>1</v>
      </c>
      <c r="R700">
        <v>2</v>
      </c>
      <c r="S700" s="11">
        <f t="shared" si="65"/>
        <v>39.9</v>
      </c>
      <c r="T700" s="11" t="str">
        <f t="shared" si="62"/>
        <v>Detrator</v>
      </c>
      <c r="U700" s="11" t="str">
        <f t="shared" si="63"/>
        <v>Alto risco</v>
      </c>
      <c r="V700">
        <v>0</v>
      </c>
      <c r="W700">
        <v>82</v>
      </c>
      <c r="X700" s="2">
        <v>39.450000000000003</v>
      </c>
      <c r="Y700">
        <v>19</v>
      </c>
      <c r="Z700" t="s">
        <v>35</v>
      </c>
    </row>
    <row r="701" spans="1:26">
      <c r="A701" t="s">
        <v>1233</v>
      </c>
      <c r="B701" t="s">
        <v>1234</v>
      </c>
      <c r="C701" t="s">
        <v>48</v>
      </c>
      <c r="D701" t="s">
        <v>29</v>
      </c>
      <c r="E701">
        <v>58</v>
      </c>
      <c r="F701" t="s">
        <v>30</v>
      </c>
      <c r="G701" t="s">
        <v>31</v>
      </c>
      <c r="H701" t="s">
        <v>112</v>
      </c>
      <c r="I701" t="e">
        <f ca="1">_xludf.XLOOKUP(H701,Base_Planos!$A:$A,Base_Planos!$B:$B,"Não encontrado")</f>
        <v>#NAME?</v>
      </c>
      <c r="J701" s="2">
        <f>VLOOKUP(H701,Base_Planos!$A:$G,4,FALSE)</f>
        <v>79.900000000000006</v>
      </c>
      <c r="K701" s="4">
        <v>46052</v>
      </c>
      <c r="L701" t="s">
        <v>148</v>
      </c>
      <c r="M701" t="s">
        <v>44</v>
      </c>
      <c r="N701" s="4"/>
      <c r="O701" s="10">
        <f t="shared" ca="1" si="64"/>
        <v>117</v>
      </c>
      <c r="P701" s="10" t="str">
        <f t="shared" ca="1" si="61"/>
        <v>91 a 180 dias</v>
      </c>
      <c r="Q701">
        <f t="shared" si="66"/>
        <v>1</v>
      </c>
      <c r="R701">
        <v>7</v>
      </c>
      <c r="S701" s="11">
        <f t="shared" si="65"/>
        <v>79.900000000000006</v>
      </c>
      <c r="T701" s="11" t="str">
        <f t="shared" si="62"/>
        <v>Neutro</v>
      </c>
      <c r="U701" s="11" t="str">
        <f t="shared" si="63"/>
        <v>Alto risco</v>
      </c>
      <c r="V701">
        <v>0</v>
      </c>
      <c r="W701">
        <v>49</v>
      </c>
      <c r="X701" s="2">
        <v>69.25</v>
      </c>
      <c r="Y701">
        <v>3</v>
      </c>
      <c r="Z701" t="s">
        <v>50</v>
      </c>
    </row>
    <row r="702" spans="1:26">
      <c r="A702" t="s">
        <v>1235</v>
      </c>
      <c r="B702" t="s">
        <v>457</v>
      </c>
      <c r="C702" t="s">
        <v>38</v>
      </c>
      <c r="D702" t="s">
        <v>39</v>
      </c>
      <c r="E702">
        <v>54</v>
      </c>
      <c r="F702" t="s">
        <v>40</v>
      </c>
      <c r="G702" t="s">
        <v>31</v>
      </c>
      <c r="H702" t="s">
        <v>82</v>
      </c>
      <c r="I702" t="e">
        <f ca="1">_xludf.XLOOKUP(H702,Base_Planos!$A:$A,Base_Planos!$B:$B,"Não encontrado")</f>
        <v>#NAME?</v>
      </c>
      <c r="J702" s="2">
        <f>VLOOKUP(H702,Base_Planos!$A:$G,4,FALSE)</f>
        <v>149.9</v>
      </c>
      <c r="K702" s="4">
        <v>45408</v>
      </c>
      <c r="L702" t="s">
        <v>56</v>
      </c>
      <c r="M702" t="s">
        <v>44</v>
      </c>
      <c r="N702" s="4"/>
      <c r="O702" s="10">
        <f t="shared" ca="1" si="64"/>
        <v>761</v>
      </c>
      <c r="P702" s="10" t="str">
        <f t="shared" ca="1" si="61"/>
        <v>Mais de 1 ano</v>
      </c>
      <c r="Q702">
        <f t="shared" si="66"/>
        <v>0</v>
      </c>
      <c r="R702">
        <v>5</v>
      </c>
      <c r="S702" s="11">
        <f t="shared" si="65"/>
        <v>0</v>
      </c>
      <c r="T702" s="11" t="str">
        <f t="shared" si="62"/>
        <v>Detrator</v>
      </c>
      <c r="U702" s="11" t="str">
        <f t="shared" si="63"/>
        <v>Alto risco</v>
      </c>
      <c r="V702">
        <v>0</v>
      </c>
      <c r="W702">
        <v>58</v>
      </c>
      <c r="X702" s="2">
        <v>156.12</v>
      </c>
      <c r="Y702">
        <v>25</v>
      </c>
      <c r="Z702" t="s">
        <v>35</v>
      </c>
    </row>
    <row r="703" spans="1:26">
      <c r="A703" t="s">
        <v>1236</v>
      </c>
      <c r="B703" t="s">
        <v>164</v>
      </c>
      <c r="C703" t="s">
        <v>28</v>
      </c>
      <c r="D703" t="s">
        <v>29</v>
      </c>
      <c r="E703">
        <v>40</v>
      </c>
      <c r="F703" t="s">
        <v>54</v>
      </c>
      <c r="G703" t="s">
        <v>96</v>
      </c>
      <c r="H703" t="s">
        <v>42</v>
      </c>
      <c r="I703" t="e">
        <f ca="1">_xludf.XLOOKUP(H703,Base_Planos!$A:$A,Base_Planos!$B:$B,"Não encontrado")</f>
        <v>#NAME?</v>
      </c>
      <c r="J703" s="2">
        <f>VLOOKUP(H703,Base_Planos!$A:$G,4,FALSE)</f>
        <v>29.9</v>
      </c>
      <c r="K703" s="4">
        <v>45222</v>
      </c>
      <c r="L703" t="s">
        <v>215</v>
      </c>
      <c r="M703" t="s">
        <v>44</v>
      </c>
      <c r="N703" s="4"/>
      <c r="O703" s="10">
        <f t="shared" ca="1" si="64"/>
        <v>947</v>
      </c>
      <c r="P703" s="10" t="str">
        <f t="shared" ca="1" si="61"/>
        <v>Mais de 1 ano</v>
      </c>
      <c r="Q703">
        <f t="shared" si="66"/>
        <v>0</v>
      </c>
      <c r="R703">
        <v>8</v>
      </c>
      <c r="S703" s="11">
        <f t="shared" si="65"/>
        <v>0</v>
      </c>
      <c r="T703" s="11" t="str">
        <f t="shared" si="62"/>
        <v>Neutro</v>
      </c>
      <c r="U703" s="11" t="str">
        <f t="shared" si="63"/>
        <v>Médio risco</v>
      </c>
      <c r="V703">
        <v>0</v>
      </c>
      <c r="W703">
        <v>46</v>
      </c>
      <c r="X703" s="2">
        <v>25.75</v>
      </c>
      <c r="Y703">
        <v>31</v>
      </c>
      <c r="Z703" t="s">
        <v>50</v>
      </c>
    </row>
    <row r="704" spans="1:26">
      <c r="A704" t="s">
        <v>1237</v>
      </c>
      <c r="B704" t="s">
        <v>635</v>
      </c>
      <c r="C704" t="s">
        <v>137</v>
      </c>
      <c r="D704" t="s">
        <v>29</v>
      </c>
      <c r="E704">
        <v>63</v>
      </c>
      <c r="F704" t="s">
        <v>30</v>
      </c>
      <c r="G704" t="s">
        <v>67</v>
      </c>
      <c r="H704" t="s">
        <v>61</v>
      </c>
      <c r="I704" t="e">
        <f ca="1">_xludf.XLOOKUP(H704,Base_Planos!$A:$A,Base_Planos!$B:$B,"Não encontrado")</f>
        <v>#NAME?</v>
      </c>
      <c r="J704" s="2">
        <f>VLOOKUP(H704,Base_Planos!$A:$G,4,FALSE)</f>
        <v>59.9</v>
      </c>
      <c r="K704" s="4">
        <v>45796</v>
      </c>
      <c r="L704" t="s">
        <v>97</v>
      </c>
      <c r="M704" t="s">
        <v>44</v>
      </c>
      <c r="N704" s="4"/>
      <c r="O704" s="10">
        <f t="shared" ca="1" si="64"/>
        <v>373</v>
      </c>
      <c r="P704" s="10" t="str">
        <f t="shared" ca="1" si="61"/>
        <v>Mais de 1 ano</v>
      </c>
      <c r="Q704">
        <f t="shared" si="66"/>
        <v>1</v>
      </c>
      <c r="R704">
        <v>5</v>
      </c>
      <c r="S704" s="11">
        <f t="shared" si="65"/>
        <v>59.9</v>
      </c>
      <c r="T704" s="11" t="str">
        <f t="shared" si="62"/>
        <v>Detrator</v>
      </c>
      <c r="U704" s="11" t="str">
        <f t="shared" si="63"/>
        <v>Alto risco</v>
      </c>
      <c r="V704">
        <v>1</v>
      </c>
      <c r="W704">
        <v>61</v>
      </c>
      <c r="X704" s="2">
        <v>58.03</v>
      </c>
      <c r="Y704">
        <v>12</v>
      </c>
      <c r="Z704" t="s">
        <v>35</v>
      </c>
    </row>
    <row r="705" spans="1:26">
      <c r="A705" t="s">
        <v>1238</v>
      </c>
      <c r="B705" t="s">
        <v>541</v>
      </c>
      <c r="C705" t="s">
        <v>94</v>
      </c>
      <c r="D705" t="s">
        <v>95</v>
      </c>
      <c r="E705">
        <v>41</v>
      </c>
      <c r="F705" t="s">
        <v>30</v>
      </c>
      <c r="G705" t="s">
        <v>31</v>
      </c>
      <c r="H705" t="s">
        <v>32</v>
      </c>
      <c r="I705" t="e">
        <f ca="1">_xludf.XLOOKUP(H705,Base_Planos!$A:$A,Base_Planos!$B:$B,"Não encontrado")</f>
        <v>#NAME?</v>
      </c>
      <c r="J705" s="2">
        <f>VLOOKUP(H705,Base_Planos!$A:$G,4,FALSE)</f>
        <v>39.9</v>
      </c>
      <c r="K705" s="4">
        <v>46092</v>
      </c>
      <c r="L705" t="s">
        <v>292</v>
      </c>
      <c r="M705" t="s">
        <v>44</v>
      </c>
      <c r="N705" s="4"/>
      <c r="O705" s="10">
        <f t="shared" ca="1" si="64"/>
        <v>77</v>
      </c>
      <c r="P705" s="10" t="str">
        <f t="shared" ca="1" si="61"/>
        <v>31 a 90 dias</v>
      </c>
      <c r="Q705">
        <f t="shared" si="66"/>
        <v>0</v>
      </c>
      <c r="R705">
        <v>6</v>
      </c>
      <c r="S705" s="11">
        <f t="shared" si="65"/>
        <v>0</v>
      </c>
      <c r="T705" s="11" t="str">
        <f t="shared" si="62"/>
        <v>Detrator</v>
      </c>
      <c r="U705" s="11" t="str">
        <f t="shared" si="63"/>
        <v>Alto risco</v>
      </c>
      <c r="V705">
        <v>1</v>
      </c>
      <c r="W705">
        <v>71</v>
      </c>
      <c r="X705" s="2">
        <v>39.49</v>
      </c>
      <c r="Y705">
        <v>2</v>
      </c>
      <c r="Z705" t="s">
        <v>35</v>
      </c>
    </row>
    <row r="706" spans="1:26">
      <c r="A706" t="s">
        <v>1239</v>
      </c>
      <c r="B706" t="s">
        <v>358</v>
      </c>
      <c r="C706" t="s">
        <v>71</v>
      </c>
      <c r="D706" t="s">
        <v>72</v>
      </c>
      <c r="E706">
        <v>64</v>
      </c>
      <c r="F706" t="s">
        <v>30</v>
      </c>
      <c r="G706" t="s">
        <v>67</v>
      </c>
      <c r="H706" t="s">
        <v>42</v>
      </c>
      <c r="I706" t="e">
        <f ca="1">_xludf.XLOOKUP(H706,Base_Planos!$A:$A,Base_Planos!$B:$B,"Não encontrado")</f>
        <v>#NAME?</v>
      </c>
      <c r="J706" s="2">
        <f>VLOOKUP(H706,Base_Planos!$A:$G,4,FALSE)</f>
        <v>29.9</v>
      </c>
      <c r="K706" s="4">
        <v>45246</v>
      </c>
      <c r="L706" t="s">
        <v>79</v>
      </c>
      <c r="M706" t="s">
        <v>44</v>
      </c>
      <c r="N706" s="4"/>
      <c r="O706" s="10">
        <f t="shared" ca="1" si="64"/>
        <v>923</v>
      </c>
      <c r="P706" s="10" t="str">
        <f t="shared" ref="P706:P769" ca="1" si="67">IF(O706&lt;=30,"Até 30 dias",IF(O706&lt;=90,"31 a 90 dias",IF(O706&lt;=180,"91 a 180 dias",IF(O706&lt;=365,"181 a 365 dias","Mais de 1 ano"))))</f>
        <v>Mais de 1 ano</v>
      </c>
      <c r="Q706">
        <f t="shared" si="66"/>
        <v>1</v>
      </c>
      <c r="R706">
        <v>0</v>
      </c>
      <c r="S706" s="11">
        <f t="shared" si="65"/>
        <v>29.9</v>
      </c>
      <c r="T706" s="11" t="str">
        <f t="shared" ref="T706:T769" si="68">IF(R706&lt;=6,"Detrator",IF(R706&lt;=8,"Neutro","Promotor"))</f>
        <v>Detrator</v>
      </c>
      <c r="U706" s="11" t="str">
        <f t="shared" ref="U706:U769" si="69">IF(Q706=1,"Alto risco",IF(R706&lt;=6,"Alto risco",IF(R706&lt;=8,"Médio risco","Baixo risco")))</f>
        <v>Alto risco</v>
      </c>
      <c r="V706">
        <v>1</v>
      </c>
      <c r="W706">
        <v>52</v>
      </c>
      <c r="X706" s="2">
        <v>25.48</v>
      </c>
      <c r="Y706">
        <v>30</v>
      </c>
      <c r="Z706" t="s">
        <v>35</v>
      </c>
    </row>
    <row r="707" spans="1:26">
      <c r="A707" t="s">
        <v>1240</v>
      </c>
      <c r="B707" t="s">
        <v>578</v>
      </c>
      <c r="C707" t="s">
        <v>65</v>
      </c>
      <c r="D707" t="s">
        <v>29</v>
      </c>
      <c r="E707">
        <v>47</v>
      </c>
      <c r="F707" t="s">
        <v>54</v>
      </c>
      <c r="G707" t="s">
        <v>73</v>
      </c>
      <c r="H707" t="s">
        <v>86</v>
      </c>
      <c r="I707" t="e">
        <f ca="1">_xludf.XLOOKUP(H707,Base_Planos!$A:$A,Base_Planos!$B:$B,"Não encontrado")</f>
        <v>#NAME?</v>
      </c>
      <c r="J707" s="2">
        <f>VLOOKUP(H707,Base_Planos!$A:$G,4,FALSE)</f>
        <v>119.9</v>
      </c>
      <c r="K707" s="4">
        <v>45954</v>
      </c>
      <c r="L707" t="s">
        <v>196</v>
      </c>
      <c r="M707" t="s">
        <v>44</v>
      </c>
      <c r="N707" s="4"/>
      <c r="O707" s="10">
        <f t="shared" ref="O707:O770" ca="1" si="70">IF(M707="Cancelado",N707-K707,TODAY()-K707)</f>
        <v>215</v>
      </c>
      <c r="P707" s="10" t="str">
        <f t="shared" ca="1" si="67"/>
        <v>181 a 365 dias</v>
      </c>
      <c r="Q707">
        <f t="shared" si="66"/>
        <v>0</v>
      </c>
      <c r="R707">
        <v>4</v>
      </c>
      <c r="S707" s="11">
        <f t="shared" ref="S707:S770" si="71">IF(Q707=1,J707,0)</f>
        <v>0</v>
      </c>
      <c r="T707" s="11" t="str">
        <f t="shared" si="68"/>
        <v>Detrator</v>
      </c>
      <c r="U707" s="11" t="str">
        <f t="shared" si="69"/>
        <v>Alto risco</v>
      </c>
      <c r="V707">
        <v>0</v>
      </c>
      <c r="W707">
        <v>28</v>
      </c>
      <c r="X707" s="2">
        <v>114.42</v>
      </c>
      <c r="Y707">
        <v>7</v>
      </c>
      <c r="Z707" t="s">
        <v>35</v>
      </c>
    </row>
    <row r="708" spans="1:26">
      <c r="A708" t="s">
        <v>1241</v>
      </c>
      <c r="B708" t="s">
        <v>47</v>
      </c>
      <c r="C708" t="s">
        <v>71</v>
      </c>
      <c r="D708" t="s">
        <v>72</v>
      </c>
      <c r="E708">
        <v>57</v>
      </c>
      <c r="F708" t="s">
        <v>30</v>
      </c>
      <c r="G708" t="s">
        <v>41</v>
      </c>
      <c r="H708" t="s">
        <v>42</v>
      </c>
      <c r="I708" t="e">
        <f ca="1">_xludf.XLOOKUP(H708,Base_Planos!$A:$A,Base_Planos!$B:$B,"Não encontrado")</f>
        <v>#NAME?</v>
      </c>
      <c r="J708" s="2">
        <f>VLOOKUP(H708,Base_Planos!$A:$G,4,FALSE)</f>
        <v>29.9</v>
      </c>
      <c r="K708" s="4">
        <v>46072</v>
      </c>
      <c r="L708" t="s">
        <v>74</v>
      </c>
      <c r="M708" t="s">
        <v>34</v>
      </c>
      <c r="N708" s="4">
        <v>46153</v>
      </c>
      <c r="O708" s="10">
        <f t="shared" ca="1" si="70"/>
        <v>81</v>
      </c>
      <c r="P708" s="10" t="str">
        <f t="shared" ca="1" si="67"/>
        <v>31 a 90 dias</v>
      </c>
      <c r="Q708">
        <f t="shared" si="66"/>
        <v>0</v>
      </c>
      <c r="R708">
        <v>9</v>
      </c>
      <c r="S708" s="11">
        <f t="shared" si="71"/>
        <v>0</v>
      </c>
      <c r="T708" s="11" t="str">
        <f t="shared" si="68"/>
        <v>Promotor</v>
      </c>
      <c r="U708" s="11" t="str">
        <f t="shared" si="69"/>
        <v>Baixo risco</v>
      </c>
      <c r="V708">
        <v>0</v>
      </c>
      <c r="W708">
        <v>13</v>
      </c>
      <c r="X708" s="2">
        <v>26.4</v>
      </c>
      <c r="Y708">
        <v>2</v>
      </c>
      <c r="Z708" t="s">
        <v>35</v>
      </c>
    </row>
    <row r="709" spans="1:26">
      <c r="A709" t="s">
        <v>1242</v>
      </c>
      <c r="B709" t="s">
        <v>813</v>
      </c>
      <c r="C709" t="s">
        <v>65</v>
      </c>
      <c r="D709" t="s">
        <v>29</v>
      </c>
      <c r="E709">
        <v>45</v>
      </c>
      <c r="F709" t="s">
        <v>30</v>
      </c>
      <c r="G709" t="s">
        <v>55</v>
      </c>
      <c r="H709" t="s">
        <v>32</v>
      </c>
      <c r="I709" t="e">
        <f ca="1">_xludf.XLOOKUP(H709,Base_Planos!$A:$A,Base_Planos!$B:$B,"Não encontrado")</f>
        <v>#NAME?</v>
      </c>
      <c r="J709" s="2">
        <f>VLOOKUP(H709,Base_Planos!$A:$G,4,FALSE)</f>
        <v>39.9</v>
      </c>
      <c r="K709" s="4">
        <v>45669</v>
      </c>
      <c r="L709" t="s">
        <v>261</v>
      </c>
      <c r="M709" t="s">
        <v>34</v>
      </c>
      <c r="N709" s="4">
        <v>45753</v>
      </c>
      <c r="O709" s="10">
        <f t="shared" ca="1" si="70"/>
        <v>84</v>
      </c>
      <c r="P709" s="10" t="str">
        <f t="shared" ca="1" si="67"/>
        <v>31 a 90 dias</v>
      </c>
      <c r="Q709">
        <f t="shared" si="66"/>
        <v>1</v>
      </c>
      <c r="R709">
        <v>9</v>
      </c>
      <c r="S709" s="11">
        <f t="shared" si="71"/>
        <v>39.9</v>
      </c>
      <c r="T709" s="11" t="str">
        <f t="shared" si="68"/>
        <v>Promotor</v>
      </c>
      <c r="U709" s="11" t="str">
        <f t="shared" si="69"/>
        <v>Alto risco</v>
      </c>
      <c r="V709">
        <v>0</v>
      </c>
      <c r="W709">
        <v>32</v>
      </c>
      <c r="X709" s="2">
        <v>35.61</v>
      </c>
      <c r="Y709">
        <v>2</v>
      </c>
      <c r="Z709" t="s">
        <v>50</v>
      </c>
    </row>
    <row r="710" spans="1:26">
      <c r="A710" t="s">
        <v>1243</v>
      </c>
      <c r="B710" t="s">
        <v>986</v>
      </c>
      <c r="C710" t="s">
        <v>59</v>
      </c>
      <c r="D710" t="s">
        <v>60</v>
      </c>
      <c r="E710">
        <v>53</v>
      </c>
      <c r="F710" t="s">
        <v>30</v>
      </c>
      <c r="G710" t="s">
        <v>67</v>
      </c>
      <c r="H710" t="s">
        <v>42</v>
      </c>
      <c r="I710" t="e">
        <f ca="1">_xludf.XLOOKUP(H710,Base_Planos!$A:$A,Base_Planos!$B:$B,"Não encontrado")</f>
        <v>#NAME?</v>
      </c>
      <c r="J710" s="2">
        <f>VLOOKUP(H710,Base_Planos!$A:$G,4,FALSE)</f>
        <v>29.9</v>
      </c>
      <c r="K710" s="4">
        <v>45101</v>
      </c>
      <c r="L710" t="s">
        <v>328</v>
      </c>
      <c r="M710" t="s">
        <v>34</v>
      </c>
      <c r="N710" s="4">
        <v>45775</v>
      </c>
      <c r="O710" s="10">
        <f t="shared" ca="1" si="70"/>
        <v>674</v>
      </c>
      <c r="P710" s="10" t="str">
        <f t="shared" ca="1" si="67"/>
        <v>Mais de 1 ano</v>
      </c>
      <c r="Q710">
        <f t="shared" si="66"/>
        <v>0</v>
      </c>
      <c r="R710">
        <v>9</v>
      </c>
      <c r="S710" s="11">
        <f t="shared" si="71"/>
        <v>0</v>
      </c>
      <c r="T710" s="11" t="str">
        <f t="shared" si="68"/>
        <v>Promotor</v>
      </c>
      <c r="U710" s="11" t="str">
        <f t="shared" si="69"/>
        <v>Baixo risco</v>
      </c>
      <c r="V710">
        <v>1</v>
      </c>
      <c r="W710">
        <v>42</v>
      </c>
      <c r="X710" s="2">
        <v>31.06</v>
      </c>
      <c r="Y710">
        <v>22</v>
      </c>
      <c r="Z710" t="s">
        <v>50</v>
      </c>
    </row>
    <row r="711" spans="1:26">
      <c r="A711" t="s">
        <v>1244</v>
      </c>
      <c r="B711" t="s">
        <v>1150</v>
      </c>
      <c r="C711" t="s">
        <v>48</v>
      </c>
      <c r="D711" t="s">
        <v>29</v>
      </c>
      <c r="E711">
        <v>36</v>
      </c>
      <c r="F711" t="s">
        <v>201</v>
      </c>
      <c r="G711" t="s">
        <v>31</v>
      </c>
      <c r="H711" t="s">
        <v>42</v>
      </c>
      <c r="I711" t="e">
        <f ca="1">_xludf.XLOOKUP(H711,Base_Planos!$A:$A,Base_Planos!$B:$B,"Não encontrado")</f>
        <v>#NAME?</v>
      </c>
      <c r="J711" s="2">
        <f>VLOOKUP(H711,Base_Planos!$A:$G,4,FALSE)</f>
        <v>29.9</v>
      </c>
      <c r="K711" s="4">
        <v>45727</v>
      </c>
      <c r="L711" t="s">
        <v>454</v>
      </c>
      <c r="M711" t="s">
        <v>44</v>
      </c>
      <c r="N711" s="4"/>
      <c r="O711" s="10">
        <f t="shared" ca="1" si="70"/>
        <v>442</v>
      </c>
      <c r="P711" s="10" t="str">
        <f t="shared" ca="1" si="67"/>
        <v>Mais de 1 ano</v>
      </c>
      <c r="Q711">
        <f t="shared" si="66"/>
        <v>0</v>
      </c>
      <c r="R711">
        <v>5</v>
      </c>
      <c r="S711" s="11">
        <f t="shared" si="71"/>
        <v>0</v>
      </c>
      <c r="T711" s="11" t="str">
        <f t="shared" si="68"/>
        <v>Detrator</v>
      </c>
      <c r="U711" s="11" t="str">
        <f t="shared" si="69"/>
        <v>Alto risco</v>
      </c>
      <c r="V711">
        <v>0</v>
      </c>
      <c r="W711">
        <v>49</v>
      </c>
      <c r="X711" s="2">
        <v>29.85</v>
      </c>
      <c r="Y711">
        <v>14</v>
      </c>
      <c r="Z711" t="s">
        <v>35</v>
      </c>
    </row>
    <row r="712" spans="1:26">
      <c r="A712" t="s">
        <v>1245</v>
      </c>
      <c r="B712" t="s">
        <v>438</v>
      </c>
      <c r="C712" t="s">
        <v>48</v>
      </c>
      <c r="D712" t="s">
        <v>29</v>
      </c>
      <c r="E712">
        <v>27</v>
      </c>
      <c r="F712" t="s">
        <v>30</v>
      </c>
      <c r="G712" t="s">
        <v>41</v>
      </c>
      <c r="H712" t="s">
        <v>112</v>
      </c>
      <c r="I712" t="e">
        <f ca="1">_xludf.XLOOKUP(H712,Base_Planos!$A:$A,Base_Planos!$B:$B,"Não encontrado")</f>
        <v>#NAME?</v>
      </c>
      <c r="J712" s="2">
        <f>VLOOKUP(H712,Base_Planos!$A:$G,4,FALSE)</f>
        <v>79.900000000000006</v>
      </c>
      <c r="K712" s="4">
        <v>45003</v>
      </c>
      <c r="L712" t="s">
        <v>68</v>
      </c>
      <c r="M712" t="s">
        <v>44</v>
      </c>
      <c r="N712" s="4"/>
      <c r="O712" s="10">
        <f t="shared" ca="1" si="70"/>
        <v>1166</v>
      </c>
      <c r="P712" s="10" t="str">
        <f t="shared" ca="1" si="67"/>
        <v>Mais de 1 ano</v>
      </c>
      <c r="Q712">
        <f t="shared" si="66"/>
        <v>0</v>
      </c>
      <c r="R712">
        <v>4</v>
      </c>
      <c r="S712" s="11">
        <f t="shared" si="71"/>
        <v>0</v>
      </c>
      <c r="T712" s="11" t="str">
        <f t="shared" si="68"/>
        <v>Detrator</v>
      </c>
      <c r="U712" s="11" t="str">
        <f t="shared" si="69"/>
        <v>Alto risco</v>
      </c>
      <c r="V712">
        <v>0</v>
      </c>
      <c r="W712">
        <v>92</v>
      </c>
      <c r="X712" s="2">
        <v>83.14</v>
      </c>
      <c r="Y712">
        <v>38</v>
      </c>
      <c r="Z712" t="s">
        <v>35</v>
      </c>
    </row>
    <row r="713" spans="1:26">
      <c r="A713" t="s">
        <v>1246</v>
      </c>
      <c r="B713" t="s">
        <v>1084</v>
      </c>
      <c r="C713" t="s">
        <v>48</v>
      </c>
      <c r="D713" t="s">
        <v>29</v>
      </c>
      <c r="E713">
        <v>61</v>
      </c>
      <c r="F713" t="s">
        <v>40</v>
      </c>
      <c r="G713" t="s">
        <v>96</v>
      </c>
      <c r="H713" t="s">
        <v>166</v>
      </c>
      <c r="I713" t="e">
        <f ca="1">_xludf.XLOOKUP(H713,Base_Planos!$A:$A,Base_Planos!$B:$B,"Não encontrado")</f>
        <v>#NAME?</v>
      </c>
      <c r="J713" s="2">
        <f>VLOOKUP(H713,Base_Planos!$A:$G,4,FALSE)</f>
        <v>399.9</v>
      </c>
      <c r="K713" s="4">
        <v>45954</v>
      </c>
      <c r="L713" t="s">
        <v>196</v>
      </c>
      <c r="M713" t="s">
        <v>44</v>
      </c>
      <c r="N713" s="4"/>
      <c r="O713" s="10">
        <f t="shared" ca="1" si="70"/>
        <v>215</v>
      </c>
      <c r="P713" s="10" t="str">
        <f t="shared" ca="1" si="67"/>
        <v>181 a 365 dias</v>
      </c>
      <c r="Q713">
        <f t="shared" si="66"/>
        <v>0</v>
      </c>
      <c r="R713">
        <v>8</v>
      </c>
      <c r="S713" s="11">
        <f t="shared" si="71"/>
        <v>0</v>
      </c>
      <c r="T713" s="11" t="str">
        <f t="shared" si="68"/>
        <v>Neutro</v>
      </c>
      <c r="U713" s="11" t="str">
        <f t="shared" si="69"/>
        <v>Médio risco</v>
      </c>
      <c r="V713">
        <v>0</v>
      </c>
      <c r="W713">
        <v>55</v>
      </c>
      <c r="X713" s="2">
        <v>375.7</v>
      </c>
      <c r="Y713">
        <v>7</v>
      </c>
      <c r="Z713" t="s">
        <v>50</v>
      </c>
    </row>
    <row r="714" spans="1:26">
      <c r="A714" t="s">
        <v>1247</v>
      </c>
      <c r="B714" t="s">
        <v>1033</v>
      </c>
      <c r="C714" t="s">
        <v>140</v>
      </c>
      <c r="D714" t="s">
        <v>141</v>
      </c>
      <c r="E714">
        <v>41</v>
      </c>
      <c r="F714" t="s">
        <v>40</v>
      </c>
      <c r="G714" t="s">
        <v>41</v>
      </c>
      <c r="H714" t="s">
        <v>32</v>
      </c>
      <c r="I714" t="e">
        <f ca="1">_xludf.XLOOKUP(H714,Base_Planos!$A:$A,Base_Planos!$B:$B,"Não encontrado")</f>
        <v>#NAME?</v>
      </c>
      <c r="J714" s="2">
        <f>VLOOKUP(H714,Base_Planos!$A:$G,4,FALSE)</f>
        <v>39.9</v>
      </c>
      <c r="K714" s="4">
        <v>45720</v>
      </c>
      <c r="L714" t="s">
        <v>454</v>
      </c>
      <c r="M714" t="s">
        <v>34</v>
      </c>
      <c r="N714" s="4">
        <v>46071</v>
      </c>
      <c r="O714" s="10">
        <f t="shared" ca="1" si="70"/>
        <v>351</v>
      </c>
      <c r="P714" s="10" t="str">
        <f t="shared" ca="1" si="67"/>
        <v>181 a 365 dias</v>
      </c>
      <c r="Q714">
        <f t="shared" si="66"/>
        <v>1</v>
      </c>
      <c r="R714">
        <v>3</v>
      </c>
      <c r="S714" s="11">
        <f t="shared" si="71"/>
        <v>39.9</v>
      </c>
      <c r="T714" s="11" t="str">
        <f t="shared" si="68"/>
        <v>Detrator</v>
      </c>
      <c r="U714" s="11" t="str">
        <f t="shared" si="69"/>
        <v>Alto risco</v>
      </c>
      <c r="V714">
        <v>0</v>
      </c>
      <c r="W714">
        <v>94</v>
      </c>
      <c r="X714" s="2">
        <v>34.69</v>
      </c>
      <c r="Y714">
        <v>11</v>
      </c>
      <c r="Z714" t="s">
        <v>35</v>
      </c>
    </row>
    <row r="715" spans="1:26">
      <c r="A715" t="s">
        <v>1248</v>
      </c>
      <c r="B715" t="s">
        <v>620</v>
      </c>
      <c r="C715" t="s">
        <v>48</v>
      </c>
      <c r="D715" t="s">
        <v>29</v>
      </c>
      <c r="E715">
        <v>37</v>
      </c>
      <c r="F715" t="s">
        <v>54</v>
      </c>
      <c r="G715" t="s">
        <v>55</v>
      </c>
      <c r="H715" t="s">
        <v>112</v>
      </c>
      <c r="I715" t="e">
        <f ca="1">_xludf.XLOOKUP(H715,Base_Planos!$A:$A,Base_Planos!$B:$B,"Não encontrado")</f>
        <v>#NAME?</v>
      </c>
      <c r="J715" s="2">
        <f>VLOOKUP(H715,Base_Planos!$A:$G,4,FALSE)</f>
        <v>79.900000000000006</v>
      </c>
      <c r="K715" s="4">
        <v>45858</v>
      </c>
      <c r="L715" t="s">
        <v>212</v>
      </c>
      <c r="M715" t="s">
        <v>44</v>
      </c>
      <c r="N715" s="4"/>
      <c r="O715" s="10">
        <f t="shared" ca="1" si="70"/>
        <v>311</v>
      </c>
      <c r="P715" s="10" t="str">
        <f t="shared" ca="1" si="67"/>
        <v>181 a 365 dias</v>
      </c>
      <c r="Q715">
        <f t="shared" si="66"/>
        <v>0</v>
      </c>
      <c r="R715">
        <v>5</v>
      </c>
      <c r="S715" s="11">
        <f t="shared" si="71"/>
        <v>0</v>
      </c>
      <c r="T715" s="11" t="str">
        <f t="shared" si="68"/>
        <v>Detrator</v>
      </c>
      <c r="U715" s="11" t="str">
        <f t="shared" si="69"/>
        <v>Alto risco</v>
      </c>
      <c r="V715">
        <v>0</v>
      </c>
      <c r="W715">
        <v>77</v>
      </c>
      <c r="X715" s="2">
        <v>73.56</v>
      </c>
      <c r="Y715">
        <v>10</v>
      </c>
      <c r="Z715" t="s">
        <v>50</v>
      </c>
    </row>
    <row r="716" spans="1:26">
      <c r="A716" t="s">
        <v>1249</v>
      </c>
      <c r="B716" t="s">
        <v>1213</v>
      </c>
      <c r="C716" t="s">
        <v>137</v>
      </c>
      <c r="D716" t="s">
        <v>29</v>
      </c>
      <c r="E716">
        <v>47</v>
      </c>
      <c r="F716" t="s">
        <v>30</v>
      </c>
      <c r="G716" t="s">
        <v>104</v>
      </c>
      <c r="H716" t="s">
        <v>166</v>
      </c>
      <c r="I716" t="e">
        <f ca="1">_xludf.XLOOKUP(H716,Base_Planos!$A:$A,Base_Planos!$B:$B,"Não encontrado")</f>
        <v>#NAME?</v>
      </c>
      <c r="J716" s="2">
        <f>VLOOKUP(H716,Base_Planos!$A:$G,4,FALSE)</f>
        <v>399.9</v>
      </c>
      <c r="K716" s="4">
        <v>45832</v>
      </c>
      <c r="L716" t="s">
        <v>167</v>
      </c>
      <c r="M716" t="s">
        <v>44</v>
      </c>
      <c r="N716" s="4"/>
      <c r="O716" s="10">
        <f t="shared" ca="1" si="70"/>
        <v>337</v>
      </c>
      <c r="P716" s="10" t="str">
        <f t="shared" ca="1" si="67"/>
        <v>181 a 365 dias</v>
      </c>
      <c r="Q716">
        <f t="shared" si="66"/>
        <v>0</v>
      </c>
      <c r="R716">
        <v>10</v>
      </c>
      <c r="S716" s="11">
        <f t="shared" si="71"/>
        <v>0</v>
      </c>
      <c r="T716" s="11" t="str">
        <f t="shared" si="68"/>
        <v>Promotor</v>
      </c>
      <c r="U716" s="11" t="str">
        <f t="shared" si="69"/>
        <v>Baixo risco</v>
      </c>
      <c r="V716">
        <v>4</v>
      </c>
      <c r="W716">
        <v>26</v>
      </c>
      <c r="X716" s="2">
        <v>368.99</v>
      </c>
      <c r="Y716">
        <v>11</v>
      </c>
      <c r="Z716" t="s">
        <v>35</v>
      </c>
    </row>
    <row r="717" spans="1:26">
      <c r="A717" t="s">
        <v>1250</v>
      </c>
      <c r="B717" t="s">
        <v>1251</v>
      </c>
      <c r="C717" t="s">
        <v>71</v>
      </c>
      <c r="D717" t="s">
        <v>72</v>
      </c>
      <c r="E717">
        <v>57</v>
      </c>
      <c r="F717" t="s">
        <v>66</v>
      </c>
      <c r="G717" t="s">
        <v>96</v>
      </c>
      <c r="H717" t="s">
        <v>112</v>
      </c>
      <c r="I717" t="e">
        <f ca="1">_xludf.XLOOKUP(H717,Base_Planos!$A:$A,Base_Planos!$B:$B,"Não encontrado")</f>
        <v>#NAME?</v>
      </c>
      <c r="J717" s="2">
        <f>VLOOKUP(H717,Base_Planos!$A:$G,4,FALSE)</f>
        <v>79.900000000000006</v>
      </c>
      <c r="K717" s="4">
        <v>45976</v>
      </c>
      <c r="L717" t="s">
        <v>87</v>
      </c>
      <c r="M717" t="s">
        <v>44</v>
      </c>
      <c r="N717" s="4"/>
      <c r="O717" s="10">
        <f t="shared" ca="1" si="70"/>
        <v>193</v>
      </c>
      <c r="P717" s="10" t="str">
        <f t="shared" ca="1" si="67"/>
        <v>181 a 365 dias</v>
      </c>
      <c r="Q717">
        <f t="shared" si="66"/>
        <v>0</v>
      </c>
      <c r="R717">
        <v>9</v>
      </c>
      <c r="S717" s="11">
        <f t="shared" si="71"/>
        <v>0</v>
      </c>
      <c r="T717" s="11" t="str">
        <f t="shared" si="68"/>
        <v>Promotor</v>
      </c>
      <c r="U717" s="11" t="str">
        <f t="shared" si="69"/>
        <v>Baixo risco</v>
      </c>
      <c r="V717">
        <v>1</v>
      </c>
      <c r="W717">
        <v>48</v>
      </c>
      <c r="X717" s="2">
        <v>72.11</v>
      </c>
      <c r="Y717">
        <v>6</v>
      </c>
      <c r="Z717" t="s">
        <v>50</v>
      </c>
    </row>
    <row r="718" spans="1:26">
      <c r="A718" t="s">
        <v>1252</v>
      </c>
      <c r="B718" t="s">
        <v>1253</v>
      </c>
      <c r="C718" t="s">
        <v>90</v>
      </c>
      <c r="D718" t="s">
        <v>29</v>
      </c>
      <c r="E718">
        <v>59</v>
      </c>
      <c r="F718" t="s">
        <v>30</v>
      </c>
      <c r="G718" t="s">
        <v>31</v>
      </c>
      <c r="H718" t="s">
        <v>61</v>
      </c>
      <c r="I718" t="e">
        <f ca="1">_xludf.XLOOKUP(H718,Base_Planos!$A:$A,Base_Planos!$B:$B,"Não encontrado")</f>
        <v>#NAME?</v>
      </c>
      <c r="J718" s="2">
        <f>VLOOKUP(H718,Base_Planos!$A:$G,4,FALSE)</f>
        <v>59.9</v>
      </c>
      <c r="K718" s="4">
        <v>46075</v>
      </c>
      <c r="L718" t="s">
        <v>74</v>
      </c>
      <c r="M718" t="s">
        <v>44</v>
      </c>
      <c r="N718" s="4"/>
      <c r="O718" s="10">
        <f t="shared" ca="1" si="70"/>
        <v>94</v>
      </c>
      <c r="P718" s="10" t="str">
        <f t="shared" ca="1" si="67"/>
        <v>91 a 180 dias</v>
      </c>
      <c r="Q718">
        <f t="shared" si="66"/>
        <v>0</v>
      </c>
      <c r="R718">
        <v>0</v>
      </c>
      <c r="S718" s="11">
        <f t="shared" si="71"/>
        <v>0</v>
      </c>
      <c r="T718" s="11" t="str">
        <f t="shared" si="68"/>
        <v>Detrator</v>
      </c>
      <c r="U718" s="11" t="str">
        <f t="shared" si="69"/>
        <v>Alto risco</v>
      </c>
      <c r="V718">
        <v>0</v>
      </c>
      <c r="W718">
        <v>67</v>
      </c>
      <c r="X718" s="2">
        <v>61.14</v>
      </c>
      <c r="Y718">
        <v>3</v>
      </c>
      <c r="Z718" t="s">
        <v>35</v>
      </c>
    </row>
    <row r="719" spans="1:26">
      <c r="A719" t="s">
        <v>1254</v>
      </c>
      <c r="B719" t="s">
        <v>256</v>
      </c>
      <c r="C719" t="s">
        <v>53</v>
      </c>
      <c r="D719" t="s">
        <v>29</v>
      </c>
      <c r="E719">
        <v>47</v>
      </c>
      <c r="F719" t="s">
        <v>40</v>
      </c>
      <c r="G719" t="s">
        <v>165</v>
      </c>
      <c r="H719" t="s">
        <v>112</v>
      </c>
      <c r="I719" t="e">
        <f ca="1">_xludf.XLOOKUP(H719,Base_Planos!$A:$A,Base_Planos!$B:$B,"Não encontrado")</f>
        <v>#NAME?</v>
      </c>
      <c r="J719" s="2">
        <f>VLOOKUP(H719,Base_Planos!$A:$G,4,FALSE)</f>
        <v>79.900000000000006</v>
      </c>
      <c r="K719" s="4">
        <v>46022</v>
      </c>
      <c r="L719" t="s">
        <v>170</v>
      </c>
      <c r="M719" t="s">
        <v>44</v>
      </c>
      <c r="N719" s="4"/>
      <c r="O719" s="10">
        <f t="shared" ca="1" si="70"/>
        <v>147</v>
      </c>
      <c r="P719" s="10" t="str">
        <f t="shared" ca="1" si="67"/>
        <v>91 a 180 dias</v>
      </c>
      <c r="Q719">
        <f t="shared" si="66"/>
        <v>0</v>
      </c>
      <c r="R719">
        <v>7</v>
      </c>
      <c r="S719" s="11">
        <f t="shared" si="71"/>
        <v>0</v>
      </c>
      <c r="T719" s="11" t="str">
        <f t="shared" si="68"/>
        <v>Neutro</v>
      </c>
      <c r="U719" s="11" t="str">
        <f t="shared" si="69"/>
        <v>Médio risco</v>
      </c>
      <c r="V719">
        <v>0</v>
      </c>
      <c r="W719">
        <v>68</v>
      </c>
      <c r="X719" s="2">
        <v>74.260000000000005</v>
      </c>
      <c r="Y719">
        <v>4</v>
      </c>
      <c r="Z719" t="s">
        <v>50</v>
      </c>
    </row>
    <row r="720" spans="1:26">
      <c r="A720" t="s">
        <v>1255</v>
      </c>
      <c r="B720" t="s">
        <v>931</v>
      </c>
      <c r="C720" t="s">
        <v>71</v>
      </c>
      <c r="D720" t="s">
        <v>72</v>
      </c>
      <c r="E720">
        <v>39</v>
      </c>
      <c r="F720" t="s">
        <v>30</v>
      </c>
      <c r="G720" t="s">
        <v>165</v>
      </c>
      <c r="H720" t="s">
        <v>166</v>
      </c>
      <c r="I720" t="e">
        <f ca="1">_xludf.XLOOKUP(H720,Base_Planos!$A:$A,Base_Planos!$B:$B,"Não encontrado")</f>
        <v>#NAME?</v>
      </c>
      <c r="J720" s="2">
        <f>VLOOKUP(H720,Base_Planos!$A:$G,4,FALSE)</f>
        <v>399.9</v>
      </c>
      <c r="K720" s="4">
        <v>45922</v>
      </c>
      <c r="L720" t="s">
        <v>189</v>
      </c>
      <c r="M720" t="s">
        <v>34</v>
      </c>
      <c r="N720" s="4">
        <v>45991</v>
      </c>
      <c r="O720" s="10">
        <f t="shared" ca="1" si="70"/>
        <v>69</v>
      </c>
      <c r="P720" s="10" t="str">
        <f t="shared" ca="1" si="67"/>
        <v>31 a 90 dias</v>
      </c>
      <c r="Q720">
        <f t="shared" si="66"/>
        <v>0</v>
      </c>
      <c r="R720">
        <v>3</v>
      </c>
      <c r="S720" s="11">
        <f t="shared" si="71"/>
        <v>0</v>
      </c>
      <c r="T720" s="11" t="str">
        <f t="shared" si="68"/>
        <v>Detrator</v>
      </c>
      <c r="U720" s="11" t="str">
        <f t="shared" si="69"/>
        <v>Alto risco</v>
      </c>
      <c r="V720">
        <v>0</v>
      </c>
      <c r="W720">
        <v>26</v>
      </c>
      <c r="X720" s="2">
        <v>351.55</v>
      </c>
      <c r="Y720">
        <v>2</v>
      </c>
      <c r="Z720" t="s">
        <v>35</v>
      </c>
    </row>
    <row r="721" spans="1:26">
      <c r="A721" t="s">
        <v>1256</v>
      </c>
      <c r="B721" t="s">
        <v>887</v>
      </c>
      <c r="C721" t="s">
        <v>90</v>
      </c>
      <c r="D721" t="s">
        <v>29</v>
      </c>
      <c r="E721">
        <v>20</v>
      </c>
      <c r="F721" t="s">
        <v>201</v>
      </c>
      <c r="G721" t="s">
        <v>41</v>
      </c>
      <c r="H721" t="s">
        <v>32</v>
      </c>
      <c r="I721" t="e">
        <f ca="1">_xludf.XLOOKUP(H721,Base_Planos!$A:$A,Base_Planos!$B:$B,"Não encontrado")</f>
        <v>#NAME?</v>
      </c>
      <c r="J721" s="2">
        <f>VLOOKUP(H721,Base_Planos!$A:$G,4,FALSE)</f>
        <v>39.9</v>
      </c>
      <c r="K721" s="4">
        <v>45667</v>
      </c>
      <c r="L721" t="s">
        <v>261</v>
      </c>
      <c r="M721" t="s">
        <v>34</v>
      </c>
      <c r="N721" s="4">
        <v>46085</v>
      </c>
      <c r="O721" s="10">
        <f t="shared" ca="1" si="70"/>
        <v>418</v>
      </c>
      <c r="P721" s="10" t="str">
        <f t="shared" ca="1" si="67"/>
        <v>Mais de 1 ano</v>
      </c>
      <c r="Q721">
        <f t="shared" si="66"/>
        <v>0</v>
      </c>
      <c r="R721">
        <v>6</v>
      </c>
      <c r="S721" s="11">
        <f t="shared" si="71"/>
        <v>0</v>
      </c>
      <c r="T721" s="11" t="str">
        <f t="shared" si="68"/>
        <v>Detrator</v>
      </c>
      <c r="U721" s="11" t="str">
        <f t="shared" si="69"/>
        <v>Alto risco</v>
      </c>
      <c r="V721">
        <v>0</v>
      </c>
      <c r="W721">
        <v>54</v>
      </c>
      <c r="X721" s="2">
        <v>36.07</v>
      </c>
      <c r="Y721">
        <v>13</v>
      </c>
      <c r="Z721" t="s">
        <v>50</v>
      </c>
    </row>
    <row r="722" spans="1:26">
      <c r="A722" t="s">
        <v>1257</v>
      </c>
      <c r="B722" t="s">
        <v>1144</v>
      </c>
      <c r="C722" t="s">
        <v>102</v>
      </c>
      <c r="D722" t="s">
        <v>103</v>
      </c>
      <c r="E722">
        <v>27</v>
      </c>
      <c r="F722" t="s">
        <v>30</v>
      </c>
      <c r="G722" t="s">
        <v>41</v>
      </c>
      <c r="H722" t="s">
        <v>32</v>
      </c>
      <c r="I722" t="e">
        <f ca="1">_xludf.XLOOKUP(H722,Base_Planos!$A:$A,Base_Planos!$B:$B,"Não encontrado")</f>
        <v>#NAME?</v>
      </c>
      <c r="J722" s="2">
        <f>VLOOKUP(H722,Base_Planos!$A:$G,4,FALSE)</f>
        <v>39.9</v>
      </c>
      <c r="K722" s="4">
        <v>45851</v>
      </c>
      <c r="L722" t="s">
        <v>212</v>
      </c>
      <c r="M722" t="s">
        <v>44</v>
      </c>
      <c r="N722" s="4"/>
      <c r="O722" s="10">
        <f t="shared" ca="1" si="70"/>
        <v>318</v>
      </c>
      <c r="P722" s="10" t="str">
        <f t="shared" ca="1" si="67"/>
        <v>181 a 365 dias</v>
      </c>
      <c r="Q722">
        <f t="shared" si="66"/>
        <v>0</v>
      </c>
      <c r="R722">
        <v>6</v>
      </c>
      <c r="S722" s="11">
        <f t="shared" si="71"/>
        <v>0</v>
      </c>
      <c r="T722" s="11" t="str">
        <f t="shared" si="68"/>
        <v>Detrator</v>
      </c>
      <c r="U722" s="11" t="str">
        <f t="shared" si="69"/>
        <v>Alto risco</v>
      </c>
      <c r="V722">
        <v>0</v>
      </c>
      <c r="W722">
        <v>50</v>
      </c>
      <c r="X722" s="2">
        <v>34.65</v>
      </c>
      <c r="Y722">
        <v>10</v>
      </c>
      <c r="Z722" t="s">
        <v>50</v>
      </c>
    </row>
    <row r="723" spans="1:26">
      <c r="A723" t="s">
        <v>1258</v>
      </c>
      <c r="B723" t="s">
        <v>263</v>
      </c>
      <c r="C723" t="s">
        <v>108</v>
      </c>
      <c r="D723" t="s">
        <v>109</v>
      </c>
      <c r="E723">
        <v>37</v>
      </c>
      <c r="F723" t="s">
        <v>30</v>
      </c>
      <c r="G723" t="s">
        <v>165</v>
      </c>
      <c r="H723" t="s">
        <v>166</v>
      </c>
      <c r="I723" t="e">
        <f ca="1">_xludf.XLOOKUP(H723,Base_Planos!$A:$A,Base_Planos!$B:$B,"Não encontrado")</f>
        <v>#NAME?</v>
      </c>
      <c r="J723" s="2">
        <f>VLOOKUP(H723,Base_Planos!$A:$G,4,FALSE)</f>
        <v>399.9</v>
      </c>
      <c r="K723" s="4">
        <v>45913</v>
      </c>
      <c r="L723" t="s">
        <v>189</v>
      </c>
      <c r="M723" t="s">
        <v>44</v>
      </c>
      <c r="N723" s="4"/>
      <c r="O723" s="10">
        <f t="shared" ca="1" si="70"/>
        <v>256</v>
      </c>
      <c r="P723" s="10" t="str">
        <f t="shared" ca="1" si="67"/>
        <v>181 a 365 dias</v>
      </c>
      <c r="Q723">
        <f t="shared" si="66"/>
        <v>0</v>
      </c>
      <c r="R723">
        <v>7</v>
      </c>
      <c r="S723" s="11">
        <f t="shared" si="71"/>
        <v>0</v>
      </c>
      <c r="T723" s="11" t="str">
        <f t="shared" si="68"/>
        <v>Neutro</v>
      </c>
      <c r="U723" s="11" t="str">
        <f t="shared" si="69"/>
        <v>Médio risco</v>
      </c>
      <c r="V723">
        <v>3</v>
      </c>
      <c r="W723">
        <v>46</v>
      </c>
      <c r="X723" s="2">
        <v>412.9</v>
      </c>
      <c r="Y723">
        <v>8</v>
      </c>
      <c r="Z723" t="s">
        <v>50</v>
      </c>
    </row>
    <row r="724" spans="1:26">
      <c r="A724" t="s">
        <v>1259</v>
      </c>
      <c r="B724" t="s">
        <v>1004</v>
      </c>
      <c r="C724" t="s">
        <v>53</v>
      </c>
      <c r="D724" t="s">
        <v>29</v>
      </c>
      <c r="E724">
        <v>18</v>
      </c>
      <c r="F724" t="s">
        <v>54</v>
      </c>
      <c r="G724" t="s">
        <v>31</v>
      </c>
      <c r="H724" t="s">
        <v>32</v>
      </c>
      <c r="I724" t="e">
        <f ca="1">_xludf.XLOOKUP(H724,Base_Planos!$A:$A,Base_Planos!$B:$B,"Não encontrado")</f>
        <v>#NAME?</v>
      </c>
      <c r="J724" s="2">
        <f>VLOOKUP(H724,Base_Planos!$A:$G,4,FALSE)</f>
        <v>39.9</v>
      </c>
      <c r="K724" s="4">
        <v>46111</v>
      </c>
      <c r="L724" t="s">
        <v>292</v>
      </c>
      <c r="M724" t="s">
        <v>44</v>
      </c>
      <c r="N724" s="4"/>
      <c r="O724" s="10">
        <f t="shared" ca="1" si="70"/>
        <v>58</v>
      </c>
      <c r="P724" s="10" t="str">
        <f t="shared" ca="1" si="67"/>
        <v>31 a 90 dias</v>
      </c>
      <c r="Q724">
        <f t="shared" si="66"/>
        <v>0</v>
      </c>
      <c r="R724">
        <v>9</v>
      </c>
      <c r="S724" s="11">
        <f t="shared" si="71"/>
        <v>0</v>
      </c>
      <c r="T724" s="11" t="str">
        <f t="shared" si="68"/>
        <v>Promotor</v>
      </c>
      <c r="U724" s="11" t="str">
        <f t="shared" si="69"/>
        <v>Baixo risco</v>
      </c>
      <c r="V724">
        <v>2</v>
      </c>
      <c r="W724">
        <v>89</v>
      </c>
      <c r="X724" s="2">
        <v>40.5</v>
      </c>
      <c r="Y724">
        <v>1</v>
      </c>
      <c r="Z724" t="s">
        <v>50</v>
      </c>
    </row>
    <row r="725" spans="1:26">
      <c r="A725" t="s">
        <v>1260</v>
      </c>
      <c r="B725" t="s">
        <v>1261</v>
      </c>
      <c r="C725" t="s">
        <v>28</v>
      </c>
      <c r="D725" t="s">
        <v>29</v>
      </c>
      <c r="E725">
        <v>27</v>
      </c>
      <c r="F725" t="s">
        <v>66</v>
      </c>
      <c r="G725" t="s">
        <v>96</v>
      </c>
      <c r="H725" t="s">
        <v>112</v>
      </c>
      <c r="I725" t="e">
        <f ca="1">_xludf.XLOOKUP(H725,Base_Planos!$A:$A,Base_Planos!$B:$B,"Não encontrado")</f>
        <v>#NAME?</v>
      </c>
      <c r="J725" s="2">
        <f>VLOOKUP(H725,Base_Planos!$A:$G,4,FALSE)</f>
        <v>79.900000000000006</v>
      </c>
      <c r="K725" s="4">
        <v>45575</v>
      </c>
      <c r="L725" t="s">
        <v>123</v>
      </c>
      <c r="M725" t="s">
        <v>44</v>
      </c>
      <c r="N725" s="4"/>
      <c r="O725" s="10">
        <f t="shared" ca="1" si="70"/>
        <v>594</v>
      </c>
      <c r="P725" s="10" t="str">
        <f t="shared" ca="1" si="67"/>
        <v>Mais de 1 ano</v>
      </c>
      <c r="Q725">
        <f t="shared" si="66"/>
        <v>0</v>
      </c>
      <c r="R725">
        <v>1</v>
      </c>
      <c r="S725" s="11">
        <f t="shared" si="71"/>
        <v>0</v>
      </c>
      <c r="T725" s="11" t="str">
        <f t="shared" si="68"/>
        <v>Detrator</v>
      </c>
      <c r="U725" s="11" t="str">
        <f t="shared" si="69"/>
        <v>Alto risco</v>
      </c>
      <c r="V725">
        <v>0</v>
      </c>
      <c r="W725">
        <v>16</v>
      </c>
      <c r="X725" s="2">
        <v>83.71</v>
      </c>
      <c r="Y725">
        <v>19</v>
      </c>
      <c r="Z725" t="s">
        <v>45</v>
      </c>
    </row>
    <row r="726" spans="1:26">
      <c r="A726" t="s">
        <v>1262</v>
      </c>
      <c r="B726" t="s">
        <v>699</v>
      </c>
      <c r="C726" t="s">
        <v>65</v>
      </c>
      <c r="D726" t="s">
        <v>29</v>
      </c>
      <c r="E726">
        <v>46</v>
      </c>
      <c r="F726" t="s">
        <v>40</v>
      </c>
      <c r="G726" t="s">
        <v>55</v>
      </c>
      <c r="H726" t="s">
        <v>32</v>
      </c>
      <c r="I726" t="e">
        <f ca="1">_xludf.XLOOKUP(H726,Base_Planos!$A:$A,Base_Planos!$B:$B,"Não encontrado")</f>
        <v>#NAME?</v>
      </c>
      <c r="J726" s="2">
        <f>VLOOKUP(H726,Base_Planos!$A:$G,4,FALSE)</f>
        <v>39.9</v>
      </c>
      <c r="K726" s="4">
        <v>45311</v>
      </c>
      <c r="L726" t="s">
        <v>516</v>
      </c>
      <c r="M726" t="s">
        <v>34</v>
      </c>
      <c r="N726" s="4">
        <v>45555</v>
      </c>
      <c r="O726" s="10">
        <f t="shared" ca="1" si="70"/>
        <v>244</v>
      </c>
      <c r="P726" s="10" t="str">
        <f t="shared" ca="1" si="67"/>
        <v>181 a 365 dias</v>
      </c>
      <c r="Q726">
        <f t="shared" ref="Q726:Q789" si="72">IF(M503="Cancelado",1,0)</f>
        <v>1</v>
      </c>
      <c r="R726">
        <v>6</v>
      </c>
      <c r="S726" s="11">
        <f t="shared" si="71"/>
        <v>39.9</v>
      </c>
      <c r="T726" s="11" t="str">
        <f t="shared" si="68"/>
        <v>Detrator</v>
      </c>
      <c r="U726" s="11" t="str">
        <f t="shared" si="69"/>
        <v>Alto risco</v>
      </c>
      <c r="V726">
        <v>1</v>
      </c>
      <c r="W726">
        <v>11</v>
      </c>
      <c r="X726" s="2">
        <v>41.67</v>
      </c>
      <c r="Y726">
        <v>8</v>
      </c>
      <c r="Z726" t="s">
        <v>35</v>
      </c>
    </row>
    <row r="727" spans="1:26">
      <c r="A727" t="s">
        <v>1263</v>
      </c>
      <c r="B727" t="s">
        <v>580</v>
      </c>
      <c r="C727" t="s">
        <v>108</v>
      </c>
      <c r="D727" t="s">
        <v>109</v>
      </c>
      <c r="E727">
        <v>41</v>
      </c>
      <c r="F727" t="s">
        <v>30</v>
      </c>
      <c r="G727" t="s">
        <v>73</v>
      </c>
      <c r="H727" t="s">
        <v>112</v>
      </c>
      <c r="I727" t="e">
        <f ca="1">_xludf.XLOOKUP(H727,Base_Planos!$A:$A,Base_Planos!$B:$B,"Não encontrado")</f>
        <v>#NAME?</v>
      </c>
      <c r="J727" s="2">
        <f>VLOOKUP(H727,Base_Planos!$A:$G,4,FALSE)</f>
        <v>79.900000000000006</v>
      </c>
      <c r="K727" s="4">
        <v>45182</v>
      </c>
      <c r="L727" t="s">
        <v>105</v>
      </c>
      <c r="M727" t="s">
        <v>44</v>
      </c>
      <c r="N727" s="4"/>
      <c r="O727" s="10">
        <f t="shared" ca="1" si="70"/>
        <v>987</v>
      </c>
      <c r="P727" s="10" t="str">
        <f t="shared" ca="1" si="67"/>
        <v>Mais de 1 ano</v>
      </c>
      <c r="Q727">
        <f t="shared" si="72"/>
        <v>0</v>
      </c>
      <c r="R727">
        <v>7</v>
      </c>
      <c r="S727" s="11">
        <f t="shared" si="71"/>
        <v>0</v>
      </c>
      <c r="T727" s="11" t="str">
        <f t="shared" si="68"/>
        <v>Neutro</v>
      </c>
      <c r="U727" s="11" t="str">
        <f t="shared" si="69"/>
        <v>Médio risco</v>
      </c>
      <c r="V727">
        <v>0</v>
      </c>
      <c r="W727">
        <v>32</v>
      </c>
      <c r="X727" s="2">
        <v>76.58</v>
      </c>
      <c r="Y727">
        <v>32</v>
      </c>
      <c r="Z727" t="s">
        <v>50</v>
      </c>
    </row>
    <row r="728" spans="1:26">
      <c r="A728" t="s">
        <v>1264</v>
      </c>
      <c r="B728" t="s">
        <v>1265</v>
      </c>
      <c r="C728" t="s">
        <v>102</v>
      </c>
      <c r="D728" t="s">
        <v>103</v>
      </c>
      <c r="E728">
        <v>29</v>
      </c>
      <c r="F728" t="s">
        <v>54</v>
      </c>
      <c r="G728" t="s">
        <v>165</v>
      </c>
      <c r="H728" t="s">
        <v>32</v>
      </c>
      <c r="I728" t="e">
        <f ca="1">_xludf.XLOOKUP(H728,Base_Planos!$A:$A,Base_Planos!$B:$B,"Não encontrado")</f>
        <v>#NAME?</v>
      </c>
      <c r="J728" s="2">
        <f>VLOOKUP(H728,Base_Planos!$A:$G,4,FALSE)</f>
        <v>39.9</v>
      </c>
      <c r="K728" s="4">
        <v>45260</v>
      </c>
      <c r="L728" t="s">
        <v>79</v>
      </c>
      <c r="M728" t="s">
        <v>44</v>
      </c>
      <c r="N728" s="4"/>
      <c r="O728" s="10">
        <f t="shared" ca="1" si="70"/>
        <v>909</v>
      </c>
      <c r="P728" s="10" t="str">
        <f t="shared" ca="1" si="67"/>
        <v>Mais de 1 ano</v>
      </c>
      <c r="Q728">
        <f t="shared" si="72"/>
        <v>0</v>
      </c>
      <c r="R728">
        <v>8</v>
      </c>
      <c r="S728" s="11">
        <f t="shared" si="71"/>
        <v>0</v>
      </c>
      <c r="T728" s="11" t="str">
        <f t="shared" si="68"/>
        <v>Neutro</v>
      </c>
      <c r="U728" s="11" t="str">
        <f t="shared" si="69"/>
        <v>Médio risco</v>
      </c>
      <c r="V728">
        <v>1</v>
      </c>
      <c r="W728">
        <v>65</v>
      </c>
      <c r="X728" s="2">
        <v>38.979999999999997</v>
      </c>
      <c r="Y728">
        <v>30</v>
      </c>
      <c r="Z728" t="s">
        <v>50</v>
      </c>
    </row>
    <row r="729" spans="1:26">
      <c r="A729" t="s">
        <v>1266</v>
      </c>
      <c r="B729" t="s">
        <v>1267</v>
      </c>
      <c r="C729" t="s">
        <v>53</v>
      </c>
      <c r="D729" t="s">
        <v>29</v>
      </c>
      <c r="E729">
        <v>24</v>
      </c>
      <c r="F729" t="s">
        <v>201</v>
      </c>
      <c r="G729" t="s">
        <v>55</v>
      </c>
      <c r="H729" t="s">
        <v>32</v>
      </c>
      <c r="I729" t="e">
        <f ca="1">_xludf.XLOOKUP(H729,Base_Planos!$A:$A,Base_Planos!$B:$B,"Não encontrado")</f>
        <v>#NAME?</v>
      </c>
      <c r="J729" s="2">
        <f>VLOOKUP(H729,Base_Planos!$A:$G,4,FALSE)</f>
        <v>39.9</v>
      </c>
      <c r="K729" s="4">
        <v>44960</v>
      </c>
      <c r="L729" t="s">
        <v>425</v>
      </c>
      <c r="M729" t="s">
        <v>44</v>
      </c>
      <c r="N729" s="4"/>
      <c r="O729" s="10">
        <f t="shared" ca="1" si="70"/>
        <v>1209</v>
      </c>
      <c r="P729" s="10" t="str">
        <f t="shared" ca="1" si="67"/>
        <v>Mais de 1 ano</v>
      </c>
      <c r="Q729">
        <f t="shared" si="72"/>
        <v>1</v>
      </c>
      <c r="R729">
        <v>9</v>
      </c>
      <c r="S729" s="11">
        <f t="shared" si="71"/>
        <v>39.9</v>
      </c>
      <c r="T729" s="11" t="str">
        <f t="shared" si="68"/>
        <v>Promotor</v>
      </c>
      <c r="U729" s="11" t="str">
        <f t="shared" si="69"/>
        <v>Alto risco</v>
      </c>
      <c r="V729">
        <v>1</v>
      </c>
      <c r="W729">
        <v>51</v>
      </c>
      <c r="X729" s="2">
        <v>38.26</v>
      </c>
      <c r="Y729">
        <v>40</v>
      </c>
      <c r="Z729" t="s">
        <v>50</v>
      </c>
    </row>
    <row r="730" spans="1:26">
      <c r="A730" t="s">
        <v>1268</v>
      </c>
      <c r="B730" t="s">
        <v>737</v>
      </c>
      <c r="C730" t="s">
        <v>38</v>
      </c>
      <c r="D730" t="s">
        <v>39</v>
      </c>
      <c r="E730">
        <v>55</v>
      </c>
      <c r="F730" t="s">
        <v>40</v>
      </c>
      <c r="G730" t="s">
        <v>73</v>
      </c>
      <c r="H730" t="s">
        <v>86</v>
      </c>
      <c r="I730" t="e">
        <f ca="1">_xludf.XLOOKUP(H730,Base_Planos!$A:$A,Base_Planos!$B:$B,"Não encontrado")</f>
        <v>#NAME?</v>
      </c>
      <c r="J730" s="2">
        <f>VLOOKUP(H730,Base_Planos!$A:$G,4,FALSE)</f>
        <v>119.9</v>
      </c>
      <c r="K730" s="4">
        <v>45360</v>
      </c>
      <c r="L730" t="s">
        <v>126</v>
      </c>
      <c r="M730" t="s">
        <v>44</v>
      </c>
      <c r="N730" s="4"/>
      <c r="O730" s="10">
        <f t="shared" ca="1" si="70"/>
        <v>809</v>
      </c>
      <c r="P730" s="10" t="str">
        <f t="shared" ca="1" si="67"/>
        <v>Mais de 1 ano</v>
      </c>
      <c r="Q730">
        <f t="shared" si="72"/>
        <v>1</v>
      </c>
      <c r="R730">
        <v>3</v>
      </c>
      <c r="S730" s="11">
        <f t="shared" si="71"/>
        <v>119.9</v>
      </c>
      <c r="T730" s="11" t="str">
        <f t="shared" si="68"/>
        <v>Detrator</v>
      </c>
      <c r="U730" s="11" t="str">
        <f t="shared" si="69"/>
        <v>Alto risco</v>
      </c>
      <c r="V730">
        <v>0</v>
      </c>
      <c r="W730">
        <v>22</v>
      </c>
      <c r="X730" s="2">
        <v>124.71</v>
      </c>
      <c r="Y730">
        <v>26</v>
      </c>
      <c r="Z730" t="s">
        <v>45</v>
      </c>
    </row>
    <row r="731" spans="1:26">
      <c r="A731" t="s">
        <v>1269</v>
      </c>
      <c r="B731" t="s">
        <v>1270</v>
      </c>
      <c r="C731" t="s">
        <v>71</v>
      </c>
      <c r="D731" t="s">
        <v>72</v>
      </c>
      <c r="E731">
        <v>59</v>
      </c>
      <c r="F731" t="s">
        <v>40</v>
      </c>
      <c r="G731" t="s">
        <v>41</v>
      </c>
      <c r="H731" t="s">
        <v>32</v>
      </c>
      <c r="I731" t="e">
        <f ca="1">_xludf.XLOOKUP(H731,Base_Planos!$A:$A,Base_Planos!$B:$B,"Não encontrado")</f>
        <v>#NAME?</v>
      </c>
      <c r="J731" s="2">
        <f>VLOOKUP(H731,Base_Planos!$A:$G,4,FALSE)</f>
        <v>39.9</v>
      </c>
      <c r="K731" s="4">
        <v>45694</v>
      </c>
      <c r="L731" t="s">
        <v>289</v>
      </c>
      <c r="M731" t="s">
        <v>34</v>
      </c>
      <c r="N731" s="4">
        <v>46131</v>
      </c>
      <c r="O731" s="10">
        <f t="shared" ca="1" si="70"/>
        <v>437</v>
      </c>
      <c r="P731" s="10" t="str">
        <f t="shared" ca="1" si="67"/>
        <v>Mais de 1 ano</v>
      </c>
      <c r="Q731">
        <f t="shared" si="72"/>
        <v>0</v>
      </c>
      <c r="R731">
        <v>3</v>
      </c>
      <c r="S731" s="11">
        <f t="shared" si="71"/>
        <v>0</v>
      </c>
      <c r="T731" s="11" t="str">
        <f t="shared" si="68"/>
        <v>Detrator</v>
      </c>
      <c r="U731" s="11" t="str">
        <f t="shared" si="69"/>
        <v>Alto risco</v>
      </c>
      <c r="V731">
        <v>1</v>
      </c>
      <c r="W731">
        <v>55</v>
      </c>
      <c r="X731" s="2">
        <v>39.29</v>
      </c>
      <c r="Y731">
        <v>14</v>
      </c>
      <c r="Z731" t="s">
        <v>35</v>
      </c>
    </row>
    <row r="732" spans="1:26">
      <c r="A732" t="s">
        <v>1271</v>
      </c>
      <c r="B732" t="s">
        <v>854</v>
      </c>
      <c r="C732" t="s">
        <v>28</v>
      </c>
      <c r="D732" t="s">
        <v>29</v>
      </c>
      <c r="E732">
        <v>18</v>
      </c>
      <c r="F732" t="s">
        <v>30</v>
      </c>
      <c r="G732" t="s">
        <v>165</v>
      </c>
      <c r="H732" t="s">
        <v>86</v>
      </c>
      <c r="I732" t="e">
        <f ca="1">_xludf.XLOOKUP(H732,Base_Planos!$A:$A,Base_Planos!$B:$B,"Não encontrado")</f>
        <v>#NAME?</v>
      </c>
      <c r="J732" s="2">
        <f>VLOOKUP(H732,Base_Planos!$A:$G,4,FALSE)</f>
        <v>119.9</v>
      </c>
      <c r="K732" s="4">
        <v>45989</v>
      </c>
      <c r="L732" t="s">
        <v>87</v>
      </c>
      <c r="M732" t="s">
        <v>44</v>
      </c>
      <c r="N732" s="4"/>
      <c r="O732" s="10">
        <f t="shared" ca="1" si="70"/>
        <v>180</v>
      </c>
      <c r="P732" s="10" t="str">
        <f t="shared" ca="1" si="67"/>
        <v>91 a 180 dias</v>
      </c>
      <c r="Q732">
        <f t="shared" si="72"/>
        <v>0</v>
      </c>
      <c r="R732">
        <v>9</v>
      </c>
      <c r="S732" s="11">
        <f t="shared" si="71"/>
        <v>0</v>
      </c>
      <c r="T732" s="11" t="str">
        <f t="shared" si="68"/>
        <v>Promotor</v>
      </c>
      <c r="U732" s="11" t="str">
        <f t="shared" si="69"/>
        <v>Baixo risco</v>
      </c>
      <c r="V732">
        <v>0</v>
      </c>
      <c r="W732">
        <v>72</v>
      </c>
      <c r="X732" s="2">
        <v>115.24</v>
      </c>
      <c r="Y732">
        <v>6</v>
      </c>
      <c r="Z732" t="s">
        <v>50</v>
      </c>
    </row>
    <row r="733" spans="1:26">
      <c r="A733" t="s">
        <v>1272</v>
      </c>
      <c r="B733" t="s">
        <v>1273</v>
      </c>
      <c r="C733" t="s">
        <v>90</v>
      </c>
      <c r="D733" t="s">
        <v>29</v>
      </c>
      <c r="E733">
        <v>59</v>
      </c>
      <c r="F733" t="s">
        <v>54</v>
      </c>
      <c r="G733" t="s">
        <v>67</v>
      </c>
      <c r="H733" t="s">
        <v>82</v>
      </c>
      <c r="I733" t="e">
        <f ca="1">_xludf.XLOOKUP(H733,Base_Planos!$A:$A,Base_Planos!$B:$B,"Não encontrado")</f>
        <v>#NAME?</v>
      </c>
      <c r="J733" s="2">
        <f>VLOOKUP(H733,Base_Planos!$A:$G,4,FALSE)</f>
        <v>149.9</v>
      </c>
      <c r="K733" s="4">
        <v>46110</v>
      </c>
      <c r="L733" t="s">
        <v>292</v>
      </c>
      <c r="M733" t="s">
        <v>34</v>
      </c>
      <c r="N733" s="4">
        <v>46168</v>
      </c>
      <c r="O733" s="10">
        <f t="shared" ca="1" si="70"/>
        <v>58</v>
      </c>
      <c r="P733" s="10" t="str">
        <f t="shared" ca="1" si="67"/>
        <v>31 a 90 dias</v>
      </c>
      <c r="Q733">
        <f t="shared" si="72"/>
        <v>0</v>
      </c>
      <c r="R733">
        <v>6</v>
      </c>
      <c r="S733" s="11">
        <f t="shared" si="71"/>
        <v>0</v>
      </c>
      <c r="T733" s="11" t="str">
        <f t="shared" si="68"/>
        <v>Detrator</v>
      </c>
      <c r="U733" s="11" t="str">
        <f t="shared" si="69"/>
        <v>Alto risco</v>
      </c>
      <c r="V733">
        <v>4</v>
      </c>
      <c r="W733">
        <v>85</v>
      </c>
      <c r="X733" s="2">
        <v>142.91999999999999</v>
      </c>
      <c r="Y733">
        <v>1</v>
      </c>
      <c r="Z733" t="s">
        <v>35</v>
      </c>
    </row>
    <row r="734" spans="1:26">
      <c r="A734" t="s">
        <v>1274</v>
      </c>
      <c r="B734" t="s">
        <v>891</v>
      </c>
      <c r="C734" t="s">
        <v>102</v>
      </c>
      <c r="D734" t="s">
        <v>103</v>
      </c>
      <c r="E734">
        <v>63</v>
      </c>
      <c r="F734" t="s">
        <v>40</v>
      </c>
      <c r="G734" t="s">
        <v>55</v>
      </c>
      <c r="H734" t="s">
        <v>61</v>
      </c>
      <c r="I734" t="e">
        <f ca="1">_xludf.XLOOKUP(H734,Base_Planos!$A:$A,Base_Planos!$B:$B,"Não encontrado")</f>
        <v>#NAME?</v>
      </c>
      <c r="J734" s="2">
        <f>VLOOKUP(H734,Base_Planos!$A:$G,4,FALSE)</f>
        <v>59.9</v>
      </c>
      <c r="K734" s="4">
        <v>45729</v>
      </c>
      <c r="L734" t="s">
        <v>454</v>
      </c>
      <c r="M734" t="s">
        <v>44</v>
      </c>
      <c r="N734" s="4"/>
      <c r="O734" s="10">
        <f t="shared" ca="1" si="70"/>
        <v>440</v>
      </c>
      <c r="P734" s="10" t="str">
        <f t="shared" ca="1" si="67"/>
        <v>Mais de 1 ano</v>
      </c>
      <c r="Q734">
        <f t="shared" si="72"/>
        <v>1</v>
      </c>
      <c r="R734">
        <v>10</v>
      </c>
      <c r="S734" s="11">
        <f t="shared" si="71"/>
        <v>59.9</v>
      </c>
      <c r="T734" s="11" t="str">
        <f t="shared" si="68"/>
        <v>Promotor</v>
      </c>
      <c r="U734" s="11" t="str">
        <f t="shared" si="69"/>
        <v>Alto risco</v>
      </c>
      <c r="V734">
        <v>0</v>
      </c>
      <c r="W734">
        <v>30</v>
      </c>
      <c r="X734" s="2">
        <v>52.03</v>
      </c>
      <c r="Y734">
        <v>14</v>
      </c>
      <c r="Z734" t="s">
        <v>35</v>
      </c>
    </row>
    <row r="735" spans="1:26">
      <c r="A735" t="s">
        <v>1275</v>
      </c>
      <c r="B735" t="s">
        <v>854</v>
      </c>
      <c r="C735" t="s">
        <v>28</v>
      </c>
      <c r="D735" t="s">
        <v>29</v>
      </c>
      <c r="E735">
        <v>58</v>
      </c>
      <c r="F735" t="s">
        <v>40</v>
      </c>
      <c r="G735" t="s">
        <v>96</v>
      </c>
      <c r="H735" t="s">
        <v>32</v>
      </c>
      <c r="I735" t="e">
        <f ca="1">_xludf.XLOOKUP(H735,Base_Planos!$A:$A,Base_Planos!$B:$B,"Não encontrado")</f>
        <v>#NAME?</v>
      </c>
      <c r="J735" s="2">
        <f>VLOOKUP(H735,Base_Planos!$A:$G,4,FALSE)</f>
        <v>39.9</v>
      </c>
      <c r="K735" s="4">
        <v>46040</v>
      </c>
      <c r="L735" t="s">
        <v>148</v>
      </c>
      <c r="M735" t="s">
        <v>44</v>
      </c>
      <c r="N735" s="4"/>
      <c r="O735" s="10">
        <f t="shared" ca="1" si="70"/>
        <v>129</v>
      </c>
      <c r="P735" s="10" t="str">
        <f t="shared" ca="1" si="67"/>
        <v>91 a 180 dias</v>
      </c>
      <c r="Q735">
        <f t="shared" si="72"/>
        <v>1</v>
      </c>
      <c r="R735">
        <v>1</v>
      </c>
      <c r="S735" s="11">
        <f t="shared" si="71"/>
        <v>39.9</v>
      </c>
      <c r="T735" s="11" t="str">
        <f t="shared" si="68"/>
        <v>Detrator</v>
      </c>
      <c r="U735" s="11" t="str">
        <f t="shared" si="69"/>
        <v>Alto risco</v>
      </c>
      <c r="V735">
        <v>1</v>
      </c>
      <c r="W735">
        <v>54</v>
      </c>
      <c r="X735" s="2">
        <v>38.979999999999997</v>
      </c>
      <c r="Y735">
        <v>4</v>
      </c>
      <c r="Z735" t="s">
        <v>35</v>
      </c>
    </row>
    <row r="736" spans="1:26">
      <c r="A736" t="s">
        <v>1276</v>
      </c>
      <c r="B736" t="s">
        <v>1277</v>
      </c>
      <c r="C736" t="s">
        <v>94</v>
      </c>
      <c r="D736" t="s">
        <v>95</v>
      </c>
      <c r="E736">
        <v>33</v>
      </c>
      <c r="F736" t="s">
        <v>40</v>
      </c>
      <c r="G736" t="s">
        <v>31</v>
      </c>
      <c r="H736" t="s">
        <v>42</v>
      </c>
      <c r="I736" t="e">
        <f ca="1">_xludf.XLOOKUP(H736,Base_Planos!$A:$A,Base_Planos!$B:$B,"Não encontrado")</f>
        <v>#NAME?</v>
      </c>
      <c r="J736" s="2">
        <f>VLOOKUP(H736,Base_Planos!$A:$G,4,FALSE)</f>
        <v>29.9</v>
      </c>
      <c r="K736" s="4">
        <v>46023</v>
      </c>
      <c r="L736" t="s">
        <v>148</v>
      </c>
      <c r="M736" t="s">
        <v>34</v>
      </c>
      <c r="N736" s="4">
        <v>46059</v>
      </c>
      <c r="O736" s="10">
        <f t="shared" ca="1" si="70"/>
        <v>36</v>
      </c>
      <c r="P736" s="10" t="str">
        <f t="shared" ca="1" si="67"/>
        <v>31 a 90 dias</v>
      </c>
      <c r="Q736">
        <f t="shared" si="72"/>
        <v>0</v>
      </c>
      <c r="R736">
        <v>3</v>
      </c>
      <c r="S736" s="11">
        <f t="shared" si="71"/>
        <v>0</v>
      </c>
      <c r="T736" s="11" t="str">
        <f t="shared" si="68"/>
        <v>Detrator</v>
      </c>
      <c r="U736" s="11" t="str">
        <f t="shared" si="69"/>
        <v>Alto risco</v>
      </c>
      <c r="V736">
        <v>0</v>
      </c>
      <c r="W736">
        <v>6</v>
      </c>
      <c r="X736" s="2">
        <v>31.01</v>
      </c>
      <c r="Y736">
        <v>1</v>
      </c>
      <c r="Z736" t="s">
        <v>45</v>
      </c>
    </row>
    <row r="737" spans="1:26">
      <c r="A737" t="s">
        <v>1278</v>
      </c>
      <c r="B737" t="s">
        <v>1279</v>
      </c>
      <c r="C737" t="s">
        <v>65</v>
      </c>
      <c r="D737" t="s">
        <v>29</v>
      </c>
      <c r="E737">
        <v>55</v>
      </c>
      <c r="F737" t="s">
        <v>66</v>
      </c>
      <c r="G737" t="s">
        <v>55</v>
      </c>
      <c r="H737" t="s">
        <v>112</v>
      </c>
      <c r="I737" t="e">
        <f ca="1">_xludf.XLOOKUP(H737,Base_Planos!$A:$A,Base_Planos!$B:$B,"Não encontrado")</f>
        <v>#NAME?</v>
      </c>
      <c r="J737" s="2">
        <f>VLOOKUP(H737,Base_Planos!$A:$G,4,FALSE)</f>
        <v>79.900000000000006</v>
      </c>
      <c r="K737" s="4">
        <v>45178</v>
      </c>
      <c r="L737" t="s">
        <v>105</v>
      </c>
      <c r="M737" t="s">
        <v>34</v>
      </c>
      <c r="N737" s="4">
        <v>46072</v>
      </c>
      <c r="O737" s="10">
        <f t="shared" ca="1" si="70"/>
        <v>894</v>
      </c>
      <c r="P737" s="10" t="str">
        <f t="shared" ca="1" si="67"/>
        <v>Mais de 1 ano</v>
      </c>
      <c r="Q737">
        <f t="shared" si="72"/>
        <v>0</v>
      </c>
      <c r="R737">
        <v>1</v>
      </c>
      <c r="S737" s="11">
        <f t="shared" si="71"/>
        <v>0</v>
      </c>
      <c r="T737" s="11" t="str">
        <f t="shared" si="68"/>
        <v>Detrator</v>
      </c>
      <c r="U737" s="11" t="str">
        <f t="shared" si="69"/>
        <v>Alto risco</v>
      </c>
      <c r="V737">
        <v>0</v>
      </c>
      <c r="W737">
        <v>73</v>
      </c>
      <c r="X737" s="2">
        <v>81.31</v>
      </c>
      <c r="Y737">
        <v>29</v>
      </c>
      <c r="Z737" t="s">
        <v>35</v>
      </c>
    </row>
    <row r="738" spans="1:26">
      <c r="A738" t="s">
        <v>1280</v>
      </c>
      <c r="B738" t="s">
        <v>721</v>
      </c>
      <c r="C738" t="s">
        <v>77</v>
      </c>
      <c r="D738" t="s">
        <v>78</v>
      </c>
      <c r="E738">
        <v>19</v>
      </c>
      <c r="F738" t="s">
        <v>54</v>
      </c>
      <c r="G738" t="s">
        <v>104</v>
      </c>
      <c r="H738" t="s">
        <v>166</v>
      </c>
      <c r="I738" t="e">
        <f ca="1">_xludf.XLOOKUP(H738,Base_Planos!$A:$A,Base_Planos!$B:$B,"Não encontrado")</f>
        <v>#NAME?</v>
      </c>
      <c r="J738" s="2">
        <f>VLOOKUP(H738,Base_Planos!$A:$G,4,FALSE)</f>
        <v>399.9</v>
      </c>
      <c r="K738" s="4">
        <v>45083</v>
      </c>
      <c r="L738" t="s">
        <v>328</v>
      </c>
      <c r="M738" t="s">
        <v>44</v>
      </c>
      <c r="N738" s="4"/>
      <c r="O738" s="10">
        <f t="shared" ca="1" si="70"/>
        <v>1086</v>
      </c>
      <c r="P738" s="10" t="str">
        <f t="shared" ca="1" si="67"/>
        <v>Mais de 1 ano</v>
      </c>
      <c r="Q738">
        <f t="shared" si="72"/>
        <v>0</v>
      </c>
      <c r="R738">
        <v>3</v>
      </c>
      <c r="S738" s="11">
        <f t="shared" si="71"/>
        <v>0</v>
      </c>
      <c r="T738" s="11" t="str">
        <f t="shared" si="68"/>
        <v>Detrator</v>
      </c>
      <c r="U738" s="11" t="str">
        <f t="shared" si="69"/>
        <v>Alto risco</v>
      </c>
      <c r="V738">
        <v>0</v>
      </c>
      <c r="W738">
        <v>31</v>
      </c>
      <c r="X738" s="2">
        <v>404.58</v>
      </c>
      <c r="Y738">
        <v>36</v>
      </c>
      <c r="Z738" t="s">
        <v>35</v>
      </c>
    </row>
    <row r="739" spans="1:26">
      <c r="A739" t="s">
        <v>1281</v>
      </c>
      <c r="B739" t="s">
        <v>1282</v>
      </c>
      <c r="C739" t="s">
        <v>28</v>
      </c>
      <c r="D739" t="s">
        <v>29</v>
      </c>
      <c r="E739">
        <v>29</v>
      </c>
      <c r="F739" t="s">
        <v>40</v>
      </c>
      <c r="G739" t="s">
        <v>67</v>
      </c>
      <c r="H739" t="s">
        <v>32</v>
      </c>
      <c r="I739" t="e">
        <f ca="1">_xludf.XLOOKUP(H739,Base_Planos!$A:$A,Base_Planos!$B:$B,"Não encontrado")</f>
        <v>#NAME?</v>
      </c>
      <c r="J739" s="2">
        <f>VLOOKUP(H739,Base_Planos!$A:$G,4,FALSE)</f>
        <v>39.9</v>
      </c>
      <c r="K739" s="4">
        <v>45629</v>
      </c>
      <c r="L739" t="s">
        <v>49</v>
      </c>
      <c r="M739" t="s">
        <v>34</v>
      </c>
      <c r="N739" s="4">
        <v>46038</v>
      </c>
      <c r="O739" s="10">
        <f t="shared" ca="1" si="70"/>
        <v>409</v>
      </c>
      <c r="P739" s="10" t="str">
        <f t="shared" ca="1" si="67"/>
        <v>Mais de 1 ano</v>
      </c>
      <c r="Q739">
        <f t="shared" si="72"/>
        <v>1</v>
      </c>
      <c r="R739">
        <v>5</v>
      </c>
      <c r="S739" s="11">
        <f t="shared" si="71"/>
        <v>39.9</v>
      </c>
      <c r="T739" s="11" t="str">
        <f t="shared" si="68"/>
        <v>Detrator</v>
      </c>
      <c r="U739" s="11" t="str">
        <f t="shared" si="69"/>
        <v>Alto risco</v>
      </c>
      <c r="V739">
        <v>0</v>
      </c>
      <c r="W739">
        <v>60</v>
      </c>
      <c r="X739" s="2">
        <v>41.31</v>
      </c>
      <c r="Y739">
        <v>13</v>
      </c>
      <c r="Z739" t="s">
        <v>50</v>
      </c>
    </row>
    <row r="740" spans="1:26">
      <c r="A740" t="s">
        <v>1283</v>
      </c>
      <c r="B740" t="s">
        <v>1116</v>
      </c>
      <c r="C740" t="s">
        <v>28</v>
      </c>
      <c r="D740" t="s">
        <v>29</v>
      </c>
      <c r="E740">
        <v>52</v>
      </c>
      <c r="F740" t="s">
        <v>30</v>
      </c>
      <c r="G740" t="s">
        <v>96</v>
      </c>
      <c r="H740" t="s">
        <v>42</v>
      </c>
      <c r="I740" t="e">
        <f ca="1">_xludf.XLOOKUP(H740,Base_Planos!$A:$A,Base_Planos!$B:$B,"Não encontrado")</f>
        <v>#NAME?</v>
      </c>
      <c r="J740" s="2">
        <f>VLOOKUP(H740,Base_Planos!$A:$G,4,FALSE)</f>
        <v>29.9</v>
      </c>
      <c r="K740" s="4">
        <v>45674</v>
      </c>
      <c r="L740" t="s">
        <v>261</v>
      </c>
      <c r="M740" t="s">
        <v>34</v>
      </c>
      <c r="N740" s="4">
        <v>46058</v>
      </c>
      <c r="O740" s="10">
        <f t="shared" ca="1" si="70"/>
        <v>384</v>
      </c>
      <c r="P740" s="10" t="str">
        <f t="shared" ca="1" si="67"/>
        <v>Mais de 1 ano</v>
      </c>
      <c r="Q740">
        <f t="shared" si="72"/>
        <v>0</v>
      </c>
      <c r="R740">
        <v>1</v>
      </c>
      <c r="S740" s="11">
        <f t="shared" si="71"/>
        <v>0</v>
      </c>
      <c r="T740" s="11" t="str">
        <f t="shared" si="68"/>
        <v>Detrator</v>
      </c>
      <c r="U740" s="11" t="str">
        <f t="shared" si="69"/>
        <v>Alto risco</v>
      </c>
      <c r="V740">
        <v>0</v>
      </c>
      <c r="W740">
        <v>52</v>
      </c>
      <c r="X740" s="2">
        <v>27.02</v>
      </c>
      <c r="Y740">
        <v>12</v>
      </c>
      <c r="Z740" t="s">
        <v>35</v>
      </c>
    </row>
    <row r="741" spans="1:26">
      <c r="A741" t="s">
        <v>1284</v>
      </c>
      <c r="B741" t="s">
        <v>522</v>
      </c>
      <c r="C741" t="s">
        <v>102</v>
      </c>
      <c r="D741" t="s">
        <v>103</v>
      </c>
      <c r="E741">
        <v>40</v>
      </c>
      <c r="F741" t="s">
        <v>40</v>
      </c>
      <c r="G741" t="s">
        <v>73</v>
      </c>
      <c r="H741" t="s">
        <v>112</v>
      </c>
      <c r="I741" t="e">
        <f ca="1">_xludf.XLOOKUP(H741,Base_Planos!$A:$A,Base_Planos!$B:$B,"Não encontrado")</f>
        <v>#NAME?</v>
      </c>
      <c r="J741" s="2">
        <f>VLOOKUP(H741,Base_Planos!$A:$G,4,FALSE)</f>
        <v>79.900000000000006</v>
      </c>
      <c r="K741" s="4">
        <v>45942</v>
      </c>
      <c r="L741" t="s">
        <v>196</v>
      </c>
      <c r="M741" t="s">
        <v>44</v>
      </c>
      <c r="N741" s="4"/>
      <c r="O741" s="10">
        <f t="shared" ca="1" si="70"/>
        <v>227</v>
      </c>
      <c r="P741" s="10" t="str">
        <f t="shared" ca="1" si="67"/>
        <v>181 a 365 dias</v>
      </c>
      <c r="Q741">
        <f t="shared" si="72"/>
        <v>1</v>
      </c>
      <c r="R741">
        <v>6</v>
      </c>
      <c r="S741" s="11">
        <f t="shared" si="71"/>
        <v>79.900000000000006</v>
      </c>
      <c r="T741" s="11" t="str">
        <f t="shared" si="68"/>
        <v>Detrator</v>
      </c>
      <c r="U741" s="11" t="str">
        <f t="shared" si="69"/>
        <v>Alto risco</v>
      </c>
      <c r="V741">
        <v>0</v>
      </c>
      <c r="W741">
        <v>54</v>
      </c>
      <c r="X741" s="2">
        <v>78.89</v>
      </c>
      <c r="Y741">
        <v>7</v>
      </c>
      <c r="Z741" t="s">
        <v>50</v>
      </c>
    </row>
    <row r="742" spans="1:26">
      <c r="A742" t="s">
        <v>1285</v>
      </c>
      <c r="B742" t="s">
        <v>1216</v>
      </c>
      <c r="C742" t="s">
        <v>71</v>
      </c>
      <c r="D742" t="s">
        <v>72</v>
      </c>
      <c r="E742">
        <v>24</v>
      </c>
      <c r="F742" t="s">
        <v>54</v>
      </c>
      <c r="G742" t="s">
        <v>73</v>
      </c>
      <c r="H742" t="s">
        <v>32</v>
      </c>
      <c r="I742" t="e">
        <f ca="1">_xludf.XLOOKUP(H742,Base_Planos!$A:$A,Base_Planos!$B:$B,"Não encontrado")</f>
        <v>#NAME?</v>
      </c>
      <c r="J742" s="2">
        <f>VLOOKUP(H742,Base_Planos!$A:$G,4,FALSE)</f>
        <v>39.9</v>
      </c>
      <c r="K742" s="4">
        <v>45348</v>
      </c>
      <c r="L742" t="s">
        <v>297</v>
      </c>
      <c r="M742" t="s">
        <v>44</v>
      </c>
      <c r="N742" s="4"/>
      <c r="O742" s="10">
        <f t="shared" ca="1" si="70"/>
        <v>821</v>
      </c>
      <c r="P742" s="10" t="str">
        <f t="shared" ca="1" si="67"/>
        <v>Mais de 1 ano</v>
      </c>
      <c r="Q742">
        <f t="shared" si="72"/>
        <v>0</v>
      </c>
      <c r="R742">
        <v>7</v>
      </c>
      <c r="S742" s="11">
        <f t="shared" si="71"/>
        <v>0</v>
      </c>
      <c r="T742" s="11" t="str">
        <f t="shared" si="68"/>
        <v>Neutro</v>
      </c>
      <c r="U742" s="11" t="str">
        <f t="shared" si="69"/>
        <v>Médio risco</v>
      </c>
      <c r="V742">
        <v>1</v>
      </c>
      <c r="W742">
        <v>69</v>
      </c>
      <c r="X742" s="2">
        <v>36.46</v>
      </c>
      <c r="Y742">
        <v>27</v>
      </c>
      <c r="Z742" t="s">
        <v>50</v>
      </c>
    </row>
    <row r="743" spans="1:26">
      <c r="A743" t="s">
        <v>1286</v>
      </c>
      <c r="B743" t="s">
        <v>833</v>
      </c>
      <c r="C743" t="s">
        <v>71</v>
      </c>
      <c r="D743" t="s">
        <v>72</v>
      </c>
      <c r="E743">
        <v>45</v>
      </c>
      <c r="F743" t="s">
        <v>30</v>
      </c>
      <c r="G743" t="s">
        <v>165</v>
      </c>
      <c r="H743" t="s">
        <v>112</v>
      </c>
      <c r="I743" t="e">
        <f ca="1">_xludf.XLOOKUP(H743,Base_Planos!$A:$A,Base_Planos!$B:$B,"Não encontrado")</f>
        <v>#NAME?</v>
      </c>
      <c r="J743" s="2">
        <f>VLOOKUP(H743,Base_Planos!$A:$G,4,FALSE)</f>
        <v>79.900000000000006</v>
      </c>
      <c r="K743" s="4">
        <v>45058</v>
      </c>
      <c r="L743" t="s">
        <v>115</v>
      </c>
      <c r="M743" t="s">
        <v>44</v>
      </c>
      <c r="N743" s="4"/>
      <c r="O743" s="10">
        <f t="shared" ca="1" si="70"/>
        <v>1111</v>
      </c>
      <c r="P743" s="10" t="str">
        <f t="shared" ca="1" si="67"/>
        <v>Mais de 1 ano</v>
      </c>
      <c r="Q743">
        <f t="shared" si="72"/>
        <v>0</v>
      </c>
      <c r="R743">
        <v>7</v>
      </c>
      <c r="S743" s="11">
        <f t="shared" si="71"/>
        <v>0</v>
      </c>
      <c r="T743" s="11" t="str">
        <f t="shared" si="68"/>
        <v>Neutro</v>
      </c>
      <c r="U743" s="11" t="str">
        <f t="shared" si="69"/>
        <v>Médio risco</v>
      </c>
      <c r="V743">
        <v>0</v>
      </c>
      <c r="W743">
        <v>63</v>
      </c>
      <c r="X743" s="2">
        <v>72.599999999999994</v>
      </c>
      <c r="Y743">
        <v>37</v>
      </c>
      <c r="Z743" t="s">
        <v>50</v>
      </c>
    </row>
    <row r="744" spans="1:26">
      <c r="A744" t="s">
        <v>1287</v>
      </c>
      <c r="B744" t="s">
        <v>1288</v>
      </c>
      <c r="C744" t="s">
        <v>108</v>
      </c>
      <c r="D744" t="s">
        <v>109</v>
      </c>
      <c r="E744">
        <v>43</v>
      </c>
      <c r="F744" t="s">
        <v>30</v>
      </c>
      <c r="G744" t="s">
        <v>96</v>
      </c>
      <c r="H744" t="s">
        <v>82</v>
      </c>
      <c r="I744" t="e">
        <f ca="1">_xludf.XLOOKUP(H744,Base_Planos!$A:$A,Base_Planos!$B:$B,"Não encontrado")</f>
        <v>#NAME?</v>
      </c>
      <c r="J744" s="2">
        <f>VLOOKUP(H744,Base_Planos!$A:$G,4,FALSE)</f>
        <v>149.9</v>
      </c>
      <c r="K744" s="4">
        <v>45806</v>
      </c>
      <c r="L744" t="s">
        <v>97</v>
      </c>
      <c r="M744" t="s">
        <v>44</v>
      </c>
      <c r="N744" s="4"/>
      <c r="O744" s="10">
        <f t="shared" ca="1" si="70"/>
        <v>363</v>
      </c>
      <c r="P744" s="10" t="str">
        <f t="shared" ca="1" si="67"/>
        <v>181 a 365 dias</v>
      </c>
      <c r="Q744">
        <f t="shared" si="72"/>
        <v>1</v>
      </c>
      <c r="R744">
        <v>2</v>
      </c>
      <c r="S744" s="11">
        <f t="shared" si="71"/>
        <v>149.9</v>
      </c>
      <c r="T744" s="11" t="str">
        <f t="shared" si="68"/>
        <v>Detrator</v>
      </c>
      <c r="U744" s="11" t="str">
        <f t="shared" si="69"/>
        <v>Alto risco</v>
      </c>
      <c r="V744">
        <v>1</v>
      </c>
      <c r="W744">
        <v>65</v>
      </c>
      <c r="X744" s="2">
        <v>150.78</v>
      </c>
      <c r="Y744">
        <v>12</v>
      </c>
      <c r="Z744" t="s">
        <v>35</v>
      </c>
    </row>
    <row r="745" spans="1:26">
      <c r="A745" t="s">
        <v>1289</v>
      </c>
      <c r="B745" t="s">
        <v>582</v>
      </c>
      <c r="C745" t="s">
        <v>108</v>
      </c>
      <c r="D745" t="s">
        <v>109</v>
      </c>
      <c r="E745">
        <v>62</v>
      </c>
      <c r="F745" t="s">
        <v>30</v>
      </c>
      <c r="G745" t="s">
        <v>165</v>
      </c>
      <c r="H745" t="s">
        <v>42</v>
      </c>
      <c r="I745" t="e">
        <f ca="1">_xludf.XLOOKUP(H745,Base_Planos!$A:$A,Base_Planos!$B:$B,"Não encontrado")</f>
        <v>#NAME?</v>
      </c>
      <c r="J745" s="2">
        <f>VLOOKUP(H745,Base_Planos!$A:$G,4,FALSE)</f>
        <v>29.9</v>
      </c>
      <c r="K745" s="4">
        <v>46089</v>
      </c>
      <c r="L745" t="s">
        <v>292</v>
      </c>
      <c r="M745" t="s">
        <v>44</v>
      </c>
      <c r="N745" s="4"/>
      <c r="O745" s="10">
        <f t="shared" ca="1" si="70"/>
        <v>80</v>
      </c>
      <c r="P745" s="10" t="str">
        <f t="shared" ca="1" si="67"/>
        <v>31 a 90 dias</v>
      </c>
      <c r="Q745">
        <f t="shared" si="72"/>
        <v>0</v>
      </c>
      <c r="R745">
        <v>5</v>
      </c>
      <c r="S745" s="11">
        <f t="shared" si="71"/>
        <v>0</v>
      </c>
      <c r="T745" s="11" t="str">
        <f t="shared" si="68"/>
        <v>Detrator</v>
      </c>
      <c r="U745" s="11" t="str">
        <f t="shared" si="69"/>
        <v>Alto risco</v>
      </c>
      <c r="V745">
        <v>0</v>
      </c>
      <c r="W745">
        <v>35</v>
      </c>
      <c r="X745" s="2">
        <v>28.57</v>
      </c>
      <c r="Y745">
        <v>2</v>
      </c>
      <c r="Z745" t="s">
        <v>35</v>
      </c>
    </row>
    <row r="746" spans="1:26">
      <c r="A746" t="s">
        <v>1290</v>
      </c>
      <c r="B746" t="s">
        <v>1291</v>
      </c>
      <c r="C746" t="s">
        <v>140</v>
      </c>
      <c r="D746" t="s">
        <v>141</v>
      </c>
      <c r="E746">
        <v>63</v>
      </c>
      <c r="F746" t="s">
        <v>40</v>
      </c>
      <c r="G746" t="s">
        <v>55</v>
      </c>
      <c r="H746" t="s">
        <v>61</v>
      </c>
      <c r="I746" t="e">
        <f ca="1">_xludf.XLOOKUP(H746,Base_Planos!$A:$A,Base_Planos!$B:$B,"Não encontrado")</f>
        <v>#NAME?</v>
      </c>
      <c r="J746" s="2">
        <f>VLOOKUP(H746,Base_Planos!$A:$G,4,FALSE)</f>
        <v>59.9</v>
      </c>
      <c r="K746" s="4">
        <v>45790</v>
      </c>
      <c r="L746" t="s">
        <v>97</v>
      </c>
      <c r="M746" t="s">
        <v>44</v>
      </c>
      <c r="N746" s="4"/>
      <c r="O746" s="10">
        <f t="shared" ca="1" si="70"/>
        <v>379</v>
      </c>
      <c r="P746" s="10" t="str">
        <f t="shared" ca="1" si="67"/>
        <v>Mais de 1 ano</v>
      </c>
      <c r="Q746">
        <f t="shared" si="72"/>
        <v>0</v>
      </c>
      <c r="R746">
        <v>10</v>
      </c>
      <c r="S746" s="11">
        <f t="shared" si="71"/>
        <v>0</v>
      </c>
      <c r="T746" s="11" t="str">
        <f t="shared" si="68"/>
        <v>Promotor</v>
      </c>
      <c r="U746" s="11" t="str">
        <f t="shared" si="69"/>
        <v>Baixo risco</v>
      </c>
      <c r="V746">
        <v>0</v>
      </c>
      <c r="W746">
        <v>32</v>
      </c>
      <c r="X746" s="2">
        <v>60.53</v>
      </c>
      <c r="Y746">
        <v>12</v>
      </c>
      <c r="Z746" t="s">
        <v>50</v>
      </c>
    </row>
    <row r="747" spans="1:26">
      <c r="A747" t="s">
        <v>1292</v>
      </c>
      <c r="B747" t="s">
        <v>375</v>
      </c>
      <c r="C747" t="s">
        <v>140</v>
      </c>
      <c r="D747" t="s">
        <v>141</v>
      </c>
      <c r="E747">
        <v>44</v>
      </c>
      <c r="F747" t="s">
        <v>30</v>
      </c>
      <c r="G747" t="s">
        <v>104</v>
      </c>
      <c r="H747" t="s">
        <v>32</v>
      </c>
      <c r="I747" t="e">
        <f ca="1">_xludf.XLOOKUP(H747,Base_Planos!$A:$A,Base_Planos!$B:$B,"Não encontrado")</f>
        <v>#NAME?</v>
      </c>
      <c r="J747" s="2">
        <f>VLOOKUP(H747,Base_Planos!$A:$G,4,FALSE)</f>
        <v>39.9</v>
      </c>
      <c r="K747" s="4">
        <v>45596</v>
      </c>
      <c r="L747" t="s">
        <v>123</v>
      </c>
      <c r="M747" t="s">
        <v>44</v>
      </c>
      <c r="N747" s="4"/>
      <c r="O747" s="10">
        <f t="shared" ca="1" si="70"/>
        <v>573</v>
      </c>
      <c r="P747" s="10" t="str">
        <f t="shared" ca="1" si="67"/>
        <v>Mais de 1 ano</v>
      </c>
      <c r="Q747">
        <f t="shared" si="72"/>
        <v>0</v>
      </c>
      <c r="R747">
        <v>9</v>
      </c>
      <c r="S747" s="11">
        <f t="shared" si="71"/>
        <v>0</v>
      </c>
      <c r="T747" s="11" t="str">
        <f t="shared" si="68"/>
        <v>Promotor</v>
      </c>
      <c r="U747" s="11" t="str">
        <f t="shared" si="69"/>
        <v>Baixo risco</v>
      </c>
      <c r="V747">
        <v>0</v>
      </c>
      <c r="W747">
        <v>81</v>
      </c>
      <c r="X747" s="2">
        <v>40.75</v>
      </c>
      <c r="Y747">
        <v>19</v>
      </c>
      <c r="Z747" t="s">
        <v>50</v>
      </c>
    </row>
    <row r="748" spans="1:26">
      <c r="A748" t="s">
        <v>1293</v>
      </c>
      <c r="B748" t="s">
        <v>246</v>
      </c>
      <c r="C748" t="s">
        <v>140</v>
      </c>
      <c r="D748" t="s">
        <v>141</v>
      </c>
      <c r="E748">
        <v>26</v>
      </c>
      <c r="F748" t="s">
        <v>66</v>
      </c>
      <c r="G748" t="s">
        <v>41</v>
      </c>
      <c r="H748" t="s">
        <v>32</v>
      </c>
      <c r="I748" t="e">
        <f ca="1">_xludf.XLOOKUP(H748,Base_Planos!$A:$A,Base_Planos!$B:$B,"Não encontrado")</f>
        <v>#NAME?</v>
      </c>
      <c r="J748" s="2">
        <f>VLOOKUP(H748,Base_Planos!$A:$G,4,FALSE)</f>
        <v>39.9</v>
      </c>
      <c r="K748" s="4">
        <v>46019</v>
      </c>
      <c r="L748" t="s">
        <v>170</v>
      </c>
      <c r="M748" t="s">
        <v>34</v>
      </c>
      <c r="N748" s="4">
        <v>46151</v>
      </c>
      <c r="O748" s="10">
        <f t="shared" ca="1" si="70"/>
        <v>132</v>
      </c>
      <c r="P748" s="10" t="str">
        <f t="shared" ca="1" si="67"/>
        <v>91 a 180 dias</v>
      </c>
      <c r="Q748">
        <f t="shared" si="72"/>
        <v>0</v>
      </c>
      <c r="R748">
        <v>8</v>
      </c>
      <c r="S748" s="11">
        <f t="shared" si="71"/>
        <v>0</v>
      </c>
      <c r="T748" s="11" t="str">
        <f t="shared" si="68"/>
        <v>Neutro</v>
      </c>
      <c r="U748" s="11" t="str">
        <f t="shared" si="69"/>
        <v>Médio risco</v>
      </c>
      <c r="V748">
        <v>0</v>
      </c>
      <c r="W748">
        <v>66</v>
      </c>
      <c r="X748" s="2">
        <v>39.69</v>
      </c>
      <c r="Y748">
        <v>4</v>
      </c>
      <c r="Z748" t="s">
        <v>50</v>
      </c>
    </row>
    <row r="749" spans="1:26">
      <c r="A749" t="s">
        <v>1294</v>
      </c>
      <c r="B749" t="s">
        <v>1295</v>
      </c>
      <c r="C749" t="s">
        <v>48</v>
      </c>
      <c r="D749" t="s">
        <v>29</v>
      </c>
      <c r="E749">
        <v>40</v>
      </c>
      <c r="F749" t="s">
        <v>54</v>
      </c>
      <c r="G749" t="s">
        <v>165</v>
      </c>
      <c r="H749" t="s">
        <v>112</v>
      </c>
      <c r="I749" t="e">
        <f ca="1">_xludf.XLOOKUP(H749,Base_Planos!$A:$A,Base_Planos!$B:$B,"Não encontrado")</f>
        <v>#NAME?</v>
      </c>
      <c r="J749" s="2">
        <f>VLOOKUP(H749,Base_Planos!$A:$G,4,FALSE)</f>
        <v>79.900000000000006</v>
      </c>
      <c r="K749" s="4">
        <v>45023</v>
      </c>
      <c r="L749" t="s">
        <v>118</v>
      </c>
      <c r="M749" t="s">
        <v>44</v>
      </c>
      <c r="N749" s="4"/>
      <c r="O749" s="10">
        <f t="shared" ca="1" si="70"/>
        <v>1146</v>
      </c>
      <c r="P749" s="10" t="str">
        <f t="shared" ca="1" si="67"/>
        <v>Mais de 1 ano</v>
      </c>
      <c r="Q749">
        <f t="shared" si="72"/>
        <v>0</v>
      </c>
      <c r="R749">
        <v>6</v>
      </c>
      <c r="S749" s="11">
        <f t="shared" si="71"/>
        <v>0</v>
      </c>
      <c r="T749" s="11" t="str">
        <f t="shared" si="68"/>
        <v>Detrator</v>
      </c>
      <c r="U749" s="11" t="str">
        <f t="shared" si="69"/>
        <v>Alto risco</v>
      </c>
      <c r="V749">
        <v>0</v>
      </c>
      <c r="W749">
        <v>100</v>
      </c>
      <c r="X749" s="2">
        <v>82.46</v>
      </c>
      <c r="Y749">
        <v>38</v>
      </c>
      <c r="Z749" t="s">
        <v>50</v>
      </c>
    </row>
    <row r="750" spans="1:26">
      <c r="A750" t="s">
        <v>1296</v>
      </c>
      <c r="B750" t="s">
        <v>1297</v>
      </c>
      <c r="C750" t="s">
        <v>90</v>
      </c>
      <c r="D750" t="s">
        <v>29</v>
      </c>
      <c r="E750">
        <v>24</v>
      </c>
      <c r="F750" t="s">
        <v>30</v>
      </c>
      <c r="G750" t="s">
        <v>67</v>
      </c>
      <c r="H750" t="s">
        <v>82</v>
      </c>
      <c r="I750" t="e">
        <f ca="1">_xludf.XLOOKUP(H750,Base_Planos!$A:$A,Base_Planos!$B:$B,"Não encontrado")</f>
        <v>#NAME?</v>
      </c>
      <c r="J750" s="2">
        <f>VLOOKUP(H750,Base_Planos!$A:$G,4,FALSE)</f>
        <v>149.9</v>
      </c>
      <c r="K750" s="4">
        <v>45211</v>
      </c>
      <c r="L750" t="s">
        <v>215</v>
      </c>
      <c r="M750" t="s">
        <v>34</v>
      </c>
      <c r="N750" s="4">
        <v>45331</v>
      </c>
      <c r="O750" s="10">
        <f t="shared" ca="1" si="70"/>
        <v>120</v>
      </c>
      <c r="P750" s="10" t="str">
        <f t="shared" ca="1" si="67"/>
        <v>91 a 180 dias</v>
      </c>
      <c r="Q750">
        <f t="shared" si="72"/>
        <v>0</v>
      </c>
      <c r="R750">
        <v>1</v>
      </c>
      <c r="S750" s="11">
        <f t="shared" si="71"/>
        <v>0</v>
      </c>
      <c r="T750" s="11" t="str">
        <f t="shared" si="68"/>
        <v>Detrator</v>
      </c>
      <c r="U750" s="11" t="str">
        <f t="shared" si="69"/>
        <v>Alto risco</v>
      </c>
      <c r="V750">
        <v>1</v>
      </c>
      <c r="W750">
        <v>54</v>
      </c>
      <c r="X750" s="2">
        <v>154.47</v>
      </c>
      <c r="Y750">
        <v>4</v>
      </c>
      <c r="Z750" t="s">
        <v>45</v>
      </c>
    </row>
    <row r="751" spans="1:26">
      <c r="A751" t="s">
        <v>1298</v>
      </c>
      <c r="B751" t="s">
        <v>865</v>
      </c>
      <c r="C751" t="s">
        <v>28</v>
      </c>
      <c r="D751" t="s">
        <v>29</v>
      </c>
      <c r="E751">
        <v>62</v>
      </c>
      <c r="F751" t="s">
        <v>66</v>
      </c>
      <c r="G751" t="s">
        <v>73</v>
      </c>
      <c r="H751" t="s">
        <v>86</v>
      </c>
      <c r="I751" t="e">
        <f ca="1">_xludf.XLOOKUP(H751,Base_Planos!$A:$A,Base_Planos!$B:$B,"Não encontrado")</f>
        <v>#NAME?</v>
      </c>
      <c r="J751" s="2">
        <f>VLOOKUP(H751,Base_Planos!$A:$G,4,FALSE)</f>
        <v>119.9</v>
      </c>
      <c r="K751" s="4">
        <v>45015</v>
      </c>
      <c r="L751" t="s">
        <v>68</v>
      </c>
      <c r="M751" t="s">
        <v>44</v>
      </c>
      <c r="N751" s="4"/>
      <c r="O751" s="10">
        <f t="shared" ca="1" si="70"/>
        <v>1154</v>
      </c>
      <c r="P751" s="10" t="str">
        <f t="shared" ca="1" si="67"/>
        <v>Mais de 1 ano</v>
      </c>
      <c r="Q751">
        <f t="shared" si="72"/>
        <v>0</v>
      </c>
      <c r="R751">
        <v>1</v>
      </c>
      <c r="S751" s="11">
        <f t="shared" si="71"/>
        <v>0</v>
      </c>
      <c r="T751" s="11" t="str">
        <f t="shared" si="68"/>
        <v>Detrator</v>
      </c>
      <c r="U751" s="11" t="str">
        <f t="shared" si="69"/>
        <v>Alto risco</v>
      </c>
      <c r="V751">
        <v>0</v>
      </c>
      <c r="W751">
        <v>64</v>
      </c>
      <c r="X751" s="2">
        <v>120.9</v>
      </c>
      <c r="Y751">
        <v>38</v>
      </c>
      <c r="Z751" t="s">
        <v>35</v>
      </c>
    </row>
    <row r="752" spans="1:26">
      <c r="A752" t="s">
        <v>1299</v>
      </c>
      <c r="B752" t="s">
        <v>180</v>
      </c>
      <c r="C752" t="s">
        <v>137</v>
      </c>
      <c r="D752" t="s">
        <v>29</v>
      </c>
      <c r="E752">
        <v>28</v>
      </c>
      <c r="F752" t="s">
        <v>66</v>
      </c>
      <c r="G752" t="s">
        <v>104</v>
      </c>
      <c r="H752" t="s">
        <v>32</v>
      </c>
      <c r="I752" t="e">
        <f ca="1">_xludf.XLOOKUP(H752,Base_Planos!$A:$A,Base_Planos!$B:$B,"Não encontrado")</f>
        <v>#NAME?</v>
      </c>
      <c r="J752" s="2">
        <f>VLOOKUP(H752,Base_Planos!$A:$G,4,FALSE)</f>
        <v>39.9</v>
      </c>
      <c r="K752" s="4">
        <v>45580</v>
      </c>
      <c r="L752" t="s">
        <v>123</v>
      </c>
      <c r="M752" t="s">
        <v>34</v>
      </c>
      <c r="N752" s="4">
        <v>46067</v>
      </c>
      <c r="O752" s="10">
        <f t="shared" ca="1" si="70"/>
        <v>487</v>
      </c>
      <c r="P752" s="10" t="str">
        <f t="shared" ca="1" si="67"/>
        <v>Mais de 1 ano</v>
      </c>
      <c r="Q752">
        <f t="shared" si="72"/>
        <v>0</v>
      </c>
      <c r="R752">
        <v>2</v>
      </c>
      <c r="S752" s="11">
        <f t="shared" si="71"/>
        <v>0</v>
      </c>
      <c r="T752" s="11" t="str">
        <f t="shared" si="68"/>
        <v>Detrator</v>
      </c>
      <c r="U752" s="11" t="str">
        <f t="shared" si="69"/>
        <v>Alto risco</v>
      </c>
      <c r="V752">
        <v>3</v>
      </c>
      <c r="W752">
        <v>0</v>
      </c>
      <c r="X752" s="2">
        <v>38.08</v>
      </c>
      <c r="Y752">
        <v>16</v>
      </c>
      <c r="Z752" t="s">
        <v>45</v>
      </c>
    </row>
    <row r="753" spans="1:26">
      <c r="A753" t="s">
        <v>1300</v>
      </c>
      <c r="B753" t="s">
        <v>762</v>
      </c>
      <c r="C753" t="s">
        <v>77</v>
      </c>
      <c r="D753" t="s">
        <v>78</v>
      </c>
      <c r="E753">
        <v>60</v>
      </c>
      <c r="F753" t="s">
        <v>54</v>
      </c>
      <c r="G753" t="s">
        <v>73</v>
      </c>
      <c r="H753" t="s">
        <v>42</v>
      </c>
      <c r="I753" t="e">
        <f ca="1">_xludf.XLOOKUP(H753,Base_Planos!$A:$A,Base_Planos!$B:$B,"Não encontrado")</f>
        <v>#NAME?</v>
      </c>
      <c r="J753" s="2">
        <f>VLOOKUP(H753,Base_Planos!$A:$G,4,FALSE)</f>
        <v>29.9</v>
      </c>
      <c r="K753" s="4">
        <v>45915</v>
      </c>
      <c r="L753" t="s">
        <v>189</v>
      </c>
      <c r="M753" t="s">
        <v>34</v>
      </c>
      <c r="N753" s="4">
        <v>46158</v>
      </c>
      <c r="O753" s="10">
        <f t="shared" ca="1" si="70"/>
        <v>243</v>
      </c>
      <c r="P753" s="10" t="str">
        <f t="shared" ca="1" si="67"/>
        <v>181 a 365 dias</v>
      </c>
      <c r="Q753">
        <f t="shared" si="72"/>
        <v>0</v>
      </c>
      <c r="R753">
        <v>3</v>
      </c>
      <c r="S753" s="11">
        <f t="shared" si="71"/>
        <v>0</v>
      </c>
      <c r="T753" s="11" t="str">
        <f t="shared" si="68"/>
        <v>Detrator</v>
      </c>
      <c r="U753" s="11" t="str">
        <f t="shared" si="69"/>
        <v>Alto risco</v>
      </c>
      <c r="V753">
        <v>1</v>
      </c>
      <c r="W753">
        <v>83</v>
      </c>
      <c r="X753" s="2">
        <v>29.36</v>
      </c>
      <c r="Y753">
        <v>8</v>
      </c>
      <c r="Z753" t="s">
        <v>45</v>
      </c>
    </row>
    <row r="754" spans="1:26">
      <c r="A754" t="s">
        <v>1301</v>
      </c>
      <c r="B754" t="s">
        <v>1302</v>
      </c>
      <c r="C754" t="s">
        <v>137</v>
      </c>
      <c r="D754" t="s">
        <v>29</v>
      </c>
      <c r="E754">
        <v>22</v>
      </c>
      <c r="F754" t="s">
        <v>30</v>
      </c>
      <c r="G754" t="s">
        <v>104</v>
      </c>
      <c r="H754" t="s">
        <v>32</v>
      </c>
      <c r="I754" t="e">
        <f ca="1">_xludf.XLOOKUP(H754,Base_Planos!$A:$A,Base_Planos!$B:$B,"Não encontrado")</f>
        <v>#NAME?</v>
      </c>
      <c r="J754" s="2">
        <f>VLOOKUP(H754,Base_Planos!$A:$G,4,FALSE)</f>
        <v>39.9</v>
      </c>
      <c r="K754" s="4">
        <v>44953</v>
      </c>
      <c r="L754" t="s">
        <v>153</v>
      </c>
      <c r="M754" t="s">
        <v>34</v>
      </c>
      <c r="N754" s="4">
        <v>45410</v>
      </c>
      <c r="O754" s="10">
        <f t="shared" ca="1" si="70"/>
        <v>457</v>
      </c>
      <c r="P754" s="10" t="str">
        <f t="shared" ca="1" si="67"/>
        <v>Mais de 1 ano</v>
      </c>
      <c r="Q754">
        <f t="shared" si="72"/>
        <v>0</v>
      </c>
      <c r="R754">
        <v>10</v>
      </c>
      <c r="S754" s="11">
        <f t="shared" si="71"/>
        <v>0</v>
      </c>
      <c r="T754" s="11" t="str">
        <f t="shared" si="68"/>
        <v>Promotor</v>
      </c>
      <c r="U754" s="11" t="str">
        <f t="shared" si="69"/>
        <v>Baixo risco</v>
      </c>
      <c r="V754">
        <v>0</v>
      </c>
      <c r="W754">
        <v>100</v>
      </c>
      <c r="X754" s="2">
        <v>39.979999999999997</v>
      </c>
      <c r="Y754">
        <v>15</v>
      </c>
      <c r="Z754" t="s">
        <v>50</v>
      </c>
    </row>
    <row r="755" spans="1:26">
      <c r="A755" t="s">
        <v>1303</v>
      </c>
      <c r="B755" t="s">
        <v>637</v>
      </c>
      <c r="C755" t="s">
        <v>65</v>
      </c>
      <c r="D755" t="s">
        <v>29</v>
      </c>
      <c r="E755">
        <v>27</v>
      </c>
      <c r="F755" t="s">
        <v>66</v>
      </c>
      <c r="G755" t="s">
        <v>55</v>
      </c>
      <c r="H755" t="s">
        <v>86</v>
      </c>
      <c r="I755" t="e">
        <f ca="1">_xludf.XLOOKUP(H755,Base_Planos!$A:$A,Base_Planos!$B:$B,"Não encontrado")</f>
        <v>#NAME?</v>
      </c>
      <c r="J755" s="2">
        <f>VLOOKUP(H755,Base_Planos!$A:$G,4,FALSE)</f>
        <v>119.9</v>
      </c>
      <c r="K755" s="4">
        <v>45375</v>
      </c>
      <c r="L755" t="s">
        <v>126</v>
      </c>
      <c r="M755" t="s">
        <v>44</v>
      </c>
      <c r="N755" s="4"/>
      <c r="O755" s="10">
        <f t="shared" ca="1" si="70"/>
        <v>794</v>
      </c>
      <c r="P755" s="10" t="str">
        <f t="shared" ca="1" si="67"/>
        <v>Mais de 1 ano</v>
      </c>
      <c r="Q755">
        <f t="shared" si="72"/>
        <v>1</v>
      </c>
      <c r="R755">
        <v>5</v>
      </c>
      <c r="S755" s="11">
        <f t="shared" si="71"/>
        <v>119.9</v>
      </c>
      <c r="T755" s="11" t="str">
        <f t="shared" si="68"/>
        <v>Detrator</v>
      </c>
      <c r="U755" s="11" t="str">
        <f t="shared" si="69"/>
        <v>Alto risco</v>
      </c>
      <c r="V755">
        <v>1</v>
      </c>
      <c r="W755">
        <v>77</v>
      </c>
      <c r="X755" s="2">
        <v>111.51</v>
      </c>
      <c r="Y755">
        <v>26</v>
      </c>
      <c r="Z755" t="s">
        <v>50</v>
      </c>
    </row>
    <row r="756" spans="1:26">
      <c r="A756" t="s">
        <v>1304</v>
      </c>
      <c r="B756" t="s">
        <v>1305</v>
      </c>
      <c r="C756" t="s">
        <v>71</v>
      </c>
      <c r="D756" t="s">
        <v>72</v>
      </c>
      <c r="E756">
        <v>28</v>
      </c>
      <c r="F756" t="s">
        <v>40</v>
      </c>
      <c r="G756" t="s">
        <v>55</v>
      </c>
      <c r="H756" t="s">
        <v>32</v>
      </c>
      <c r="I756" t="e">
        <f ca="1">_xludf.XLOOKUP(H756,Base_Planos!$A:$A,Base_Planos!$B:$B,"Não encontrado")</f>
        <v>#NAME?</v>
      </c>
      <c r="J756" s="2">
        <f>VLOOKUP(H756,Base_Planos!$A:$G,4,FALSE)</f>
        <v>39.9</v>
      </c>
      <c r="K756" s="4">
        <v>45146</v>
      </c>
      <c r="L756" t="s">
        <v>162</v>
      </c>
      <c r="M756" t="s">
        <v>34</v>
      </c>
      <c r="N756" s="4">
        <v>45853</v>
      </c>
      <c r="O756" s="10">
        <f t="shared" ca="1" si="70"/>
        <v>707</v>
      </c>
      <c r="P756" s="10" t="str">
        <f t="shared" ca="1" si="67"/>
        <v>Mais de 1 ano</v>
      </c>
      <c r="Q756">
        <f t="shared" si="72"/>
        <v>1</v>
      </c>
      <c r="R756">
        <v>1</v>
      </c>
      <c r="S756" s="11">
        <f t="shared" si="71"/>
        <v>39.9</v>
      </c>
      <c r="T756" s="11" t="str">
        <f t="shared" si="68"/>
        <v>Detrator</v>
      </c>
      <c r="U756" s="11" t="str">
        <f t="shared" si="69"/>
        <v>Alto risco</v>
      </c>
      <c r="V756">
        <v>0</v>
      </c>
      <c r="W756">
        <v>100</v>
      </c>
      <c r="X756" s="2">
        <v>36.72</v>
      </c>
      <c r="Y756">
        <v>23</v>
      </c>
      <c r="Z756" t="s">
        <v>35</v>
      </c>
    </row>
    <row r="757" spans="1:26">
      <c r="A757" t="s">
        <v>1306</v>
      </c>
      <c r="B757" t="s">
        <v>1291</v>
      </c>
      <c r="C757" t="s">
        <v>102</v>
      </c>
      <c r="D757" t="s">
        <v>103</v>
      </c>
      <c r="E757">
        <v>40</v>
      </c>
      <c r="F757" t="s">
        <v>54</v>
      </c>
      <c r="G757" t="s">
        <v>96</v>
      </c>
      <c r="H757" t="s">
        <v>112</v>
      </c>
      <c r="I757" t="e">
        <f ca="1">_xludf.XLOOKUP(H757,Base_Planos!$A:$A,Base_Planos!$B:$B,"Não encontrado")</f>
        <v>#NAME?</v>
      </c>
      <c r="J757" s="2">
        <f>VLOOKUP(H757,Base_Planos!$A:$G,4,FALSE)</f>
        <v>79.900000000000006</v>
      </c>
      <c r="K757" s="4">
        <v>45809</v>
      </c>
      <c r="L757" t="s">
        <v>167</v>
      </c>
      <c r="M757" t="s">
        <v>34</v>
      </c>
      <c r="N757" s="4">
        <v>46034</v>
      </c>
      <c r="O757" s="10">
        <f t="shared" ca="1" si="70"/>
        <v>225</v>
      </c>
      <c r="P757" s="10" t="str">
        <f t="shared" ca="1" si="67"/>
        <v>181 a 365 dias</v>
      </c>
      <c r="Q757">
        <f t="shared" si="72"/>
        <v>0</v>
      </c>
      <c r="R757">
        <v>8</v>
      </c>
      <c r="S757" s="11">
        <f t="shared" si="71"/>
        <v>0</v>
      </c>
      <c r="T757" s="11" t="str">
        <f t="shared" si="68"/>
        <v>Neutro</v>
      </c>
      <c r="U757" s="11" t="str">
        <f t="shared" si="69"/>
        <v>Médio risco</v>
      </c>
      <c r="V757">
        <v>0</v>
      </c>
      <c r="W757">
        <v>83</v>
      </c>
      <c r="X757" s="2">
        <v>71.010000000000005</v>
      </c>
      <c r="Y757">
        <v>7</v>
      </c>
      <c r="Z757" t="s">
        <v>50</v>
      </c>
    </row>
    <row r="758" spans="1:26">
      <c r="A758" t="s">
        <v>1307</v>
      </c>
      <c r="B758" t="s">
        <v>1308</v>
      </c>
      <c r="C758" t="s">
        <v>94</v>
      </c>
      <c r="D758" t="s">
        <v>95</v>
      </c>
      <c r="E758">
        <v>56</v>
      </c>
      <c r="F758" t="s">
        <v>30</v>
      </c>
      <c r="G758" t="s">
        <v>104</v>
      </c>
      <c r="H758" t="s">
        <v>112</v>
      </c>
      <c r="I758" t="e">
        <f ca="1">_xludf.XLOOKUP(H758,Base_Planos!$A:$A,Base_Planos!$B:$B,"Não encontrado")</f>
        <v>#NAME?</v>
      </c>
      <c r="J758" s="2">
        <f>VLOOKUP(H758,Base_Planos!$A:$G,4,FALSE)</f>
        <v>79.900000000000006</v>
      </c>
      <c r="K758" s="4">
        <v>45150</v>
      </c>
      <c r="L758" t="s">
        <v>162</v>
      </c>
      <c r="M758" t="s">
        <v>34</v>
      </c>
      <c r="N758" s="4">
        <v>46096</v>
      </c>
      <c r="O758" s="10">
        <f t="shared" ca="1" si="70"/>
        <v>946</v>
      </c>
      <c r="P758" s="10" t="str">
        <f t="shared" ca="1" si="67"/>
        <v>Mais de 1 ano</v>
      </c>
      <c r="Q758">
        <f t="shared" si="72"/>
        <v>0</v>
      </c>
      <c r="R758">
        <v>10</v>
      </c>
      <c r="S758" s="11">
        <f t="shared" si="71"/>
        <v>0</v>
      </c>
      <c r="T758" s="11" t="str">
        <f t="shared" si="68"/>
        <v>Promotor</v>
      </c>
      <c r="U758" s="11" t="str">
        <f t="shared" si="69"/>
        <v>Baixo risco</v>
      </c>
      <c r="V758">
        <v>0</v>
      </c>
      <c r="W758">
        <v>63</v>
      </c>
      <c r="X758" s="2">
        <v>77.11</v>
      </c>
      <c r="Y758">
        <v>31</v>
      </c>
      <c r="Z758" t="s">
        <v>50</v>
      </c>
    </row>
    <row r="759" spans="1:26">
      <c r="A759" t="s">
        <v>1309</v>
      </c>
      <c r="B759" t="s">
        <v>1223</v>
      </c>
      <c r="C759" t="s">
        <v>38</v>
      </c>
      <c r="D759" t="s">
        <v>39</v>
      </c>
      <c r="E759">
        <v>24</v>
      </c>
      <c r="F759" t="s">
        <v>30</v>
      </c>
      <c r="G759" t="s">
        <v>41</v>
      </c>
      <c r="H759" t="s">
        <v>112</v>
      </c>
      <c r="I759" t="e">
        <f ca="1">_xludf.XLOOKUP(H759,Base_Planos!$A:$A,Base_Planos!$B:$B,"Não encontrado")</f>
        <v>#NAME?</v>
      </c>
      <c r="J759" s="2">
        <f>VLOOKUP(H759,Base_Planos!$A:$G,4,FALSE)</f>
        <v>79.900000000000006</v>
      </c>
      <c r="K759" s="4">
        <v>45134</v>
      </c>
      <c r="L759" t="s">
        <v>33</v>
      </c>
      <c r="M759" t="s">
        <v>34</v>
      </c>
      <c r="N759" s="4">
        <v>45968</v>
      </c>
      <c r="O759" s="10">
        <f t="shared" ca="1" si="70"/>
        <v>834</v>
      </c>
      <c r="P759" s="10" t="str">
        <f t="shared" ca="1" si="67"/>
        <v>Mais de 1 ano</v>
      </c>
      <c r="Q759">
        <f t="shared" si="72"/>
        <v>0</v>
      </c>
      <c r="R759">
        <v>3</v>
      </c>
      <c r="S759" s="11">
        <f t="shared" si="71"/>
        <v>0</v>
      </c>
      <c r="T759" s="11" t="str">
        <f t="shared" si="68"/>
        <v>Detrator</v>
      </c>
      <c r="U759" s="11" t="str">
        <f t="shared" si="69"/>
        <v>Alto risco</v>
      </c>
      <c r="V759">
        <v>0</v>
      </c>
      <c r="W759">
        <v>0</v>
      </c>
      <c r="X759" s="2">
        <v>78.09</v>
      </c>
      <c r="Y759">
        <v>27</v>
      </c>
      <c r="Z759" t="s">
        <v>45</v>
      </c>
    </row>
    <row r="760" spans="1:26">
      <c r="A760" t="s">
        <v>1310</v>
      </c>
      <c r="B760" t="s">
        <v>1267</v>
      </c>
      <c r="C760" t="s">
        <v>140</v>
      </c>
      <c r="D760" t="s">
        <v>141</v>
      </c>
      <c r="E760">
        <v>64</v>
      </c>
      <c r="F760" t="s">
        <v>30</v>
      </c>
      <c r="G760" t="s">
        <v>96</v>
      </c>
      <c r="H760" t="s">
        <v>112</v>
      </c>
      <c r="I760" t="e">
        <f ca="1">_xludf.XLOOKUP(H760,Base_Planos!$A:$A,Base_Planos!$B:$B,"Não encontrado")</f>
        <v>#NAME?</v>
      </c>
      <c r="J760" s="2">
        <f>VLOOKUP(H760,Base_Planos!$A:$G,4,FALSE)</f>
        <v>79.900000000000006</v>
      </c>
      <c r="K760" s="4">
        <v>45903</v>
      </c>
      <c r="L760" t="s">
        <v>189</v>
      </c>
      <c r="M760" t="s">
        <v>44</v>
      </c>
      <c r="N760" s="4"/>
      <c r="O760" s="10">
        <f t="shared" ca="1" si="70"/>
        <v>266</v>
      </c>
      <c r="P760" s="10" t="str">
        <f t="shared" ca="1" si="67"/>
        <v>181 a 365 dias</v>
      </c>
      <c r="Q760">
        <f t="shared" si="72"/>
        <v>0</v>
      </c>
      <c r="R760">
        <v>4</v>
      </c>
      <c r="S760" s="11">
        <f t="shared" si="71"/>
        <v>0</v>
      </c>
      <c r="T760" s="11" t="str">
        <f t="shared" si="68"/>
        <v>Detrator</v>
      </c>
      <c r="U760" s="11" t="str">
        <f t="shared" si="69"/>
        <v>Alto risco</v>
      </c>
      <c r="V760">
        <v>0</v>
      </c>
      <c r="W760">
        <v>22</v>
      </c>
      <c r="X760" s="2">
        <v>70.58</v>
      </c>
      <c r="Y760">
        <v>8</v>
      </c>
      <c r="Z760" t="s">
        <v>45</v>
      </c>
    </row>
    <row r="761" spans="1:26">
      <c r="A761" t="s">
        <v>1311</v>
      </c>
      <c r="B761" t="s">
        <v>1312</v>
      </c>
      <c r="C761" t="s">
        <v>94</v>
      </c>
      <c r="D761" t="s">
        <v>95</v>
      </c>
      <c r="E761">
        <v>18</v>
      </c>
      <c r="F761" t="s">
        <v>40</v>
      </c>
      <c r="G761" t="s">
        <v>41</v>
      </c>
      <c r="H761" t="s">
        <v>42</v>
      </c>
      <c r="I761" t="e">
        <f ca="1">_xludf.XLOOKUP(H761,Base_Planos!$A:$A,Base_Planos!$B:$B,"Não encontrado")</f>
        <v>#NAME?</v>
      </c>
      <c r="J761" s="2">
        <f>VLOOKUP(H761,Base_Planos!$A:$G,4,FALSE)</f>
        <v>29.9</v>
      </c>
      <c r="K761" s="4">
        <v>45290</v>
      </c>
      <c r="L761" t="s">
        <v>62</v>
      </c>
      <c r="M761" t="s">
        <v>34</v>
      </c>
      <c r="N761" s="4">
        <v>45680</v>
      </c>
      <c r="O761" s="10">
        <f t="shared" ca="1" si="70"/>
        <v>390</v>
      </c>
      <c r="P761" s="10" t="str">
        <f t="shared" ca="1" si="67"/>
        <v>Mais de 1 ano</v>
      </c>
      <c r="Q761">
        <f t="shared" si="72"/>
        <v>0</v>
      </c>
      <c r="R761">
        <v>4</v>
      </c>
      <c r="S761" s="11">
        <f t="shared" si="71"/>
        <v>0</v>
      </c>
      <c r="T761" s="11" t="str">
        <f t="shared" si="68"/>
        <v>Detrator</v>
      </c>
      <c r="U761" s="11" t="str">
        <f t="shared" si="69"/>
        <v>Alto risco</v>
      </c>
      <c r="V761">
        <v>1</v>
      </c>
      <c r="W761">
        <v>45</v>
      </c>
      <c r="X761" s="2">
        <v>28.9</v>
      </c>
      <c r="Y761">
        <v>13</v>
      </c>
      <c r="Z761" t="s">
        <v>35</v>
      </c>
    </row>
    <row r="762" spans="1:26">
      <c r="A762" t="s">
        <v>1313</v>
      </c>
      <c r="B762" t="s">
        <v>692</v>
      </c>
      <c r="C762" t="s">
        <v>77</v>
      </c>
      <c r="D762" t="s">
        <v>78</v>
      </c>
      <c r="E762">
        <v>25</v>
      </c>
      <c r="F762" t="s">
        <v>30</v>
      </c>
      <c r="G762" t="s">
        <v>67</v>
      </c>
      <c r="H762" t="s">
        <v>61</v>
      </c>
      <c r="I762" t="e">
        <f ca="1">_xludf.XLOOKUP(H762,Base_Planos!$A:$A,Base_Planos!$B:$B,"Não encontrado")</f>
        <v>#NAME?</v>
      </c>
      <c r="J762" s="2">
        <f>VLOOKUP(H762,Base_Planos!$A:$G,4,FALSE)</f>
        <v>59.9</v>
      </c>
      <c r="K762" s="4">
        <v>45522</v>
      </c>
      <c r="L762" t="s">
        <v>156</v>
      </c>
      <c r="M762" t="s">
        <v>34</v>
      </c>
      <c r="N762" s="4">
        <v>45863</v>
      </c>
      <c r="O762" s="10">
        <f t="shared" ca="1" si="70"/>
        <v>341</v>
      </c>
      <c r="P762" s="10" t="str">
        <f t="shared" ca="1" si="67"/>
        <v>181 a 365 dias</v>
      </c>
      <c r="Q762">
        <f t="shared" si="72"/>
        <v>0</v>
      </c>
      <c r="R762">
        <v>3</v>
      </c>
      <c r="S762" s="11">
        <f t="shared" si="71"/>
        <v>0</v>
      </c>
      <c r="T762" s="11" t="str">
        <f t="shared" si="68"/>
        <v>Detrator</v>
      </c>
      <c r="U762" s="11" t="str">
        <f t="shared" si="69"/>
        <v>Alto risco</v>
      </c>
      <c r="V762">
        <v>0</v>
      </c>
      <c r="W762">
        <v>54</v>
      </c>
      <c r="X762" s="2">
        <v>54.94</v>
      </c>
      <c r="Y762">
        <v>11</v>
      </c>
      <c r="Z762" t="s">
        <v>35</v>
      </c>
    </row>
    <row r="763" spans="1:26">
      <c r="A763" t="s">
        <v>1314</v>
      </c>
      <c r="B763" t="s">
        <v>1315</v>
      </c>
      <c r="C763" t="s">
        <v>38</v>
      </c>
      <c r="D763" t="s">
        <v>39</v>
      </c>
      <c r="E763">
        <v>34</v>
      </c>
      <c r="F763" t="s">
        <v>40</v>
      </c>
      <c r="G763" t="s">
        <v>73</v>
      </c>
      <c r="H763" t="s">
        <v>112</v>
      </c>
      <c r="I763" t="e">
        <f ca="1">_xludf.XLOOKUP(H763,Base_Planos!$A:$A,Base_Planos!$B:$B,"Não encontrado")</f>
        <v>#NAME?</v>
      </c>
      <c r="J763" s="2">
        <f>VLOOKUP(H763,Base_Planos!$A:$G,4,FALSE)</f>
        <v>79.900000000000006</v>
      </c>
      <c r="K763" s="4">
        <v>44954</v>
      </c>
      <c r="L763" t="s">
        <v>153</v>
      </c>
      <c r="M763" t="s">
        <v>44</v>
      </c>
      <c r="N763" s="4"/>
      <c r="O763" s="10">
        <f t="shared" ca="1" si="70"/>
        <v>1215</v>
      </c>
      <c r="P763" s="10" t="str">
        <f t="shared" ca="1" si="67"/>
        <v>Mais de 1 ano</v>
      </c>
      <c r="Q763">
        <f t="shared" si="72"/>
        <v>0</v>
      </c>
      <c r="R763">
        <v>5</v>
      </c>
      <c r="S763" s="11">
        <f t="shared" si="71"/>
        <v>0</v>
      </c>
      <c r="T763" s="11" t="str">
        <f t="shared" si="68"/>
        <v>Detrator</v>
      </c>
      <c r="U763" s="11" t="str">
        <f t="shared" si="69"/>
        <v>Alto risco</v>
      </c>
      <c r="V763">
        <v>0</v>
      </c>
      <c r="W763">
        <v>80</v>
      </c>
      <c r="X763" s="2">
        <v>81.739999999999995</v>
      </c>
      <c r="Y763">
        <v>40</v>
      </c>
      <c r="Z763" t="s">
        <v>50</v>
      </c>
    </row>
    <row r="764" spans="1:26">
      <c r="A764" t="s">
        <v>1316</v>
      </c>
      <c r="B764" t="s">
        <v>532</v>
      </c>
      <c r="C764" t="s">
        <v>77</v>
      </c>
      <c r="D764" t="s">
        <v>78</v>
      </c>
      <c r="E764">
        <v>25</v>
      </c>
      <c r="F764" t="s">
        <v>30</v>
      </c>
      <c r="G764" t="s">
        <v>67</v>
      </c>
      <c r="H764" t="s">
        <v>32</v>
      </c>
      <c r="I764" t="e">
        <f ca="1">_xludf.XLOOKUP(H764,Base_Planos!$A:$A,Base_Planos!$B:$B,"Não encontrado")</f>
        <v>#NAME?</v>
      </c>
      <c r="J764" s="2">
        <f>VLOOKUP(H764,Base_Planos!$A:$G,4,FALSE)</f>
        <v>39.9</v>
      </c>
      <c r="K764" s="4">
        <v>45767</v>
      </c>
      <c r="L764" t="s">
        <v>222</v>
      </c>
      <c r="M764" t="s">
        <v>34</v>
      </c>
      <c r="N764" s="4">
        <v>46153</v>
      </c>
      <c r="O764" s="10">
        <f t="shared" ca="1" si="70"/>
        <v>386</v>
      </c>
      <c r="P764" s="10" t="str">
        <f t="shared" ca="1" si="67"/>
        <v>Mais de 1 ano</v>
      </c>
      <c r="Q764">
        <f t="shared" si="72"/>
        <v>0</v>
      </c>
      <c r="R764">
        <v>3</v>
      </c>
      <c r="S764" s="11">
        <f t="shared" si="71"/>
        <v>0</v>
      </c>
      <c r="T764" s="11" t="str">
        <f t="shared" si="68"/>
        <v>Detrator</v>
      </c>
      <c r="U764" s="11" t="str">
        <f t="shared" si="69"/>
        <v>Alto risco</v>
      </c>
      <c r="V764">
        <v>0</v>
      </c>
      <c r="W764">
        <v>43</v>
      </c>
      <c r="X764" s="2">
        <v>36.78</v>
      </c>
      <c r="Y764">
        <v>12</v>
      </c>
      <c r="Z764" t="s">
        <v>35</v>
      </c>
    </row>
    <row r="765" spans="1:26">
      <c r="A765" t="s">
        <v>1317</v>
      </c>
      <c r="B765" t="s">
        <v>242</v>
      </c>
      <c r="C765" t="s">
        <v>59</v>
      </c>
      <c r="D765" t="s">
        <v>60</v>
      </c>
      <c r="E765">
        <v>42</v>
      </c>
      <c r="F765" t="s">
        <v>40</v>
      </c>
      <c r="G765" t="s">
        <v>73</v>
      </c>
      <c r="H765" t="s">
        <v>86</v>
      </c>
      <c r="I765" t="e">
        <f ca="1">_xludf.XLOOKUP(H765,Base_Planos!$A:$A,Base_Planos!$B:$B,"Não encontrado")</f>
        <v>#NAME?</v>
      </c>
      <c r="J765" s="2">
        <f>VLOOKUP(H765,Base_Planos!$A:$G,4,FALSE)</f>
        <v>119.9</v>
      </c>
      <c r="K765" s="4">
        <v>46042</v>
      </c>
      <c r="L765" t="s">
        <v>148</v>
      </c>
      <c r="M765" t="s">
        <v>44</v>
      </c>
      <c r="N765" s="4"/>
      <c r="O765" s="10">
        <f t="shared" ca="1" si="70"/>
        <v>127</v>
      </c>
      <c r="P765" s="10" t="str">
        <f t="shared" ca="1" si="67"/>
        <v>91 a 180 dias</v>
      </c>
      <c r="Q765">
        <f t="shared" si="72"/>
        <v>0</v>
      </c>
      <c r="R765">
        <v>7</v>
      </c>
      <c r="S765" s="11">
        <f t="shared" si="71"/>
        <v>0</v>
      </c>
      <c r="T765" s="11" t="str">
        <f t="shared" si="68"/>
        <v>Neutro</v>
      </c>
      <c r="U765" s="11" t="str">
        <f t="shared" si="69"/>
        <v>Médio risco</v>
      </c>
      <c r="V765">
        <v>0</v>
      </c>
      <c r="W765">
        <v>52</v>
      </c>
      <c r="X765" s="2">
        <v>110.28</v>
      </c>
      <c r="Y765">
        <v>4</v>
      </c>
      <c r="Z765" t="s">
        <v>50</v>
      </c>
    </row>
    <row r="766" spans="1:26">
      <c r="A766" t="s">
        <v>1318</v>
      </c>
      <c r="B766" t="s">
        <v>1319</v>
      </c>
      <c r="C766" t="s">
        <v>90</v>
      </c>
      <c r="D766" t="s">
        <v>29</v>
      </c>
      <c r="E766">
        <v>44</v>
      </c>
      <c r="F766" t="s">
        <v>66</v>
      </c>
      <c r="G766" t="s">
        <v>73</v>
      </c>
      <c r="H766" t="s">
        <v>42</v>
      </c>
      <c r="I766" t="e">
        <f ca="1">_xludf.XLOOKUP(H766,Base_Planos!$A:$A,Base_Planos!$B:$B,"Não encontrado")</f>
        <v>#NAME?</v>
      </c>
      <c r="J766" s="2">
        <f>VLOOKUP(H766,Base_Planos!$A:$G,4,FALSE)</f>
        <v>29.9</v>
      </c>
      <c r="K766" s="4">
        <v>45011</v>
      </c>
      <c r="L766" t="s">
        <v>68</v>
      </c>
      <c r="M766" t="s">
        <v>44</v>
      </c>
      <c r="N766" s="4"/>
      <c r="O766" s="10">
        <f t="shared" ca="1" si="70"/>
        <v>1158</v>
      </c>
      <c r="P766" s="10" t="str">
        <f t="shared" ca="1" si="67"/>
        <v>Mais de 1 ano</v>
      </c>
      <c r="Q766">
        <f t="shared" si="72"/>
        <v>0</v>
      </c>
      <c r="R766">
        <v>9</v>
      </c>
      <c r="S766" s="11">
        <f t="shared" si="71"/>
        <v>0</v>
      </c>
      <c r="T766" s="11" t="str">
        <f t="shared" si="68"/>
        <v>Promotor</v>
      </c>
      <c r="U766" s="11" t="str">
        <f t="shared" si="69"/>
        <v>Baixo risco</v>
      </c>
      <c r="V766">
        <v>1</v>
      </c>
      <c r="W766">
        <v>53</v>
      </c>
      <c r="X766" s="2">
        <v>28.14</v>
      </c>
      <c r="Y766">
        <v>38</v>
      </c>
      <c r="Z766" t="s">
        <v>50</v>
      </c>
    </row>
    <row r="767" spans="1:26">
      <c r="A767" t="s">
        <v>1320</v>
      </c>
      <c r="B767" t="s">
        <v>813</v>
      </c>
      <c r="C767" t="s">
        <v>140</v>
      </c>
      <c r="D767" t="s">
        <v>141</v>
      </c>
      <c r="E767">
        <v>25</v>
      </c>
      <c r="F767" t="s">
        <v>201</v>
      </c>
      <c r="G767" t="s">
        <v>104</v>
      </c>
      <c r="H767" t="s">
        <v>86</v>
      </c>
      <c r="I767" t="e">
        <f ca="1">_xludf.XLOOKUP(H767,Base_Planos!$A:$A,Base_Planos!$B:$B,"Não encontrado")</f>
        <v>#NAME?</v>
      </c>
      <c r="J767" s="2">
        <f>VLOOKUP(H767,Base_Planos!$A:$G,4,FALSE)</f>
        <v>119.9</v>
      </c>
      <c r="K767" s="4">
        <v>45228</v>
      </c>
      <c r="L767" t="s">
        <v>215</v>
      </c>
      <c r="M767" t="s">
        <v>44</v>
      </c>
      <c r="N767" s="4"/>
      <c r="O767" s="10">
        <f t="shared" ca="1" si="70"/>
        <v>941</v>
      </c>
      <c r="P767" s="10" t="str">
        <f t="shared" ca="1" si="67"/>
        <v>Mais de 1 ano</v>
      </c>
      <c r="Q767">
        <f t="shared" si="72"/>
        <v>0</v>
      </c>
      <c r="R767">
        <v>7</v>
      </c>
      <c r="S767" s="11">
        <f t="shared" si="71"/>
        <v>0</v>
      </c>
      <c r="T767" s="11" t="str">
        <f t="shared" si="68"/>
        <v>Neutro</v>
      </c>
      <c r="U767" s="11" t="str">
        <f t="shared" si="69"/>
        <v>Médio risco</v>
      </c>
      <c r="V767">
        <v>0</v>
      </c>
      <c r="W767">
        <v>26</v>
      </c>
      <c r="X767" s="2">
        <v>105.81</v>
      </c>
      <c r="Y767">
        <v>31</v>
      </c>
      <c r="Z767" t="s">
        <v>50</v>
      </c>
    </row>
    <row r="768" spans="1:26">
      <c r="A768" t="s">
        <v>1321</v>
      </c>
      <c r="B768" t="s">
        <v>1322</v>
      </c>
      <c r="C768" t="s">
        <v>102</v>
      </c>
      <c r="D768" t="s">
        <v>103</v>
      </c>
      <c r="E768">
        <v>36</v>
      </c>
      <c r="F768" t="s">
        <v>30</v>
      </c>
      <c r="G768" t="s">
        <v>67</v>
      </c>
      <c r="H768" t="s">
        <v>42</v>
      </c>
      <c r="I768" t="e">
        <f ca="1">_xludf.XLOOKUP(H768,Base_Planos!$A:$A,Base_Planos!$B:$B,"Não encontrado")</f>
        <v>#NAME?</v>
      </c>
      <c r="J768" s="2">
        <f>VLOOKUP(H768,Base_Planos!$A:$G,4,FALSE)</f>
        <v>29.9</v>
      </c>
      <c r="K768" s="4">
        <v>45179</v>
      </c>
      <c r="L768" t="s">
        <v>105</v>
      </c>
      <c r="M768" t="s">
        <v>44</v>
      </c>
      <c r="N768" s="4"/>
      <c r="O768" s="10">
        <f t="shared" ca="1" si="70"/>
        <v>990</v>
      </c>
      <c r="P768" s="10" t="str">
        <f t="shared" ca="1" si="67"/>
        <v>Mais de 1 ano</v>
      </c>
      <c r="Q768">
        <f t="shared" si="72"/>
        <v>0</v>
      </c>
      <c r="R768">
        <v>0</v>
      </c>
      <c r="S768" s="11">
        <f t="shared" si="71"/>
        <v>0</v>
      </c>
      <c r="T768" s="11" t="str">
        <f t="shared" si="68"/>
        <v>Detrator</v>
      </c>
      <c r="U768" s="11" t="str">
        <f t="shared" si="69"/>
        <v>Alto risco</v>
      </c>
      <c r="V768">
        <v>0</v>
      </c>
      <c r="W768">
        <v>57</v>
      </c>
      <c r="X768" s="2">
        <v>25.71</v>
      </c>
      <c r="Y768">
        <v>33</v>
      </c>
      <c r="Z768" t="s">
        <v>35</v>
      </c>
    </row>
    <row r="769" spans="1:26">
      <c r="A769" t="s">
        <v>1323</v>
      </c>
      <c r="B769" t="s">
        <v>1324</v>
      </c>
      <c r="C769" t="s">
        <v>140</v>
      </c>
      <c r="D769" t="s">
        <v>141</v>
      </c>
      <c r="E769">
        <v>50</v>
      </c>
      <c r="F769" t="s">
        <v>40</v>
      </c>
      <c r="G769" t="s">
        <v>96</v>
      </c>
      <c r="H769" t="s">
        <v>166</v>
      </c>
      <c r="I769" t="e">
        <f ca="1">_xludf.XLOOKUP(H769,Base_Planos!$A:$A,Base_Planos!$B:$B,"Não encontrado")</f>
        <v>#NAME?</v>
      </c>
      <c r="J769" s="2">
        <f>VLOOKUP(H769,Base_Planos!$A:$G,4,FALSE)</f>
        <v>399.9</v>
      </c>
      <c r="K769" s="4">
        <v>45481</v>
      </c>
      <c r="L769" t="s">
        <v>142</v>
      </c>
      <c r="M769" t="s">
        <v>34</v>
      </c>
      <c r="N769" s="4">
        <v>45735</v>
      </c>
      <c r="O769" s="10">
        <f t="shared" ca="1" si="70"/>
        <v>254</v>
      </c>
      <c r="P769" s="10" t="str">
        <f t="shared" ca="1" si="67"/>
        <v>181 a 365 dias</v>
      </c>
      <c r="Q769">
        <f t="shared" si="72"/>
        <v>1</v>
      </c>
      <c r="R769">
        <v>2</v>
      </c>
      <c r="S769" s="11">
        <f t="shared" si="71"/>
        <v>399.9</v>
      </c>
      <c r="T769" s="11" t="str">
        <f t="shared" si="68"/>
        <v>Detrator</v>
      </c>
      <c r="U769" s="11" t="str">
        <f t="shared" si="69"/>
        <v>Alto risco</v>
      </c>
      <c r="V769">
        <v>1</v>
      </c>
      <c r="W769">
        <v>56</v>
      </c>
      <c r="X769" s="2">
        <v>414.53</v>
      </c>
      <c r="Y769">
        <v>8</v>
      </c>
      <c r="Z769" t="s">
        <v>35</v>
      </c>
    </row>
    <row r="770" spans="1:26">
      <c r="A770" t="s">
        <v>1325</v>
      </c>
      <c r="B770" t="s">
        <v>256</v>
      </c>
      <c r="C770" t="s">
        <v>71</v>
      </c>
      <c r="D770" t="s">
        <v>72</v>
      </c>
      <c r="E770">
        <v>43</v>
      </c>
      <c r="F770" t="s">
        <v>201</v>
      </c>
      <c r="G770" t="s">
        <v>55</v>
      </c>
      <c r="H770" t="s">
        <v>86</v>
      </c>
      <c r="I770" t="e">
        <f ca="1">_xludf.XLOOKUP(H770,Base_Planos!$A:$A,Base_Planos!$B:$B,"Não encontrado")</f>
        <v>#NAME?</v>
      </c>
      <c r="J770" s="2">
        <f>VLOOKUP(H770,Base_Planos!$A:$G,4,FALSE)</f>
        <v>119.9</v>
      </c>
      <c r="K770" s="4">
        <v>45545</v>
      </c>
      <c r="L770" t="s">
        <v>91</v>
      </c>
      <c r="M770" t="s">
        <v>44</v>
      </c>
      <c r="N770" s="4"/>
      <c r="O770" s="10">
        <f t="shared" ca="1" si="70"/>
        <v>624</v>
      </c>
      <c r="P770" s="10" t="str">
        <f t="shared" ref="P770:P833" ca="1" si="73">IF(O770&lt;=30,"Até 30 dias",IF(O770&lt;=90,"31 a 90 dias",IF(O770&lt;=180,"91 a 180 dias",IF(O770&lt;=365,"181 a 365 dias","Mais de 1 ano"))))</f>
        <v>Mais de 1 ano</v>
      </c>
      <c r="Q770">
        <f t="shared" si="72"/>
        <v>0</v>
      </c>
      <c r="R770">
        <v>9</v>
      </c>
      <c r="S770" s="11">
        <f t="shared" si="71"/>
        <v>0</v>
      </c>
      <c r="T770" s="11" t="str">
        <f t="shared" ref="T770:T833" si="74">IF(R770&lt;=6,"Detrator",IF(R770&lt;=8,"Neutro","Promotor"))</f>
        <v>Promotor</v>
      </c>
      <c r="U770" s="11" t="str">
        <f t="shared" ref="U770:U833" si="75">IF(Q770=1,"Alto risco",IF(R770&lt;=6,"Alto risco",IF(R770&lt;=8,"Médio risco","Baixo risco")))</f>
        <v>Baixo risco</v>
      </c>
      <c r="V770">
        <v>1</v>
      </c>
      <c r="W770">
        <v>90</v>
      </c>
      <c r="X770" s="2">
        <v>115.78</v>
      </c>
      <c r="Y770">
        <v>20</v>
      </c>
      <c r="Z770" t="s">
        <v>50</v>
      </c>
    </row>
    <row r="771" spans="1:26">
      <c r="A771" t="s">
        <v>1326</v>
      </c>
      <c r="B771" t="s">
        <v>880</v>
      </c>
      <c r="C771" t="s">
        <v>140</v>
      </c>
      <c r="D771" t="s">
        <v>141</v>
      </c>
      <c r="E771">
        <v>26</v>
      </c>
      <c r="F771" t="s">
        <v>54</v>
      </c>
      <c r="G771" t="s">
        <v>31</v>
      </c>
      <c r="H771" t="s">
        <v>42</v>
      </c>
      <c r="I771" t="e">
        <f ca="1">_xludf.XLOOKUP(H771,Base_Planos!$A:$A,Base_Planos!$B:$B,"Não encontrado")</f>
        <v>#NAME?</v>
      </c>
      <c r="J771" s="2">
        <f>VLOOKUP(H771,Base_Planos!$A:$G,4,FALSE)</f>
        <v>29.9</v>
      </c>
      <c r="K771" s="4">
        <v>45102</v>
      </c>
      <c r="L771" t="s">
        <v>328</v>
      </c>
      <c r="M771" t="s">
        <v>44</v>
      </c>
      <c r="N771" s="4"/>
      <c r="O771" s="10">
        <f t="shared" ref="O771:O834" ca="1" si="76">IF(M771="Cancelado",N771-K771,TODAY()-K771)</f>
        <v>1067</v>
      </c>
      <c r="P771" s="10" t="str">
        <f t="shared" ca="1" si="73"/>
        <v>Mais de 1 ano</v>
      </c>
      <c r="Q771">
        <f t="shared" si="72"/>
        <v>0</v>
      </c>
      <c r="R771">
        <v>4</v>
      </c>
      <c r="S771" s="11">
        <f t="shared" ref="S771:S834" si="77">IF(Q771=1,J771,0)</f>
        <v>0</v>
      </c>
      <c r="T771" s="11" t="str">
        <f t="shared" si="74"/>
        <v>Detrator</v>
      </c>
      <c r="U771" s="11" t="str">
        <f t="shared" si="75"/>
        <v>Alto risco</v>
      </c>
      <c r="V771">
        <v>0</v>
      </c>
      <c r="W771">
        <v>40</v>
      </c>
      <c r="X771" s="2">
        <v>30.65</v>
      </c>
      <c r="Y771">
        <v>35</v>
      </c>
      <c r="Z771" t="s">
        <v>35</v>
      </c>
    </row>
    <row r="772" spans="1:26">
      <c r="A772" t="s">
        <v>1327</v>
      </c>
      <c r="B772" t="s">
        <v>767</v>
      </c>
      <c r="C772" t="s">
        <v>94</v>
      </c>
      <c r="D772" t="s">
        <v>95</v>
      </c>
      <c r="E772">
        <v>51</v>
      </c>
      <c r="F772" t="s">
        <v>54</v>
      </c>
      <c r="G772" t="s">
        <v>165</v>
      </c>
      <c r="H772" t="s">
        <v>112</v>
      </c>
      <c r="I772" t="e">
        <f ca="1">_xludf.XLOOKUP(H772,Base_Planos!$A:$A,Base_Planos!$B:$B,"Não encontrado")</f>
        <v>#NAME?</v>
      </c>
      <c r="J772" s="2">
        <f>VLOOKUP(H772,Base_Planos!$A:$G,4,FALSE)</f>
        <v>79.900000000000006</v>
      </c>
      <c r="K772" s="4">
        <v>45659</v>
      </c>
      <c r="L772" t="s">
        <v>261</v>
      </c>
      <c r="M772" t="s">
        <v>44</v>
      </c>
      <c r="N772" s="4"/>
      <c r="O772" s="10">
        <f t="shared" ca="1" si="76"/>
        <v>510</v>
      </c>
      <c r="P772" s="10" t="str">
        <f t="shared" ca="1" si="73"/>
        <v>Mais de 1 ano</v>
      </c>
      <c r="Q772">
        <f t="shared" si="72"/>
        <v>1</v>
      </c>
      <c r="R772">
        <v>7</v>
      </c>
      <c r="S772" s="11">
        <f t="shared" si="77"/>
        <v>79.900000000000006</v>
      </c>
      <c r="T772" s="11" t="str">
        <f t="shared" si="74"/>
        <v>Neutro</v>
      </c>
      <c r="U772" s="11" t="str">
        <f t="shared" si="75"/>
        <v>Alto risco</v>
      </c>
      <c r="V772">
        <v>3</v>
      </c>
      <c r="W772">
        <v>81</v>
      </c>
      <c r="X772" s="2">
        <v>82.5</v>
      </c>
      <c r="Y772">
        <v>17</v>
      </c>
      <c r="Z772" t="s">
        <v>50</v>
      </c>
    </row>
    <row r="773" spans="1:26">
      <c r="A773" t="s">
        <v>1328</v>
      </c>
      <c r="B773" t="s">
        <v>854</v>
      </c>
      <c r="C773" t="s">
        <v>102</v>
      </c>
      <c r="D773" t="s">
        <v>103</v>
      </c>
      <c r="E773">
        <v>26</v>
      </c>
      <c r="F773" t="s">
        <v>40</v>
      </c>
      <c r="G773" t="s">
        <v>73</v>
      </c>
      <c r="H773" t="s">
        <v>82</v>
      </c>
      <c r="I773" t="e">
        <f ca="1">_xludf.XLOOKUP(H773,Base_Planos!$A:$A,Base_Planos!$B:$B,"Não encontrado")</f>
        <v>#NAME?</v>
      </c>
      <c r="J773" s="2">
        <f>VLOOKUP(H773,Base_Planos!$A:$G,4,FALSE)</f>
        <v>149.9</v>
      </c>
      <c r="K773" s="4">
        <v>46115</v>
      </c>
      <c r="L773" t="s">
        <v>43</v>
      </c>
      <c r="M773" t="s">
        <v>44</v>
      </c>
      <c r="N773" s="4"/>
      <c r="O773" s="10">
        <f t="shared" ca="1" si="76"/>
        <v>54</v>
      </c>
      <c r="P773" s="10" t="str">
        <f t="shared" ca="1" si="73"/>
        <v>31 a 90 dias</v>
      </c>
      <c r="Q773">
        <f t="shared" si="72"/>
        <v>0</v>
      </c>
      <c r="R773">
        <v>8</v>
      </c>
      <c r="S773" s="11">
        <f t="shared" si="77"/>
        <v>0</v>
      </c>
      <c r="T773" s="11" t="str">
        <f t="shared" si="74"/>
        <v>Neutro</v>
      </c>
      <c r="U773" s="11" t="str">
        <f t="shared" si="75"/>
        <v>Médio risco</v>
      </c>
      <c r="V773">
        <v>2</v>
      </c>
      <c r="W773">
        <v>84</v>
      </c>
      <c r="X773" s="2">
        <v>129.02000000000001</v>
      </c>
      <c r="Y773">
        <v>1</v>
      </c>
      <c r="Z773" t="s">
        <v>50</v>
      </c>
    </row>
    <row r="774" spans="1:26">
      <c r="A774" t="s">
        <v>1329</v>
      </c>
      <c r="B774" t="s">
        <v>449</v>
      </c>
      <c r="C774" t="s">
        <v>94</v>
      </c>
      <c r="D774" t="s">
        <v>95</v>
      </c>
      <c r="E774">
        <v>43</v>
      </c>
      <c r="F774" t="s">
        <v>40</v>
      </c>
      <c r="G774" t="s">
        <v>104</v>
      </c>
      <c r="H774" t="s">
        <v>82</v>
      </c>
      <c r="I774" t="e">
        <f ca="1">_xludf.XLOOKUP(H774,Base_Planos!$A:$A,Base_Planos!$B:$B,"Não encontrado")</f>
        <v>#NAME?</v>
      </c>
      <c r="J774" s="2">
        <f>VLOOKUP(H774,Base_Planos!$A:$G,4,FALSE)</f>
        <v>149.9</v>
      </c>
      <c r="K774" s="4">
        <v>45987</v>
      </c>
      <c r="L774" t="s">
        <v>87</v>
      </c>
      <c r="M774" t="s">
        <v>44</v>
      </c>
      <c r="N774" s="4"/>
      <c r="O774" s="10">
        <f t="shared" ca="1" si="76"/>
        <v>182</v>
      </c>
      <c r="P774" s="10" t="str">
        <f t="shared" ca="1" si="73"/>
        <v>181 a 365 dias</v>
      </c>
      <c r="Q774">
        <f t="shared" si="72"/>
        <v>1</v>
      </c>
      <c r="R774">
        <v>7</v>
      </c>
      <c r="S774" s="11">
        <f t="shared" si="77"/>
        <v>149.9</v>
      </c>
      <c r="T774" s="11" t="str">
        <f t="shared" si="74"/>
        <v>Neutro</v>
      </c>
      <c r="U774" s="11" t="str">
        <f t="shared" si="75"/>
        <v>Alto risco</v>
      </c>
      <c r="V774">
        <v>0</v>
      </c>
      <c r="W774">
        <v>47</v>
      </c>
      <c r="X774" s="2">
        <v>130.62</v>
      </c>
      <c r="Y774">
        <v>6</v>
      </c>
      <c r="Z774" t="s">
        <v>50</v>
      </c>
    </row>
    <row r="775" spans="1:26">
      <c r="A775" t="s">
        <v>1330</v>
      </c>
      <c r="B775" t="s">
        <v>1066</v>
      </c>
      <c r="C775" t="s">
        <v>53</v>
      </c>
      <c r="D775" t="s">
        <v>29</v>
      </c>
      <c r="E775">
        <v>36</v>
      </c>
      <c r="F775" t="s">
        <v>54</v>
      </c>
      <c r="G775" t="s">
        <v>165</v>
      </c>
      <c r="H775" t="s">
        <v>86</v>
      </c>
      <c r="I775" t="e">
        <f ca="1">_xludf.XLOOKUP(H775,Base_Planos!$A:$A,Base_Planos!$B:$B,"Não encontrado")</f>
        <v>#NAME?</v>
      </c>
      <c r="J775" s="2">
        <f>VLOOKUP(H775,Base_Planos!$A:$G,4,FALSE)</f>
        <v>119.9</v>
      </c>
      <c r="K775" s="4">
        <v>45175</v>
      </c>
      <c r="L775" t="s">
        <v>105</v>
      </c>
      <c r="M775" t="s">
        <v>34</v>
      </c>
      <c r="N775" s="4">
        <v>45352</v>
      </c>
      <c r="O775" s="10">
        <f t="shared" ca="1" si="76"/>
        <v>177</v>
      </c>
      <c r="P775" s="10" t="str">
        <f t="shared" ca="1" si="73"/>
        <v>91 a 180 dias</v>
      </c>
      <c r="Q775">
        <f t="shared" si="72"/>
        <v>1</v>
      </c>
      <c r="R775">
        <v>9</v>
      </c>
      <c r="S775" s="11">
        <f t="shared" si="77"/>
        <v>119.9</v>
      </c>
      <c r="T775" s="11" t="str">
        <f t="shared" si="74"/>
        <v>Promotor</v>
      </c>
      <c r="U775" s="11" t="str">
        <f t="shared" si="75"/>
        <v>Alto risco</v>
      </c>
      <c r="V775">
        <v>0</v>
      </c>
      <c r="W775">
        <v>16</v>
      </c>
      <c r="X775" s="2">
        <v>125.11</v>
      </c>
      <c r="Y775">
        <v>5</v>
      </c>
      <c r="Z775" t="s">
        <v>35</v>
      </c>
    </row>
    <row r="776" spans="1:26">
      <c r="A776" t="s">
        <v>1331</v>
      </c>
      <c r="B776" t="s">
        <v>528</v>
      </c>
      <c r="C776" t="s">
        <v>65</v>
      </c>
      <c r="D776" t="s">
        <v>29</v>
      </c>
      <c r="E776">
        <v>58</v>
      </c>
      <c r="F776" t="s">
        <v>66</v>
      </c>
      <c r="G776" t="s">
        <v>73</v>
      </c>
      <c r="H776" t="s">
        <v>61</v>
      </c>
      <c r="I776" t="e">
        <f ca="1">_xludf.XLOOKUP(H776,Base_Planos!$A:$A,Base_Planos!$B:$B,"Não encontrado")</f>
        <v>#NAME?</v>
      </c>
      <c r="J776" s="2">
        <f>VLOOKUP(H776,Base_Planos!$A:$G,4,FALSE)</f>
        <v>59.9</v>
      </c>
      <c r="K776" s="4">
        <v>44940</v>
      </c>
      <c r="L776" t="s">
        <v>153</v>
      </c>
      <c r="M776" t="s">
        <v>44</v>
      </c>
      <c r="N776" s="4"/>
      <c r="O776" s="10">
        <f t="shared" ca="1" si="76"/>
        <v>1229</v>
      </c>
      <c r="P776" s="10" t="str">
        <f t="shared" ca="1" si="73"/>
        <v>Mais de 1 ano</v>
      </c>
      <c r="Q776">
        <f t="shared" si="72"/>
        <v>0</v>
      </c>
      <c r="R776">
        <v>7</v>
      </c>
      <c r="S776" s="11">
        <f t="shared" si="77"/>
        <v>0</v>
      </c>
      <c r="T776" s="11" t="str">
        <f t="shared" si="74"/>
        <v>Neutro</v>
      </c>
      <c r="U776" s="11" t="str">
        <f t="shared" si="75"/>
        <v>Médio risco</v>
      </c>
      <c r="V776">
        <v>0</v>
      </c>
      <c r="W776">
        <v>43</v>
      </c>
      <c r="X776" s="2">
        <v>61.46</v>
      </c>
      <c r="Y776">
        <v>40</v>
      </c>
      <c r="Z776" t="s">
        <v>50</v>
      </c>
    </row>
    <row r="777" spans="1:26">
      <c r="A777" t="s">
        <v>1332</v>
      </c>
      <c r="B777" t="s">
        <v>899</v>
      </c>
      <c r="C777" t="s">
        <v>59</v>
      </c>
      <c r="D777" t="s">
        <v>60</v>
      </c>
      <c r="E777">
        <v>31</v>
      </c>
      <c r="F777" t="s">
        <v>30</v>
      </c>
      <c r="G777" t="s">
        <v>67</v>
      </c>
      <c r="H777" t="s">
        <v>82</v>
      </c>
      <c r="I777" t="e">
        <f ca="1">_xludf.XLOOKUP(H777,Base_Planos!$A:$A,Base_Planos!$B:$B,"Não encontrado")</f>
        <v>#NAME?</v>
      </c>
      <c r="J777" s="2">
        <f>VLOOKUP(H777,Base_Planos!$A:$G,4,FALSE)</f>
        <v>149.9</v>
      </c>
      <c r="K777" s="4">
        <v>45835</v>
      </c>
      <c r="L777" t="s">
        <v>167</v>
      </c>
      <c r="M777" t="s">
        <v>44</v>
      </c>
      <c r="N777" s="4"/>
      <c r="O777" s="10">
        <f t="shared" ca="1" si="76"/>
        <v>334</v>
      </c>
      <c r="P777" s="10" t="str">
        <f t="shared" ca="1" si="73"/>
        <v>181 a 365 dias</v>
      </c>
      <c r="Q777">
        <f t="shared" si="72"/>
        <v>0</v>
      </c>
      <c r="R777">
        <v>6</v>
      </c>
      <c r="S777" s="11">
        <f t="shared" si="77"/>
        <v>0</v>
      </c>
      <c r="T777" s="11" t="str">
        <f t="shared" si="74"/>
        <v>Detrator</v>
      </c>
      <c r="U777" s="11" t="str">
        <f t="shared" si="75"/>
        <v>Alto risco</v>
      </c>
      <c r="V777">
        <v>0</v>
      </c>
      <c r="W777">
        <v>61</v>
      </c>
      <c r="X777" s="2">
        <v>152.01</v>
      </c>
      <c r="Y777">
        <v>11</v>
      </c>
      <c r="Z777" t="s">
        <v>50</v>
      </c>
    </row>
    <row r="778" spans="1:26">
      <c r="A778" t="s">
        <v>1333</v>
      </c>
      <c r="B778" t="s">
        <v>1188</v>
      </c>
      <c r="C778" t="s">
        <v>140</v>
      </c>
      <c r="D778" t="s">
        <v>141</v>
      </c>
      <c r="E778">
        <v>57</v>
      </c>
      <c r="F778" t="s">
        <v>40</v>
      </c>
      <c r="G778" t="s">
        <v>55</v>
      </c>
      <c r="H778" t="s">
        <v>112</v>
      </c>
      <c r="I778" t="e">
        <f ca="1">_xludf.XLOOKUP(H778,Base_Planos!$A:$A,Base_Planos!$B:$B,"Não encontrado")</f>
        <v>#NAME?</v>
      </c>
      <c r="J778" s="2">
        <f>VLOOKUP(H778,Base_Planos!$A:$G,4,FALSE)</f>
        <v>79.900000000000006</v>
      </c>
      <c r="K778" s="4">
        <v>44971</v>
      </c>
      <c r="L778" t="s">
        <v>425</v>
      </c>
      <c r="M778" t="s">
        <v>44</v>
      </c>
      <c r="N778" s="4"/>
      <c r="O778" s="10">
        <f t="shared" ca="1" si="76"/>
        <v>1198</v>
      </c>
      <c r="P778" s="10" t="str">
        <f t="shared" ca="1" si="73"/>
        <v>Mais de 1 ano</v>
      </c>
      <c r="Q778">
        <f t="shared" si="72"/>
        <v>0</v>
      </c>
      <c r="R778">
        <v>2</v>
      </c>
      <c r="S778" s="11">
        <f t="shared" si="77"/>
        <v>0</v>
      </c>
      <c r="T778" s="11" t="str">
        <f t="shared" si="74"/>
        <v>Detrator</v>
      </c>
      <c r="U778" s="11" t="str">
        <f t="shared" si="75"/>
        <v>Alto risco</v>
      </c>
      <c r="V778">
        <v>0</v>
      </c>
      <c r="W778">
        <v>92</v>
      </c>
      <c r="X778" s="2">
        <v>79.099999999999994</v>
      </c>
      <c r="Y778">
        <v>39</v>
      </c>
      <c r="Z778" t="s">
        <v>45</v>
      </c>
    </row>
    <row r="779" spans="1:26">
      <c r="A779" t="s">
        <v>1334</v>
      </c>
      <c r="B779" t="s">
        <v>70</v>
      </c>
      <c r="C779" t="s">
        <v>77</v>
      </c>
      <c r="D779" t="s">
        <v>78</v>
      </c>
      <c r="E779">
        <v>36</v>
      </c>
      <c r="F779" t="s">
        <v>30</v>
      </c>
      <c r="G779" t="s">
        <v>55</v>
      </c>
      <c r="H779" t="s">
        <v>166</v>
      </c>
      <c r="I779" t="e">
        <f ca="1">_xludf.XLOOKUP(H779,Base_Planos!$A:$A,Base_Planos!$B:$B,"Não encontrado")</f>
        <v>#NAME?</v>
      </c>
      <c r="J779" s="2">
        <f>VLOOKUP(H779,Base_Planos!$A:$G,4,FALSE)</f>
        <v>399.9</v>
      </c>
      <c r="K779" s="4">
        <v>45936</v>
      </c>
      <c r="L779" t="s">
        <v>196</v>
      </c>
      <c r="M779" t="s">
        <v>34</v>
      </c>
      <c r="N779" s="4">
        <v>46072</v>
      </c>
      <c r="O779" s="10">
        <f t="shared" ca="1" si="76"/>
        <v>136</v>
      </c>
      <c r="P779" s="10" t="str">
        <f t="shared" ca="1" si="73"/>
        <v>91 a 180 dias</v>
      </c>
      <c r="Q779">
        <f t="shared" si="72"/>
        <v>0</v>
      </c>
      <c r="R779">
        <v>5</v>
      </c>
      <c r="S779" s="11">
        <f t="shared" si="77"/>
        <v>0</v>
      </c>
      <c r="T779" s="11" t="str">
        <f t="shared" si="74"/>
        <v>Detrator</v>
      </c>
      <c r="U779" s="11" t="str">
        <f t="shared" si="75"/>
        <v>Alto risco</v>
      </c>
      <c r="V779">
        <v>1</v>
      </c>
      <c r="W779">
        <v>32</v>
      </c>
      <c r="X779" s="2">
        <v>351.77</v>
      </c>
      <c r="Y779">
        <v>4</v>
      </c>
      <c r="Z779" t="s">
        <v>35</v>
      </c>
    </row>
    <row r="780" spans="1:26">
      <c r="A780" t="s">
        <v>1335</v>
      </c>
      <c r="B780" t="s">
        <v>637</v>
      </c>
      <c r="C780" t="s">
        <v>102</v>
      </c>
      <c r="D780" t="s">
        <v>103</v>
      </c>
      <c r="E780">
        <v>54</v>
      </c>
      <c r="F780" t="s">
        <v>54</v>
      </c>
      <c r="G780" t="s">
        <v>73</v>
      </c>
      <c r="H780" t="s">
        <v>32</v>
      </c>
      <c r="I780" t="e">
        <f ca="1">_xludf.XLOOKUP(H780,Base_Planos!$A:$A,Base_Planos!$B:$B,"Não encontrado")</f>
        <v>#NAME?</v>
      </c>
      <c r="J780" s="2">
        <f>VLOOKUP(H780,Base_Planos!$A:$G,4,FALSE)</f>
        <v>39.9</v>
      </c>
      <c r="K780" s="4">
        <v>45837</v>
      </c>
      <c r="L780" t="s">
        <v>167</v>
      </c>
      <c r="M780" t="s">
        <v>44</v>
      </c>
      <c r="N780" s="4"/>
      <c r="O780" s="10">
        <f t="shared" ca="1" si="76"/>
        <v>332</v>
      </c>
      <c r="P780" s="10" t="str">
        <f t="shared" ca="1" si="73"/>
        <v>181 a 365 dias</v>
      </c>
      <c r="Q780">
        <f t="shared" si="72"/>
        <v>0</v>
      </c>
      <c r="R780">
        <v>0</v>
      </c>
      <c r="S780" s="11">
        <f t="shared" si="77"/>
        <v>0</v>
      </c>
      <c r="T780" s="11" t="str">
        <f t="shared" si="74"/>
        <v>Detrator</v>
      </c>
      <c r="U780" s="11" t="str">
        <f t="shared" si="75"/>
        <v>Alto risco</v>
      </c>
      <c r="V780">
        <v>0</v>
      </c>
      <c r="W780">
        <v>42</v>
      </c>
      <c r="X780" s="2">
        <v>37.57</v>
      </c>
      <c r="Y780">
        <v>11</v>
      </c>
      <c r="Z780" t="s">
        <v>45</v>
      </c>
    </row>
    <row r="781" spans="1:26">
      <c r="A781" t="s">
        <v>1336</v>
      </c>
      <c r="B781" t="s">
        <v>136</v>
      </c>
      <c r="C781" t="s">
        <v>108</v>
      </c>
      <c r="D781" t="s">
        <v>109</v>
      </c>
      <c r="E781">
        <v>50</v>
      </c>
      <c r="F781" t="s">
        <v>66</v>
      </c>
      <c r="G781" t="s">
        <v>31</v>
      </c>
      <c r="H781" t="s">
        <v>112</v>
      </c>
      <c r="I781" t="e">
        <f ca="1">_xludf.XLOOKUP(H781,Base_Planos!$A:$A,Base_Planos!$B:$B,"Não encontrado")</f>
        <v>#NAME?</v>
      </c>
      <c r="J781" s="2">
        <f>VLOOKUP(H781,Base_Planos!$A:$G,4,FALSE)</f>
        <v>79.900000000000006</v>
      </c>
      <c r="K781" s="4">
        <v>46002</v>
      </c>
      <c r="L781" t="s">
        <v>170</v>
      </c>
      <c r="M781" t="s">
        <v>44</v>
      </c>
      <c r="N781" s="4"/>
      <c r="O781" s="10">
        <f t="shared" ca="1" si="76"/>
        <v>167</v>
      </c>
      <c r="P781" s="10" t="str">
        <f t="shared" ca="1" si="73"/>
        <v>91 a 180 dias</v>
      </c>
      <c r="Q781">
        <f t="shared" si="72"/>
        <v>0</v>
      </c>
      <c r="R781">
        <v>6</v>
      </c>
      <c r="S781" s="11">
        <f t="shared" si="77"/>
        <v>0</v>
      </c>
      <c r="T781" s="11" t="str">
        <f t="shared" si="74"/>
        <v>Detrator</v>
      </c>
      <c r="U781" s="11" t="str">
        <f t="shared" si="75"/>
        <v>Alto risco</v>
      </c>
      <c r="V781">
        <v>0</v>
      </c>
      <c r="W781">
        <v>55</v>
      </c>
      <c r="X781" s="2">
        <v>76.91</v>
      </c>
      <c r="Y781">
        <v>5</v>
      </c>
      <c r="Z781" t="s">
        <v>50</v>
      </c>
    </row>
    <row r="782" spans="1:26">
      <c r="A782" t="s">
        <v>1337</v>
      </c>
      <c r="B782" t="s">
        <v>1137</v>
      </c>
      <c r="C782" t="s">
        <v>140</v>
      </c>
      <c r="D782" t="s">
        <v>141</v>
      </c>
      <c r="E782">
        <v>60</v>
      </c>
      <c r="F782" t="s">
        <v>30</v>
      </c>
      <c r="G782" t="s">
        <v>41</v>
      </c>
      <c r="H782" t="s">
        <v>32</v>
      </c>
      <c r="I782" t="e">
        <f ca="1">_xludf.XLOOKUP(H782,Base_Planos!$A:$A,Base_Planos!$B:$B,"Não encontrado")</f>
        <v>#NAME?</v>
      </c>
      <c r="J782" s="2">
        <f>VLOOKUP(H782,Base_Planos!$A:$G,4,FALSE)</f>
        <v>39.9</v>
      </c>
      <c r="K782" s="4">
        <v>45917</v>
      </c>
      <c r="L782" t="s">
        <v>189</v>
      </c>
      <c r="M782" t="s">
        <v>44</v>
      </c>
      <c r="N782" s="4"/>
      <c r="O782" s="10">
        <f t="shared" ca="1" si="76"/>
        <v>252</v>
      </c>
      <c r="P782" s="10" t="str">
        <f t="shared" ca="1" si="73"/>
        <v>181 a 365 dias</v>
      </c>
      <c r="Q782">
        <f t="shared" si="72"/>
        <v>0</v>
      </c>
      <c r="R782">
        <v>6</v>
      </c>
      <c r="S782" s="11">
        <f t="shared" si="77"/>
        <v>0</v>
      </c>
      <c r="T782" s="11" t="str">
        <f t="shared" si="74"/>
        <v>Detrator</v>
      </c>
      <c r="U782" s="11" t="str">
        <f t="shared" si="75"/>
        <v>Alto risco</v>
      </c>
      <c r="V782">
        <v>0</v>
      </c>
      <c r="W782">
        <v>48</v>
      </c>
      <c r="X782" s="2">
        <v>37.96</v>
      </c>
      <c r="Y782">
        <v>8</v>
      </c>
      <c r="Z782" t="s">
        <v>35</v>
      </c>
    </row>
    <row r="783" spans="1:26">
      <c r="A783" t="s">
        <v>1338</v>
      </c>
      <c r="B783" t="s">
        <v>1339</v>
      </c>
      <c r="C783" t="s">
        <v>140</v>
      </c>
      <c r="D783" t="s">
        <v>141</v>
      </c>
      <c r="E783">
        <v>26</v>
      </c>
      <c r="F783" t="s">
        <v>40</v>
      </c>
      <c r="G783" t="s">
        <v>165</v>
      </c>
      <c r="H783" t="s">
        <v>61</v>
      </c>
      <c r="I783" t="e">
        <f ca="1">_xludf.XLOOKUP(H783,Base_Planos!$A:$A,Base_Planos!$B:$B,"Não encontrado")</f>
        <v>#NAME?</v>
      </c>
      <c r="J783" s="2">
        <f>VLOOKUP(H783,Base_Planos!$A:$G,4,FALSE)</f>
        <v>59.9</v>
      </c>
      <c r="K783" s="4">
        <v>45753</v>
      </c>
      <c r="L783" t="s">
        <v>222</v>
      </c>
      <c r="M783" t="s">
        <v>34</v>
      </c>
      <c r="N783" s="4">
        <v>45837</v>
      </c>
      <c r="O783" s="10">
        <f t="shared" ca="1" si="76"/>
        <v>84</v>
      </c>
      <c r="P783" s="10" t="str">
        <f t="shared" ca="1" si="73"/>
        <v>31 a 90 dias</v>
      </c>
      <c r="Q783">
        <f t="shared" si="72"/>
        <v>0</v>
      </c>
      <c r="R783">
        <v>1</v>
      </c>
      <c r="S783" s="11">
        <f t="shared" si="77"/>
        <v>0</v>
      </c>
      <c r="T783" s="11" t="str">
        <f t="shared" si="74"/>
        <v>Detrator</v>
      </c>
      <c r="U783" s="11" t="str">
        <f t="shared" si="75"/>
        <v>Alto risco</v>
      </c>
      <c r="V783">
        <v>0</v>
      </c>
      <c r="W783">
        <v>72</v>
      </c>
      <c r="X783" s="2">
        <v>59.05</v>
      </c>
      <c r="Y783">
        <v>2</v>
      </c>
      <c r="Z783" t="s">
        <v>45</v>
      </c>
    </row>
    <row r="784" spans="1:26">
      <c r="A784" t="s">
        <v>1340</v>
      </c>
      <c r="B784" t="s">
        <v>413</v>
      </c>
      <c r="C784" t="s">
        <v>48</v>
      </c>
      <c r="D784" t="s">
        <v>29</v>
      </c>
      <c r="E784">
        <v>64</v>
      </c>
      <c r="F784" t="s">
        <v>40</v>
      </c>
      <c r="G784" t="s">
        <v>55</v>
      </c>
      <c r="H784" t="s">
        <v>86</v>
      </c>
      <c r="I784" t="e">
        <f ca="1">_xludf.XLOOKUP(H784,Base_Planos!$A:$A,Base_Planos!$B:$B,"Não encontrado")</f>
        <v>#NAME?</v>
      </c>
      <c r="J784" s="2">
        <f>VLOOKUP(H784,Base_Planos!$A:$G,4,FALSE)</f>
        <v>119.9</v>
      </c>
      <c r="K784" s="4">
        <v>45283</v>
      </c>
      <c r="L784" t="s">
        <v>62</v>
      </c>
      <c r="M784" t="s">
        <v>44</v>
      </c>
      <c r="N784" s="4"/>
      <c r="O784" s="10">
        <f t="shared" ca="1" si="76"/>
        <v>886</v>
      </c>
      <c r="P784" s="10" t="str">
        <f t="shared" ca="1" si="73"/>
        <v>Mais de 1 ano</v>
      </c>
      <c r="Q784">
        <f t="shared" si="72"/>
        <v>0</v>
      </c>
      <c r="R784">
        <v>6</v>
      </c>
      <c r="S784" s="11">
        <f t="shared" si="77"/>
        <v>0</v>
      </c>
      <c r="T784" s="11" t="str">
        <f t="shared" si="74"/>
        <v>Detrator</v>
      </c>
      <c r="U784" s="11" t="str">
        <f t="shared" si="75"/>
        <v>Alto risco</v>
      </c>
      <c r="V784">
        <v>0</v>
      </c>
      <c r="W784">
        <v>27</v>
      </c>
      <c r="X784" s="2">
        <v>104.66</v>
      </c>
      <c r="Y784">
        <v>29</v>
      </c>
      <c r="Z784" t="s">
        <v>35</v>
      </c>
    </row>
    <row r="785" spans="1:26">
      <c r="A785" t="s">
        <v>1341</v>
      </c>
      <c r="B785" t="s">
        <v>1342</v>
      </c>
      <c r="C785" t="s">
        <v>77</v>
      </c>
      <c r="D785" t="s">
        <v>78</v>
      </c>
      <c r="E785">
        <v>41</v>
      </c>
      <c r="F785" t="s">
        <v>40</v>
      </c>
      <c r="G785" t="s">
        <v>67</v>
      </c>
      <c r="H785" t="s">
        <v>86</v>
      </c>
      <c r="I785" t="e">
        <f ca="1">_xludf.XLOOKUP(H785,Base_Planos!$A:$A,Base_Planos!$B:$B,"Não encontrado")</f>
        <v>#NAME?</v>
      </c>
      <c r="J785" s="2">
        <f>VLOOKUP(H785,Base_Planos!$A:$G,4,FALSE)</f>
        <v>119.9</v>
      </c>
      <c r="K785" s="4">
        <v>45584</v>
      </c>
      <c r="L785" t="s">
        <v>123</v>
      </c>
      <c r="M785" t="s">
        <v>44</v>
      </c>
      <c r="N785" s="4"/>
      <c r="O785" s="10">
        <f t="shared" ca="1" si="76"/>
        <v>585</v>
      </c>
      <c r="P785" s="10" t="str">
        <f t="shared" ca="1" si="73"/>
        <v>Mais de 1 ano</v>
      </c>
      <c r="Q785">
        <f t="shared" si="72"/>
        <v>0</v>
      </c>
      <c r="R785">
        <v>1</v>
      </c>
      <c r="S785" s="11">
        <f t="shared" si="77"/>
        <v>0</v>
      </c>
      <c r="T785" s="11" t="str">
        <f t="shared" si="74"/>
        <v>Detrator</v>
      </c>
      <c r="U785" s="11" t="str">
        <f t="shared" si="75"/>
        <v>Alto risco</v>
      </c>
      <c r="V785">
        <v>4</v>
      </c>
      <c r="W785">
        <v>31</v>
      </c>
      <c r="X785" s="2">
        <v>106.7</v>
      </c>
      <c r="Y785">
        <v>19</v>
      </c>
      <c r="Z785" t="s">
        <v>45</v>
      </c>
    </row>
    <row r="786" spans="1:26">
      <c r="A786" t="s">
        <v>1343</v>
      </c>
      <c r="B786" t="s">
        <v>576</v>
      </c>
      <c r="C786" t="s">
        <v>77</v>
      </c>
      <c r="D786" t="s">
        <v>78</v>
      </c>
      <c r="E786">
        <v>61</v>
      </c>
      <c r="F786" t="s">
        <v>30</v>
      </c>
      <c r="G786" t="s">
        <v>31</v>
      </c>
      <c r="H786" t="s">
        <v>82</v>
      </c>
      <c r="I786" t="e">
        <f ca="1">_xludf.XLOOKUP(H786,Base_Planos!$A:$A,Base_Planos!$B:$B,"Não encontrado")</f>
        <v>#NAME?</v>
      </c>
      <c r="J786" s="2">
        <f>VLOOKUP(H786,Base_Planos!$A:$G,4,FALSE)</f>
        <v>149.9</v>
      </c>
      <c r="K786" s="4">
        <v>45815</v>
      </c>
      <c r="L786" t="s">
        <v>167</v>
      </c>
      <c r="M786" t="s">
        <v>44</v>
      </c>
      <c r="N786" s="4"/>
      <c r="O786" s="10">
        <f t="shared" ca="1" si="76"/>
        <v>354</v>
      </c>
      <c r="P786" s="10" t="str">
        <f t="shared" ca="1" si="73"/>
        <v>181 a 365 dias</v>
      </c>
      <c r="Q786">
        <f t="shared" si="72"/>
        <v>0</v>
      </c>
      <c r="R786">
        <v>8</v>
      </c>
      <c r="S786" s="11">
        <f t="shared" si="77"/>
        <v>0</v>
      </c>
      <c r="T786" s="11" t="str">
        <f t="shared" si="74"/>
        <v>Neutro</v>
      </c>
      <c r="U786" s="11" t="str">
        <f t="shared" si="75"/>
        <v>Médio risco</v>
      </c>
      <c r="V786">
        <v>1</v>
      </c>
      <c r="W786">
        <v>39</v>
      </c>
      <c r="X786" s="2">
        <v>147.46</v>
      </c>
      <c r="Y786">
        <v>11</v>
      </c>
      <c r="Z786" t="s">
        <v>35</v>
      </c>
    </row>
    <row r="787" spans="1:26">
      <c r="A787" t="s">
        <v>1344</v>
      </c>
      <c r="B787" t="s">
        <v>874</v>
      </c>
      <c r="C787" t="s">
        <v>48</v>
      </c>
      <c r="D787" t="s">
        <v>29</v>
      </c>
      <c r="E787">
        <v>26</v>
      </c>
      <c r="F787" t="s">
        <v>66</v>
      </c>
      <c r="G787" t="s">
        <v>165</v>
      </c>
      <c r="H787" t="s">
        <v>82</v>
      </c>
      <c r="I787" t="e">
        <f ca="1">_xludf.XLOOKUP(H787,Base_Planos!$A:$A,Base_Planos!$B:$B,"Não encontrado")</f>
        <v>#NAME?</v>
      </c>
      <c r="J787" s="2">
        <f>VLOOKUP(H787,Base_Planos!$A:$G,4,FALSE)</f>
        <v>149.9</v>
      </c>
      <c r="K787" s="4">
        <v>46090</v>
      </c>
      <c r="L787" t="s">
        <v>292</v>
      </c>
      <c r="M787" t="s">
        <v>44</v>
      </c>
      <c r="N787" s="4"/>
      <c r="O787" s="10">
        <f t="shared" ca="1" si="76"/>
        <v>79</v>
      </c>
      <c r="P787" s="10" t="str">
        <f t="shared" ca="1" si="73"/>
        <v>31 a 90 dias</v>
      </c>
      <c r="Q787">
        <f t="shared" si="72"/>
        <v>0</v>
      </c>
      <c r="R787">
        <v>8</v>
      </c>
      <c r="S787" s="11">
        <f t="shared" si="77"/>
        <v>0</v>
      </c>
      <c r="T787" s="11" t="str">
        <f t="shared" si="74"/>
        <v>Neutro</v>
      </c>
      <c r="U787" s="11" t="str">
        <f t="shared" si="75"/>
        <v>Médio risco</v>
      </c>
      <c r="V787">
        <v>1</v>
      </c>
      <c r="W787">
        <v>37</v>
      </c>
      <c r="X787" s="2">
        <v>149.25</v>
      </c>
      <c r="Y787">
        <v>2</v>
      </c>
      <c r="Z787" t="s">
        <v>35</v>
      </c>
    </row>
    <row r="788" spans="1:26">
      <c r="A788" t="s">
        <v>1345</v>
      </c>
      <c r="B788" t="s">
        <v>1346</v>
      </c>
      <c r="C788" t="s">
        <v>59</v>
      </c>
      <c r="D788" t="s">
        <v>60</v>
      </c>
      <c r="E788">
        <v>31</v>
      </c>
      <c r="F788" t="s">
        <v>54</v>
      </c>
      <c r="G788" t="s">
        <v>104</v>
      </c>
      <c r="H788" t="s">
        <v>112</v>
      </c>
      <c r="I788" t="e">
        <f ca="1">_xludf.XLOOKUP(H788,Base_Planos!$A:$A,Base_Planos!$B:$B,"Não encontrado")</f>
        <v>#NAME?</v>
      </c>
      <c r="J788" s="2">
        <f>VLOOKUP(H788,Base_Planos!$A:$G,4,FALSE)</f>
        <v>79.900000000000006</v>
      </c>
      <c r="K788" s="4">
        <v>45657</v>
      </c>
      <c r="L788" t="s">
        <v>49</v>
      </c>
      <c r="M788" t="s">
        <v>44</v>
      </c>
      <c r="N788" s="4"/>
      <c r="O788" s="10">
        <f t="shared" ca="1" si="76"/>
        <v>512</v>
      </c>
      <c r="P788" s="10" t="str">
        <f t="shared" ca="1" si="73"/>
        <v>Mais de 1 ano</v>
      </c>
      <c r="Q788">
        <f t="shared" si="72"/>
        <v>1</v>
      </c>
      <c r="R788">
        <v>9</v>
      </c>
      <c r="S788" s="11">
        <f t="shared" si="77"/>
        <v>79.900000000000006</v>
      </c>
      <c r="T788" s="11" t="str">
        <f t="shared" si="74"/>
        <v>Promotor</v>
      </c>
      <c r="U788" s="11" t="str">
        <f t="shared" si="75"/>
        <v>Alto risco</v>
      </c>
      <c r="V788">
        <v>2</v>
      </c>
      <c r="W788">
        <v>24</v>
      </c>
      <c r="X788" s="2">
        <v>77.91</v>
      </c>
      <c r="Y788">
        <v>17</v>
      </c>
      <c r="Z788" t="s">
        <v>35</v>
      </c>
    </row>
    <row r="789" spans="1:26">
      <c r="A789" t="s">
        <v>1347</v>
      </c>
      <c r="B789" t="s">
        <v>1342</v>
      </c>
      <c r="C789" t="s">
        <v>90</v>
      </c>
      <c r="D789" t="s">
        <v>29</v>
      </c>
      <c r="E789">
        <v>23</v>
      </c>
      <c r="F789" t="s">
        <v>30</v>
      </c>
      <c r="G789" t="s">
        <v>73</v>
      </c>
      <c r="H789" t="s">
        <v>32</v>
      </c>
      <c r="I789" t="e">
        <f ca="1">_xludf.XLOOKUP(H789,Base_Planos!$A:$A,Base_Planos!$B:$B,"Não encontrado")</f>
        <v>#NAME?</v>
      </c>
      <c r="J789" s="2">
        <f>VLOOKUP(H789,Base_Planos!$A:$G,4,FALSE)</f>
        <v>39.9</v>
      </c>
      <c r="K789" s="4">
        <v>45948</v>
      </c>
      <c r="L789" t="s">
        <v>196</v>
      </c>
      <c r="M789" t="s">
        <v>44</v>
      </c>
      <c r="N789" s="4"/>
      <c r="O789" s="10">
        <f t="shared" ca="1" si="76"/>
        <v>221</v>
      </c>
      <c r="P789" s="10" t="str">
        <f t="shared" ca="1" si="73"/>
        <v>181 a 365 dias</v>
      </c>
      <c r="Q789">
        <f t="shared" si="72"/>
        <v>0</v>
      </c>
      <c r="R789">
        <v>3</v>
      </c>
      <c r="S789" s="11">
        <f t="shared" si="77"/>
        <v>0</v>
      </c>
      <c r="T789" s="11" t="str">
        <f t="shared" si="74"/>
        <v>Detrator</v>
      </c>
      <c r="U789" s="11" t="str">
        <f t="shared" si="75"/>
        <v>Alto risco</v>
      </c>
      <c r="V789">
        <v>0</v>
      </c>
      <c r="W789">
        <v>68</v>
      </c>
      <c r="X789" s="2">
        <v>36.229999999999997</v>
      </c>
      <c r="Y789">
        <v>7</v>
      </c>
      <c r="Z789" t="s">
        <v>45</v>
      </c>
    </row>
    <row r="790" spans="1:26">
      <c r="A790" t="s">
        <v>1348</v>
      </c>
      <c r="B790" t="s">
        <v>980</v>
      </c>
      <c r="C790" t="s">
        <v>71</v>
      </c>
      <c r="D790" t="s">
        <v>72</v>
      </c>
      <c r="E790">
        <v>63</v>
      </c>
      <c r="F790" t="s">
        <v>54</v>
      </c>
      <c r="G790" t="s">
        <v>96</v>
      </c>
      <c r="H790" t="s">
        <v>166</v>
      </c>
      <c r="I790" t="e">
        <f ca="1">_xludf.XLOOKUP(H790,Base_Planos!$A:$A,Base_Planos!$B:$B,"Não encontrado")</f>
        <v>#NAME?</v>
      </c>
      <c r="J790" s="2">
        <f>VLOOKUP(H790,Base_Planos!$A:$G,4,FALSE)</f>
        <v>399.9</v>
      </c>
      <c r="K790" s="4">
        <v>45080</v>
      </c>
      <c r="L790" t="s">
        <v>328</v>
      </c>
      <c r="M790" t="s">
        <v>44</v>
      </c>
      <c r="N790" s="4"/>
      <c r="O790" s="10">
        <f t="shared" ca="1" si="76"/>
        <v>1089</v>
      </c>
      <c r="P790" s="10" t="str">
        <f t="shared" ca="1" si="73"/>
        <v>Mais de 1 ano</v>
      </c>
      <c r="Q790">
        <f t="shared" ref="Q790:Q853" si="78">IF(M567="Cancelado",1,0)</f>
        <v>0</v>
      </c>
      <c r="R790">
        <v>8</v>
      </c>
      <c r="S790" s="11">
        <f t="shared" si="77"/>
        <v>0</v>
      </c>
      <c r="T790" s="11" t="str">
        <f t="shared" si="74"/>
        <v>Neutro</v>
      </c>
      <c r="U790" s="11" t="str">
        <f t="shared" si="75"/>
        <v>Médio risco</v>
      </c>
      <c r="V790">
        <v>3</v>
      </c>
      <c r="W790">
        <v>31</v>
      </c>
      <c r="X790" s="2">
        <v>371.84</v>
      </c>
      <c r="Y790">
        <v>36</v>
      </c>
      <c r="Z790" t="s">
        <v>35</v>
      </c>
    </row>
    <row r="791" spans="1:26">
      <c r="A791" t="s">
        <v>1349</v>
      </c>
      <c r="B791" t="s">
        <v>1350</v>
      </c>
      <c r="C791" t="s">
        <v>137</v>
      </c>
      <c r="D791" t="s">
        <v>29</v>
      </c>
      <c r="E791">
        <v>25</v>
      </c>
      <c r="F791" t="s">
        <v>54</v>
      </c>
      <c r="G791" t="s">
        <v>73</v>
      </c>
      <c r="H791" t="s">
        <v>61</v>
      </c>
      <c r="I791" t="e">
        <f ca="1">_xludf.XLOOKUP(H791,Base_Planos!$A:$A,Base_Planos!$B:$B,"Não encontrado")</f>
        <v>#NAME?</v>
      </c>
      <c r="J791" s="2">
        <f>VLOOKUP(H791,Base_Planos!$A:$G,4,FALSE)</f>
        <v>59.9</v>
      </c>
      <c r="K791" s="4">
        <v>44993</v>
      </c>
      <c r="L791" t="s">
        <v>68</v>
      </c>
      <c r="M791" t="s">
        <v>34</v>
      </c>
      <c r="N791" s="4">
        <v>45441</v>
      </c>
      <c r="O791" s="10">
        <f t="shared" ca="1" si="76"/>
        <v>448</v>
      </c>
      <c r="P791" s="10" t="str">
        <f t="shared" ca="1" si="73"/>
        <v>Mais de 1 ano</v>
      </c>
      <c r="Q791">
        <f t="shared" si="78"/>
        <v>0</v>
      </c>
      <c r="R791">
        <v>5</v>
      </c>
      <c r="S791" s="11">
        <f t="shared" si="77"/>
        <v>0</v>
      </c>
      <c r="T791" s="11" t="str">
        <f t="shared" si="74"/>
        <v>Detrator</v>
      </c>
      <c r="U791" s="11" t="str">
        <f t="shared" si="75"/>
        <v>Alto risco</v>
      </c>
      <c r="V791">
        <v>2</v>
      </c>
      <c r="W791">
        <v>65</v>
      </c>
      <c r="X791" s="2">
        <v>61.99</v>
      </c>
      <c r="Y791">
        <v>14</v>
      </c>
      <c r="Z791" t="s">
        <v>35</v>
      </c>
    </row>
    <row r="792" spans="1:26">
      <c r="A792" t="s">
        <v>1351</v>
      </c>
      <c r="B792" t="s">
        <v>702</v>
      </c>
      <c r="C792" t="s">
        <v>59</v>
      </c>
      <c r="D792" t="s">
        <v>60</v>
      </c>
      <c r="E792">
        <v>49</v>
      </c>
      <c r="F792" t="s">
        <v>30</v>
      </c>
      <c r="G792" t="s">
        <v>67</v>
      </c>
      <c r="H792" t="s">
        <v>112</v>
      </c>
      <c r="I792" t="e">
        <f ca="1">_xludf.XLOOKUP(H792,Base_Planos!$A:$A,Base_Planos!$B:$B,"Não encontrado")</f>
        <v>#NAME?</v>
      </c>
      <c r="J792" s="2">
        <f>VLOOKUP(H792,Base_Planos!$A:$G,4,FALSE)</f>
        <v>79.900000000000006</v>
      </c>
      <c r="K792" s="4">
        <v>45071</v>
      </c>
      <c r="L792" t="s">
        <v>115</v>
      </c>
      <c r="M792" t="s">
        <v>44</v>
      </c>
      <c r="N792" s="4"/>
      <c r="O792" s="10">
        <f t="shared" ca="1" si="76"/>
        <v>1098</v>
      </c>
      <c r="P792" s="10" t="str">
        <f t="shared" ca="1" si="73"/>
        <v>Mais de 1 ano</v>
      </c>
      <c r="Q792">
        <f t="shared" si="78"/>
        <v>0</v>
      </c>
      <c r="R792">
        <v>6</v>
      </c>
      <c r="S792" s="11">
        <f t="shared" si="77"/>
        <v>0</v>
      </c>
      <c r="T792" s="11" t="str">
        <f t="shared" si="74"/>
        <v>Detrator</v>
      </c>
      <c r="U792" s="11" t="str">
        <f t="shared" si="75"/>
        <v>Alto risco</v>
      </c>
      <c r="V792">
        <v>0</v>
      </c>
      <c r="W792">
        <v>34</v>
      </c>
      <c r="X792" s="2">
        <v>83.04</v>
      </c>
      <c r="Y792">
        <v>36</v>
      </c>
      <c r="Z792" t="s">
        <v>35</v>
      </c>
    </row>
    <row r="793" spans="1:26">
      <c r="A793" t="s">
        <v>1352</v>
      </c>
      <c r="B793" t="s">
        <v>1353</v>
      </c>
      <c r="C793" t="s">
        <v>102</v>
      </c>
      <c r="D793" t="s">
        <v>103</v>
      </c>
      <c r="E793">
        <v>20</v>
      </c>
      <c r="F793" t="s">
        <v>54</v>
      </c>
      <c r="G793" t="s">
        <v>31</v>
      </c>
      <c r="H793" t="s">
        <v>61</v>
      </c>
      <c r="I793" t="e">
        <f ca="1">_xludf.XLOOKUP(H793,Base_Planos!$A:$A,Base_Planos!$B:$B,"Não encontrado")</f>
        <v>#NAME?</v>
      </c>
      <c r="J793" s="2">
        <f>VLOOKUP(H793,Base_Planos!$A:$G,4,FALSE)</f>
        <v>59.9</v>
      </c>
      <c r="K793" s="4">
        <v>45810</v>
      </c>
      <c r="L793" t="s">
        <v>167</v>
      </c>
      <c r="M793" t="s">
        <v>34</v>
      </c>
      <c r="N793" s="4">
        <v>45868</v>
      </c>
      <c r="O793" s="10">
        <f t="shared" ca="1" si="76"/>
        <v>58</v>
      </c>
      <c r="P793" s="10" t="str">
        <f t="shared" ca="1" si="73"/>
        <v>31 a 90 dias</v>
      </c>
      <c r="Q793">
        <f t="shared" si="78"/>
        <v>0</v>
      </c>
      <c r="R793">
        <v>7</v>
      </c>
      <c r="S793" s="11">
        <f t="shared" si="77"/>
        <v>0</v>
      </c>
      <c r="T793" s="11" t="str">
        <f t="shared" si="74"/>
        <v>Neutro</v>
      </c>
      <c r="U793" s="11" t="str">
        <f t="shared" si="75"/>
        <v>Médio risco</v>
      </c>
      <c r="V793">
        <v>4</v>
      </c>
      <c r="W793">
        <v>100</v>
      </c>
      <c r="X793" s="2">
        <v>60.18</v>
      </c>
      <c r="Y793">
        <v>1</v>
      </c>
      <c r="Z793" t="s">
        <v>50</v>
      </c>
    </row>
    <row r="794" spans="1:26">
      <c r="A794" t="s">
        <v>1354</v>
      </c>
      <c r="B794" t="s">
        <v>1355</v>
      </c>
      <c r="C794" t="s">
        <v>38</v>
      </c>
      <c r="D794" t="s">
        <v>39</v>
      </c>
      <c r="E794">
        <v>56</v>
      </c>
      <c r="F794" t="s">
        <v>66</v>
      </c>
      <c r="G794" t="s">
        <v>67</v>
      </c>
      <c r="H794" t="s">
        <v>61</v>
      </c>
      <c r="I794" t="e">
        <f ca="1">_xludf.XLOOKUP(H794,Base_Planos!$A:$A,Base_Planos!$B:$B,"Não encontrado")</f>
        <v>#NAME?</v>
      </c>
      <c r="J794" s="2">
        <f>VLOOKUP(H794,Base_Planos!$A:$G,4,FALSE)</f>
        <v>59.9</v>
      </c>
      <c r="K794" s="4">
        <v>45033</v>
      </c>
      <c r="L794" t="s">
        <v>118</v>
      </c>
      <c r="M794" t="s">
        <v>44</v>
      </c>
      <c r="N794" s="4"/>
      <c r="O794" s="10">
        <f t="shared" ca="1" si="76"/>
        <v>1136</v>
      </c>
      <c r="P794" s="10" t="str">
        <f t="shared" ca="1" si="73"/>
        <v>Mais de 1 ano</v>
      </c>
      <c r="Q794">
        <f t="shared" si="78"/>
        <v>0</v>
      </c>
      <c r="R794">
        <v>6</v>
      </c>
      <c r="S794" s="11">
        <f t="shared" si="77"/>
        <v>0</v>
      </c>
      <c r="T794" s="11" t="str">
        <f t="shared" si="74"/>
        <v>Detrator</v>
      </c>
      <c r="U794" s="11" t="str">
        <f t="shared" si="75"/>
        <v>Alto risco</v>
      </c>
      <c r="V794">
        <v>0</v>
      </c>
      <c r="W794">
        <v>14</v>
      </c>
      <c r="X794" s="2">
        <v>52.57</v>
      </c>
      <c r="Y794">
        <v>37</v>
      </c>
      <c r="Z794" t="s">
        <v>35</v>
      </c>
    </row>
    <row r="795" spans="1:26">
      <c r="A795" t="s">
        <v>1356</v>
      </c>
      <c r="B795" t="s">
        <v>217</v>
      </c>
      <c r="C795" t="s">
        <v>90</v>
      </c>
      <c r="D795" t="s">
        <v>29</v>
      </c>
      <c r="E795">
        <v>41</v>
      </c>
      <c r="F795" t="s">
        <v>54</v>
      </c>
      <c r="G795" t="s">
        <v>165</v>
      </c>
      <c r="H795" t="s">
        <v>112</v>
      </c>
      <c r="I795" t="e">
        <f ca="1">_xludf.XLOOKUP(H795,Base_Planos!$A:$A,Base_Planos!$B:$B,"Não encontrado")</f>
        <v>#NAME?</v>
      </c>
      <c r="J795" s="2">
        <f>VLOOKUP(H795,Base_Planos!$A:$G,4,FALSE)</f>
        <v>79.900000000000006</v>
      </c>
      <c r="K795" s="4">
        <v>45045</v>
      </c>
      <c r="L795" t="s">
        <v>118</v>
      </c>
      <c r="M795" t="s">
        <v>44</v>
      </c>
      <c r="N795" s="4"/>
      <c r="O795" s="10">
        <f t="shared" ca="1" si="76"/>
        <v>1124</v>
      </c>
      <c r="P795" s="10" t="str">
        <f t="shared" ca="1" si="73"/>
        <v>Mais de 1 ano</v>
      </c>
      <c r="Q795">
        <f t="shared" si="78"/>
        <v>1</v>
      </c>
      <c r="R795">
        <v>3</v>
      </c>
      <c r="S795" s="11">
        <f t="shared" si="77"/>
        <v>79.900000000000006</v>
      </c>
      <c r="T795" s="11" t="str">
        <f t="shared" si="74"/>
        <v>Detrator</v>
      </c>
      <c r="U795" s="11" t="str">
        <f t="shared" si="75"/>
        <v>Alto risco</v>
      </c>
      <c r="V795">
        <v>0</v>
      </c>
      <c r="W795">
        <v>94</v>
      </c>
      <c r="X795" s="2">
        <v>82.11</v>
      </c>
      <c r="Y795">
        <v>37</v>
      </c>
      <c r="Z795" t="s">
        <v>35</v>
      </c>
    </row>
    <row r="796" spans="1:26">
      <c r="A796" t="s">
        <v>1357</v>
      </c>
      <c r="B796" t="s">
        <v>1358</v>
      </c>
      <c r="C796" t="s">
        <v>90</v>
      </c>
      <c r="D796" t="s">
        <v>29</v>
      </c>
      <c r="E796">
        <v>20</v>
      </c>
      <c r="F796" t="s">
        <v>201</v>
      </c>
      <c r="G796" t="s">
        <v>67</v>
      </c>
      <c r="H796" t="s">
        <v>86</v>
      </c>
      <c r="I796" t="e">
        <f ca="1">_xludf.XLOOKUP(H796,Base_Planos!$A:$A,Base_Planos!$B:$B,"Não encontrado")</f>
        <v>#NAME?</v>
      </c>
      <c r="J796" s="2">
        <f>VLOOKUP(H796,Base_Planos!$A:$G,4,FALSE)</f>
        <v>119.9</v>
      </c>
      <c r="K796" s="4">
        <v>45438</v>
      </c>
      <c r="L796" t="s">
        <v>130</v>
      </c>
      <c r="M796" t="s">
        <v>34</v>
      </c>
      <c r="N796" s="4">
        <v>45826</v>
      </c>
      <c r="O796" s="10">
        <f t="shared" ca="1" si="76"/>
        <v>388</v>
      </c>
      <c r="P796" s="10" t="str">
        <f t="shared" ca="1" si="73"/>
        <v>Mais de 1 ano</v>
      </c>
      <c r="Q796">
        <f t="shared" si="78"/>
        <v>1</v>
      </c>
      <c r="R796">
        <v>0</v>
      </c>
      <c r="S796" s="11">
        <f t="shared" si="77"/>
        <v>119.9</v>
      </c>
      <c r="T796" s="11" t="str">
        <f t="shared" si="74"/>
        <v>Detrator</v>
      </c>
      <c r="U796" s="11" t="str">
        <f t="shared" si="75"/>
        <v>Alto risco</v>
      </c>
      <c r="V796">
        <v>0</v>
      </c>
      <c r="W796">
        <v>63</v>
      </c>
      <c r="X796" s="2">
        <v>123.27</v>
      </c>
      <c r="Y796">
        <v>12</v>
      </c>
      <c r="Z796" t="s">
        <v>35</v>
      </c>
    </row>
    <row r="797" spans="1:26">
      <c r="A797" t="s">
        <v>1359</v>
      </c>
      <c r="B797" t="s">
        <v>1360</v>
      </c>
      <c r="C797" t="s">
        <v>90</v>
      </c>
      <c r="D797" t="s">
        <v>29</v>
      </c>
      <c r="E797">
        <v>43</v>
      </c>
      <c r="F797" t="s">
        <v>54</v>
      </c>
      <c r="G797" t="s">
        <v>55</v>
      </c>
      <c r="H797" t="s">
        <v>61</v>
      </c>
      <c r="I797" t="e">
        <f ca="1">_xludf.XLOOKUP(H797,Base_Planos!$A:$A,Base_Planos!$B:$B,"Não encontrado")</f>
        <v>#NAME?</v>
      </c>
      <c r="J797" s="2">
        <f>VLOOKUP(H797,Base_Planos!$A:$G,4,FALSE)</f>
        <v>59.9</v>
      </c>
      <c r="K797" s="4">
        <v>45083</v>
      </c>
      <c r="L797" t="s">
        <v>328</v>
      </c>
      <c r="M797" t="s">
        <v>44</v>
      </c>
      <c r="N797" s="4"/>
      <c r="O797" s="10">
        <f t="shared" ca="1" si="76"/>
        <v>1086</v>
      </c>
      <c r="P797" s="10" t="str">
        <f t="shared" ca="1" si="73"/>
        <v>Mais de 1 ano</v>
      </c>
      <c r="Q797">
        <f t="shared" si="78"/>
        <v>0</v>
      </c>
      <c r="R797">
        <v>4</v>
      </c>
      <c r="S797" s="11">
        <f t="shared" si="77"/>
        <v>0</v>
      </c>
      <c r="T797" s="11" t="str">
        <f t="shared" si="74"/>
        <v>Detrator</v>
      </c>
      <c r="U797" s="11" t="str">
        <f t="shared" si="75"/>
        <v>Alto risco</v>
      </c>
      <c r="V797">
        <v>1</v>
      </c>
      <c r="W797">
        <v>49</v>
      </c>
      <c r="X797" s="2">
        <v>61.67</v>
      </c>
      <c r="Y797">
        <v>36</v>
      </c>
      <c r="Z797" t="s">
        <v>35</v>
      </c>
    </row>
    <row r="798" spans="1:26">
      <c r="A798" t="s">
        <v>1361</v>
      </c>
      <c r="B798" t="s">
        <v>114</v>
      </c>
      <c r="C798" t="s">
        <v>77</v>
      </c>
      <c r="D798" t="s">
        <v>78</v>
      </c>
      <c r="E798">
        <v>63</v>
      </c>
      <c r="F798" t="s">
        <v>30</v>
      </c>
      <c r="G798" t="s">
        <v>165</v>
      </c>
      <c r="H798" t="s">
        <v>82</v>
      </c>
      <c r="I798" t="e">
        <f ca="1">_xludf.XLOOKUP(H798,Base_Planos!$A:$A,Base_Planos!$B:$B,"Não encontrado")</f>
        <v>#NAME?</v>
      </c>
      <c r="J798" s="2">
        <f>VLOOKUP(H798,Base_Planos!$A:$G,4,FALSE)</f>
        <v>149.9</v>
      </c>
      <c r="K798" s="4">
        <v>45526</v>
      </c>
      <c r="L798" t="s">
        <v>156</v>
      </c>
      <c r="M798" t="s">
        <v>44</v>
      </c>
      <c r="N798" s="4"/>
      <c r="O798" s="10">
        <f t="shared" ca="1" si="76"/>
        <v>643</v>
      </c>
      <c r="P798" s="10" t="str">
        <f t="shared" ca="1" si="73"/>
        <v>Mais de 1 ano</v>
      </c>
      <c r="Q798">
        <f t="shared" si="78"/>
        <v>0</v>
      </c>
      <c r="R798">
        <v>10</v>
      </c>
      <c r="S798" s="11">
        <f t="shared" si="77"/>
        <v>0</v>
      </c>
      <c r="T798" s="11" t="str">
        <f t="shared" si="74"/>
        <v>Promotor</v>
      </c>
      <c r="U798" s="11" t="str">
        <f t="shared" si="75"/>
        <v>Baixo risco</v>
      </c>
      <c r="V798">
        <v>0</v>
      </c>
      <c r="W798">
        <v>100</v>
      </c>
      <c r="X798" s="2">
        <v>130.54</v>
      </c>
      <c r="Y798">
        <v>21</v>
      </c>
      <c r="Z798" t="s">
        <v>50</v>
      </c>
    </row>
    <row r="799" spans="1:26">
      <c r="A799" t="s">
        <v>1362</v>
      </c>
      <c r="B799" t="s">
        <v>611</v>
      </c>
      <c r="C799" t="s">
        <v>137</v>
      </c>
      <c r="D799" t="s">
        <v>29</v>
      </c>
      <c r="E799">
        <v>57</v>
      </c>
      <c r="F799" t="s">
        <v>54</v>
      </c>
      <c r="G799" t="s">
        <v>55</v>
      </c>
      <c r="H799" t="s">
        <v>42</v>
      </c>
      <c r="I799" t="e">
        <f ca="1">_xludf.XLOOKUP(H799,Base_Planos!$A:$A,Base_Planos!$B:$B,"Não encontrado")</f>
        <v>#NAME?</v>
      </c>
      <c r="J799" s="2">
        <f>VLOOKUP(H799,Base_Planos!$A:$G,4,FALSE)</f>
        <v>29.9</v>
      </c>
      <c r="K799" s="4">
        <v>45207</v>
      </c>
      <c r="L799" t="s">
        <v>215</v>
      </c>
      <c r="M799" t="s">
        <v>44</v>
      </c>
      <c r="N799" s="4"/>
      <c r="O799" s="10">
        <f t="shared" ca="1" si="76"/>
        <v>962</v>
      </c>
      <c r="P799" s="10" t="str">
        <f t="shared" ca="1" si="73"/>
        <v>Mais de 1 ano</v>
      </c>
      <c r="Q799">
        <f t="shared" si="78"/>
        <v>0</v>
      </c>
      <c r="R799">
        <v>8</v>
      </c>
      <c r="S799" s="11">
        <f t="shared" si="77"/>
        <v>0</v>
      </c>
      <c r="T799" s="11" t="str">
        <f t="shared" si="74"/>
        <v>Neutro</v>
      </c>
      <c r="U799" s="11" t="str">
        <f t="shared" si="75"/>
        <v>Médio risco</v>
      </c>
      <c r="V799">
        <v>0</v>
      </c>
      <c r="W799">
        <v>100</v>
      </c>
      <c r="X799" s="2">
        <v>30.3</v>
      </c>
      <c r="Y799">
        <v>32</v>
      </c>
      <c r="Z799" t="s">
        <v>50</v>
      </c>
    </row>
    <row r="800" spans="1:26">
      <c r="A800" t="s">
        <v>1363</v>
      </c>
      <c r="B800" t="s">
        <v>741</v>
      </c>
      <c r="C800" t="s">
        <v>59</v>
      </c>
      <c r="D800" t="s">
        <v>60</v>
      </c>
      <c r="E800">
        <v>62</v>
      </c>
      <c r="F800" t="s">
        <v>54</v>
      </c>
      <c r="G800" t="s">
        <v>104</v>
      </c>
      <c r="H800" t="s">
        <v>166</v>
      </c>
      <c r="I800" t="e">
        <f ca="1">_xludf.XLOOKUP(H800,Base_Planos!$A:$A,Base_Planos!$B:$B,"Não encontrado")</f>
        <v>#NAME?</v>
      </c>
      <c r="J800" s="2">
        <f>VLOOKUP(H800,Base_Planos!$A:$G,4,FALSE)</f>
        <v>399.9</v>
      </c>
      <c r="K800" s="4">
        <v>44970</v>
      </c>
      <c r="L800" t="s">
        <v>425</v>
      </c>
      <c r="M800" t="s">
        <v>44</v>
      </c>
      <c r="N800" s="4"/>
      <c r="O800" s="10">
        <f t="shared" ca="1" si="76"/>
        <v>1199</v>
      </c>
      <c r="P800" s="10" t="str">
        <f t="shared" ca="1" si="73"/>
        <v>Mais de 1 ano</v>
      </c>
      <c r="Q800">
        <f t="shared" si="78"/>
        <v>0</v>
      </c>
      <c r="R800">
        <v>7</v>
      </c>
      <c r="S800" s="11">
        <f t="shared" si="77"/>
        <v>0</v>
      </c>
      <c r="T800" s="11" t="str">
        <f t="shared" si="74"/>
        <v>Neutro</v>
      </c>
      <c r="U800" s="11" t="str">
        <f t="shared" si="75"/>
        <v>Médio risco</v>
      </c>
      <c r="V800">
        <v>1</v>
      </c>
      <c r="W800">
        <v>37</v>
      </c>
      <c r="X800" s="2">
        <v>417.1</v>
      </c>
      <c r="Y800">
        <v>39</v>
      </c>
      <c r="Z800" t="s">
        <v>35</v>
      </c>
    </row>
    <row r="801" spans="1:26">
      <c r="A801" t="s">
        <v>1364</v>
      </c>
      <c r="B801" t="s">
        <v>1365</v>
      </c>
      <c r="C801" t="s">
        <v>53</v>
      </c>
      <c r="D801" t="s">
        <v>29</v>
      </c>
      <c r="E801">
        <v>57</v>
      </c>
      <c r="F801" t="s">
        <v>54</v>
      </c>
      <c r="G801" t="s">
        <v>67</v>
      </c>
      <c r="H801" t="s">
        <v>86</v>
      </c>
      <c r="I801" t="e">
        <f ca="1">_xludf.XLOOKUP(H801,Base_Planos!$A:$A,Base_Planos!$B:$B,"Não encontrado")</f>
        <v>#NAME?</v>
      </c>
      <c r="J801" s="2">
        <f>VLOOKUP(H801,Base_Planos!$A:$G,4,FALSE)</f>
        <v>119.9</v>
      </c>
      <c r="K801" s="4">
        <v>45714</v>
      </c>
      <c r="L801" t="s">
        <v>289</v>
      </c>
      <c r="M801" t="s">
        <v>44</v>
      </c>
      <c r="N801" s="4"/>
      <c r="O801" s="10">
        <f t="shared" ca="1" si="76"/>
        <v>455</v>
      </c>
      <c r="P801" s="10" t="str">
        <f t="shared" ca="1" si="73"/>
        <v>Mais de 1 ano</v>
      </c>
      <c r="Q801">
        <f t="shared" si="78"/>
        <v>1</v>
      </c>
      <c r="R801">
        <v>7</v>
      </c>
      <c r="S801" s="11">
        <f t="shared" si="77"/>
        <v>119.9</v>
      </c>
      <c r="T801" s="11" t="str">
        <f t="shared" si="74"/>
        <v>Neutro</v>
      </c>
      <c r="U801" s="11" t="str">
        <f t="shared" si="75"/>
        <v>Alto risco</v>
      </c>
      <c r="V801">
        <v>0</v>
      </c>
      <c r="W801">
        <v>62</v>
      </c>
      <c r="X801" s="2">
        <v>103.17</v>
      </c>
      <c r="Y801">
        <v>15</v>
      </c>
      <c r="Z801" t="s">
        <v>50</v>
      </c>
    </row>
    <row r="802" spans="1:26">
      <c r="A802" t="s">
        <v>1366</v>
      </c>
      <c r="B802" t="s">
        <v>465</v>
      </c>
      <c r="C802" t="s">
        <v>38</v>
      </c>
      <c r="D802" t="s">
        <v>39</v>
      </c>
      <c r="E802">
        <v>40</v>
      </c>
      <c r="F802" t="s">
        <v>66</v>
      </c>
      <c r="G802" t="s">
        <v>165</v>
      </c>
      <c r="H802" t="s">
        <v>86</v>
      </c>
      <c r="I802" t="e">
        <f ca="1">_xludf.XLOOKUP(H802,Base_Planos!$A:$A,Base_Planos!$B:$B,"Não encontrado")</f>
        <v>#NAME?</v>
      </c>
      <c r="J802" s="2">
        <f>VLOOKUP(H802,Base_Planos!$A:$G,4,FALSE)</f>
        <v>119.9</v>
      </c>
      <c r="K802" s="4">
        <v>45464</v>
      </c>
      <c r="L802" t="s">
        <v>145</v>
      </c>
      <c r="M802" t="s">
        <v>44</v>
      </c>
      <c r="N802" s="4"/>
      <c r="O802" s="10">
        <f t="shared" ca="1" si="76"/>
        <v>705</v>
      </c>
      <c r="P802" s="10" t="str">
        <f t="shared" ca="1" si="73"/>
        <v>Mais de 1 ano</v>
      </c>
      <c r="Q802">
        <f t="shared" si="78"/>
        <v>1</v>
      </c>
      <c r="R802">
        <v>9</v>
      </c>
      <c r="S802" s="11">
        <f t="shared" si="77"/>
        <v>119.9</v>
      </c>
      <c r="T802" s="11" t="str">
        <f t="shared" si="74"/>
        <v>Promotor</v>
      </c>
      <c r="U802" s="11" t="str">
        <f t="shared" si="75"/>
        <v>Alto risco</v>
      </c>
      <c r="V802">
        <v>1</v>
      </c>
      <c r="W802">
        <v>63</v>
      </c>
      <c r="X802" s="2">
        <v>122.68</v>
      </c>
      <c r="Y802">
        <v>23</v>
      </c>
      <c r="Z802" t="s">
        <v>50</v>
      </c>
    </row>
    <row r="803" spans="1:26">
      <c r="A803" t="s">
        <v>1367</v>
      </c>
      <c r="B803" t="s">
        <v>558</v>
      </c>
      <c r="C803" t="s">
        <v>48</v>
      </c>
      <c r="D803" t="s">
        <v>29</v>
      </c>
      <c r="E803">
        <v>24</v>
      </c>
      <c r="F803" t="s">
        <v>54</v>
      </c>
      <c r="G803" t="s">
        <v>73</v>
      </c>
      <c r="H803" t="s">
        <v>86</v>
      </c>
      <c r="I803" t="e">
        <f ca="1">_xludf.XLOOKUP(H803,Base_Planos!$A:$A,Base_Planos!$B:$B,"Não encontrado")</f>
        <v>#NAME?</v>
      </c>
      <c r="J803" s="2">
        <f>VLOOKUP(H803,Base_Planos!$A:$G,4,FALSE)</f>
        <v>119.9</v>
      </c>
      <c r="K803" s="4">
        <v>46022</v>
      </c>
      <c r="L803" t="s">
        <v>170</v>
      </c>
      <c r="M803" t="s">
        <v>44</v>
      </c>
      <c r="N803" s="4"/>
      <c r="O803" s="10">
        <f t="shared" ca="1" si="76"/>
        <v>147</v>
      </c>
      <c r="P803" s="10" t="str">
        <f t="shared" ca="1" si="73"/>
        <v>91 a 180 dias</v>
      </c>
      <c r="Q803">
        <f t="shared" si="78"/>
        <v>1</v>
      </c>
      <c r="R803">
        <v>7</v>
      </c>
      <c r="S803" s="11">
        <f t="shared" si="77"/>
        <v>119.9</v>
      </c>
      <c r="T803" s="11" t="str">
        <f t="shared" si="74"/>
        <v>Neutro</v>
      </c>
      <c r="U803" s="11" t="str">
        <f t="shared" si="75"/>
        <v>Alto risco</v>
      </c>
      <c r="V803">
        <v>1</v>
      </c>
      <c r="W803">
        <v>77</v>
      </c>
      <c r="X803" s="2">
        <v>124.94</v>
      </c>
      <c r="Y803">
        <v>4</v>
      </c>
      <c r="Z803" t="s">
        <v>50</v>
      </c>
    </row>
    <row r="804" spans="1:26">
      <c r="A804" t="s">
        <v>1368</v>
      </c>
      <c r="B804" t="s">
        <v>743</v>
      </c>
      <c r="C804" t="s">
        <v>94</v>
      </c>
      <c r="D804" t="s">
        <v>95</v>
      </c>
      <c r="E804">
        <v>18</v>
      </c>
      <c r="F804" t="s">
        <v>30</v>
      </c>
      <c r="G804" t="s">
        <v>73</v>
      </c>
      <c r="H804" t="s">
        <v>32</v>
      </c>
      <c r="I804" t="e">
        <f ca="1">_xludf.XLOOKUP(H804,Base_Planos!$A:$A,Base_Planos!$B:$B,"Não encontrado")</f>
        <v>#NAME?</v>
      </c>
      <c r="J804" s="2">
        <f>VLOOKUP(H804,Base_Planos!$A:$G,4,FALSE)</f>
        <v>39.9</v>
      </c>
      <c r="K804" s="4">
        <v>45438</v>
      </c>
      <c r="L804" t="s">
        <v>130</v>
      </c>
      <c r="M804" t="s">
        <v>44</v>
      </c>
      <c r="N804" s="4"/>
      <c r="O804" s="10">
        <f t="shared" ca="1" si="76"/>
        <v>731</v>
      </c>
      <c r="P804" s="10" t="str">
        <f t="shared" ca="1" si="73"/>
        <v>Mais de 1 ano</v>
      </c>
      <c r="Q804">
        <f t="shared" si="78"/>
        <v>0</v>
      </c>
      <c r="R804">
        <v>8</v>
      </c>
      <c r="S804" s="11">
        <f t="shared" si="77"/>
        <v>0</v>
      </c>
      <c r="T804" s="11" t="str">
        <f t="shared" si="74"/>
        <v>Neutro</v>
      </c>
      <c r="U804" s="11" t="str">
        <f t="shared" si="75"/>
        <v>Médio risco</v>
      </c>
      <c r="V804">
        <v>0</v>
      </c>
      <c r="W804">
        <v>91</v>
      </c>
      <c r="X804" s="2">
        <v>36.06</v>
      </c>
      <c r="Y804">
        <v>24</v>
      </c>
      <c r="Z804" t="s">
        <v>50</v>
      </c>
    </row>
    <row r="805" spans="1:26">
      <c r="A805" t="s">
        <v>1369</v>
      </c>
      <c r="B805" t="s">
        <v>609</v>
      </c>
      <c r="C805" t="s">
        <v>28</v>
      </c>
      <c r="D805" t="s">
        <v>29</v>
      </c>
      <c r="E805">
        <v>25</v>
      </c>
      <c r="F805" t="s">
        <v>30</v>
      </c>
      <c r="G805" t="s">
        <v>165</v>
      </c>
      <c r="H805" t="s">
        <v>82</v>
      </c>
      <c r="I805" t="e">
        <f ca="1">_xludf.XLOOKUP(H805,Base_Planos!$A:$A,Base_Planos!$B:$B,"Não encontrado")</f>
        <v>#NAME?</v>
      </c>
      <c r="J805" s="2">
        <f>VLOOKUP(H805,Base_Planos!$A:$G,4,FALSE)</f>
        <v>149.9</v>
      </c>
      <c r="K805" s="4">
        <v>45293</v>
      </c>
      <c r="L805" t="s">
        <v>516</v>
      </c>
      <c r="M805" t="s">
        <v>44</v>
      </c>
      <c r="N805" s="4"/>
      <c r="O805" s="10">
        <f t="shared" ca="1" si="76"/>
        <v>876</v>
      </c>
      <c r="P805" s="10" t="str">
        <f t="shared" ca="1" si="73"/>
        <v>Mais de 1 ano</v>
      </c>
      <c r="Q805">
        <f t="shared" si="78"/>
        <v>1</v>
      </c>
      <c r="R805">
        <v>7</v>
      </c>
      <c r="S805" s="11">
        <f t="shared" si="77"/>
        <v>149.9</v>
      </c>
      <c r="T805" s="11" t="str">
        <f t="shared" si="74"/>
        <v>Neutro</v>
      </c>
      <c r="U805" s="11" t="str">
        <f t="shared" si="75"/>
        <v>Alto risco</v>
      </c>
      <c r="V805">
        <v>0</v>
      </c>
      <c r="W805">
        <v>63</v>
      </c>
      <c r="X805" s="2">
        <v>141.81</v>
      </c>
      <c r="Y805">
        <v>29</v>
      </c>
      <c r="Z805" t="s">
        <v>50</v>
      </c>
    </row>
    <row r="806" spans="1:26">
      <c r="A806" t="s">
        <v>1370</v>
      </c>
      <c r="B806" t="s">
        <v>280</v>
      </c>
      <c r="C806" t="s">
        <v>59</v>
      </c>
      <c r="D806" t="s">
        <v>60</v>
      </c>
      <c r="E806">
        <v>44</v>
      </c>
      <c r="F806" t="s">
        <v>30</v>
      </c>
      <c r="G806" t="s">
        <v>55</v>
      </c>
      <c r="H806" t="s">
        <v>42</v>
      </c>
      <c r="I806" t="e">
        <f ca="1">_xludf.XLOOKUP(H806,Base_Planos!$A:$A,Base_Planos!$B:$B,"Não encontrado")</f>
        <v>#NAME?</v>
      </c>
      <c r="J806" s="2">
        <f>VLOOKUP(H806,Base_Planos!$A:$G,4,FALSE)</f>
        <v>29.9</v>
      </c>
      <c r="K806" s="4">
        <v>46056</v>
      </c>
      <c r="L806" t="s">
        <v>74</v>
      </c>
      <c r="M806" t="s">
        <v>44</v>
      </c>
      <c r="N806" s="4"/>
      <c r="O806" s="10">
        <f t="shared" ca="1" si="76"/>
        <v>113</v>
      </c>
      <c r="P806" s="10" t="str">
        <f t="shared" ca="1" si="73"/>
        <v>91 a 180 dias</v>
      </c>
      <c r="Q806">
        <f t="shared" si="78"/>
        <v>1</v>
      </c>
      <c r="R806">
        <v>5</v>
      </c>
      <c r="S806" s="11">
        <f t="shared" si="77"/>
        <v>29.9</v>
      </c>
      <c r="T806" s="11" t="str">
        <f t="shared" si="74"/>
        <v>Detrator</v>
      </c>
      <c r="U806" s="11" t="str">
        <f t="shared" si="75"/>
        <v>Alto risco</v>
      </c>
      <c r="V806">
        <v>0</v>
      </c>
      <c r="W806">
        <v>48</v>
      </c>
      <c r="X806" s="2">
        <v>26.97</v>
      </c>
      <c r="Y806">
        <v>3</v>
      </c>
      <c r="Z806" t="s">
        <v>35</v>
      </c>
    </row>
    <row r="807" spans="1:26">
      <c r="A807" t="s">
        <v>1371</v>
      </c>
      <c r="B807" t="s">
        <v>234</v>
      </c>
      <c r="C807" t="s">
        <v>59</v>
      </c>
      <c r="D807" t="s">
        <v>60</v>
      </c>
      <c r="E807">
        <v>58</v>
      </c>
      <c r="F807" t="s">
        <v>30</v>
      </c>
      <c r="G807" t="s">
        <v>67</v>
      </c>
      <c r="H807" t="s">
        <v>42</v>
      </c>
      <c r="I807" t="e">
        <f ca="1">_xludf.XLOOKUP(H807,Base_Planos!$A:$A,Base_Planos!$B:$B,"Não encontrado")</f>
        <v>#NAME?</v>
      </c>
      <c r="J807" s="2">
        <f>VLOOKUP(H807,Base_Planos!$A:$G,4,FALSE)</f>
        <v>29.9</v>
      </c>
      <c r="K807" s="4">
        <v>45005</v>
      </c>
      <c r="L807" t="s">
        <v>68</v>
      </c>
      <c r="M807" t="s">
        <v>34</v>
      </c>
      <c r="N807" s="4">
        <v>45501</v>
      </c>
      <c r="O807" s="10">
        <f t="shared" ca="1" si="76"/>
        <v>496</v>
      </c>
      <c r="P807" s="10" t="str">
        <f t="shared" ca="1" si="73"/>
        <v>Mais de 1 ano</v>
      </c>
      <c r="Q807">
        <f t="shared" si="78"/>
        <v>0</v>
      </c>
      <c r="R807">
        <v>2</v>
      </c>
      <c r="S807" s="11">
        <f t="shared" si="77"/>
        <v>0</v>
      </c>
      <c r="T807" s="11" t="str">
        <f t="shared" si="74"/>
        <v>Detrator</v>
      </c>
      <c r="U807" s="11" t="str">
        <f t="shared" si="75"/>
        <v>Alto risco</v>
      </c>
      <c r="V807">
        <v>0</v>
      </c>
      <c r="W807">
        <v>6</v>
      </c>
      <c r="X807" s="2">
        <v>29.69</v>
      </c>
      <c r="Y807">
        <v>16</v>
      </c>
      <c r="Z807" t="s">
        <v>45</v>
      </c>
    </row>
    <row r="808" spans="1:26">
      <c r="A808" t="s">
        <v>1372</v>
      </c>
      <c r="B808" t="s">
        <v>1373</v>
      </c>
      <c r="C808" t="s">
        <v>28</v>
      </c>
      <c r="D808" t="s">
        <v>29</v>
      </c>
      <c r="E808">
        <v>61</v>
      </c>
      <c r="F808" t="s">
        <v>66</v>
      </c>
      <c r="G808" t="s">
        <v>165</v>
      </c>
      <c r="H808" t="s">
        <v>61</v>
      </c>
      <c r="I808" t="e">
        <f ca="1">_xludf.XLOOKUP(H808,Base_Planos!$A:$A,Base_Planos!$B:$B,"Não encontrado")</f>
        <v>#NAME?</v>
      </c>
      <c r="J808" s="2">
        <f>VLOOKUP(H808,Base_Planos!$A:$G,4,FALSE)</f>
        <v>59.9</v>
      </c>
      <c r="K808" s="4">
        <v>45018</v>
      </c>
      <c r="L808" t="s">
        <v>118</v>
      </c>
      <c r="M808" t="s">
        <v>34</v>
      </c>
      <c r="N808" s="4">
        <v>45206</v>
      </c>
      <c r="O808" s="10">
        <f t="shared" ca="1" si="76"/>
        <v>188</v>
      </c>
      <c r="P808" s="10" t="str">
        <f t="shared" ca="1" si="73"/>
        <v>181 a 365 dias</v>
      </c>
      <c r="Q808">
        <f t="shared" si="78"/>
        <v>1</v>
      </c>
      <c r="R808">
        <v>9</v>
      </c>
      <c r="S808" s="11">
        <f t="shared" si="77"/>
        <v>59.9</v>
      </c>
      <c r="T808" s="11" t="str">
        <f t="shared" si="74"/>
        <v>Promotor</v>
      </c>
      <c r="U808" s="11" t="str">
        <f t="shared" si="75"/>
        <v>Alto risco</v>
      </c>
      <c r="V808">
        <v>0</v>
      </c>
      <c r="W808">
        <v>70</v>
      </c>
      <c r="X808" s="2">
        <v>53.36</v>
      </c>
      <c r="Y808">
        <v>6</v>
      </c>
      <c r="Z808" t="s">
        <v>50</v>
      </c>
    </row>
    <row r="809" spans="1:26">
      <c r="A809" t="s">
        <v>1374</v>
      </c>
      <c r="B809" t="s">
        <v>198</v>
      </c>
      <c r="C809" t="s">
        <v>53</v>
      </c>
      <c r="D809" t="s">
        <v>29</v>
      </c>
      <c r="E809">
        <v>61</v>
      </c>
      <c r="F809" t="s">
        <v>54</v>
      </c>
      <c r="G809" t="s">
        <v>41</v>
      </c>
      <c r="H809" t="s">
        <v>86</v>
      </c>
      <c r="I809" t="e">
        <f ca="1">_xludf.XLOOKUP(H809,Base_Planos!$A:$A,Base_Planos!$B:$B,"Não encontrado")</f>
        <v>#NAME?</v>
      </c>
      <c r="J809" s="2">
        <f>VLOOKUP(H809,Base_Planos!$A:$G,4,FALSE)</f>
        <v>119.9</v>
      </c>
      <c r="K809" s="4">
        <v>45220</v>
      </c>
      <c r="L809" t="s">
        <v>215</v>
      </c>
      <c r="M809" t="s">
        <v>44</v>
      </c>
      <c r="N809" s="4"/>
      <c r="O809" s="10">
        <f t="shared" ca="1" si="76"/>
        <v>949</v>
      </c>
      <c r="P809" s="10" t="str">
        <f t="shared" ca="1" si="73"/>
        <v>Mais de 1 ano</v>
      </c>
      <c r="Q809">
        <f t="shared" si="78"/>
        <v>0</v>
      </c>
      <c r="R809">
        <v>0</v>
      </c>
      <c r="S809" s="11">
        <f t="shared" si="77"/>
        <v>0</v>
      </c>
      <c r="T809" s="11" t="str">
        <f t="shared" si="74"/>
        <v>Detrator</v>
      </c>
      <c r="U809" s="11" t="str">
        <f t="shared" si="75"/>
        <v>Alto risco</v>
      </c>
      <c r="V809">
        <v>0</v>
      </c>
      <c r="W809">
        <v>100</v>
      </c>
      <c r="X809" s="2">
        <v>117.55</v>
      </c>
      <c r="Y809">
        <v>31</v>
      </c>
      <c r="Z809" t="s">
        <v>35</v>
      </c>
    </row>
    <row r="810" spans="1:26">
      <c r="A810" t="s">
        <v>1375</v>
      </c>
      <c r="B810" t="s">
        <v>1322</v>
      </c>
      <c r="C810" t="s">
        <v>90</v>
      </c>
      <c r="D810" t="s">
        <v>29</v>
      </c>
      <c r="E810">
        <v>19</v>
      </c>
      <c r="F810" t="s">
        <v>30</v>
      </c>
      <c r="G810" t="s">
        <v>67</v>
      </c>
      <c r="H810" t="s">
        <v>42</v>
      </c>
      <c r="I810" t="e">
        <f ca="1">_xludf.XLOOKUP(H810,Base_Planos!$A:$A,Base_Planos!$B:$B,"Não encontrado")</f>
        <v>#NAME?</v>
      </c>
      <c r="J810" s="2">
        <f>VLOOKUP(H810,Base_Planos!$A:$G,4,FALSE)</f>
        <v>29.9</v>
      </c>
      <c r="K810" s="4">
        <v>45234</v>
      </c>
      <c r="L810" t="s">
        <v>79</v>
      </c>
      <c r="M810" t="s">
        <v>44</v>
      </c>
      <c r="N810" s="4"/>
      <c r="O810" s="10">
        <f t="shared" ca="1" si="76"/>
        <v>935</v>
      </c>
      <c r="P810" s="10" t="str">
        <f t="shared" ca="1" si="73"/>
        <v>Mais de 1 ano</v>
      </c>
      <c r="Q810">
        <f t="shared" si="78"/>
        <v>0</v>
      </c>
      <c r="R810">
        <v>9</v>
      </c>
      <c r="S810" s="11">
        <f t="shared" si="77"/>
        <v>0</v>
      </c>
      <c r="T810" s="11" t="str">
        <f t="shared" si="74"/>
        <v>Promotor</v>
      </c>
      <c r="U810" s="11" t="str">
        <f t="shared" si="75"/>
        <v>Baixo risco</v>
      </c>
      <c r="V810">
        <v>2</v>
      </c>
      <c r="W810">
        <v>63</v>
      </c>
      <c r="X810" s="2">
        <v>30.08</v>
      </c>
      <c r="Y810">
        <v>31</v>
      </c>
      <c r="Z810" t="s">
        <v>35</v>
      </c>
    </row>
    <row r="811" spans="1:26">
      <c r="A811" t="s">
        <v>1376</v>
      </c>
      <c r="B811" t="s">
        <v>919</v>
      </c>
      <c r="C811" t="s">
        <v>137</v>
      </c>
      <c r="D811" t="s">
        <v>29</v>
      </c>
      <c r="E811">
        <v>40</v>
      </c>
      <c r="F811" t="s">
        <v>66</v>
      </c>
      <c r="G811" t="s">
        <v>41</v>
      </c>
      <c r="H811" t="s">
        <v>82</v>
      </c>
      <c r="I811" t="e">
        <f ca="1">_xludf.XLOOKUP(H811,Base_Planos!$A:$A,Base_Planos!$B:$B,"Não encontrado")</f>
        <v>#NAME?</v>
      </c>
      <c r="J811" s="2">
        <f>VLOOKUP(H811,Base_Planos!$A:$G,4,FALSE)</f>
        <v>149.9</v>
      </c>
      <c r="K811" s="4">
        <v>44993</v>
      </c>
      <c r="L811" t="s">
        <v>68</v>
      </c>
      <c r="M811" t="s">
        <v>34</v>
      </c>
      <c r="N811" s="4">
        <v>45181</v>
      </c>
      <c r="O811" s="10">
        <f t="shared" ca="1" si="76"/>
        <v>188</v>
      </c>
      <c r="P811" s="10" t="str">
        <f t="shared" ca="1" si="73"/>
        <v>181 a 365 dias</v>
      </c>
      <c r="Q811">
        <f t="shared" si="78"/>
        <v>0</v>
      </c>
      <c r="R811">
        <v>10</v>
      </c>
      <c r="S811" s="11">
        <f t="shared" si="77"/>
        <v>0</v>
      </c>
      <c r="T811" s="11" t="str">
        <f t="shared" si="74"/>
        <v>Promotor</v>
      </c>
      <c r="U811" s="11" t="str">
        <f t="shared" si="75"/>
        <v>Baixo risco</v>
      </c>
      <c r="V811">
        <v>4</v>
      </c>
      <c r="W811">
        <v>29</v>
      </c>
      <c r="X811" s="2">
        <v>144.37</v>
      </c>
      <c r="Y811">
        <v>6</v>
      </c>
      <c r="Z811" t="s">
        <v>35</v>
      </c>
    </row>
    <row r="812" spans="1:26">
      <c r="A812" t="s">
        <v>1377</v>
      </c>
      <c r="B812" t="s">
        <v>1378</v>
      </c>
      <c r="C812" t="s">
        <v>137</v>
      </c>
      <c r="D812" t="s">
        <v>29</v>
      </c>
      <c r="E812">
        <v>44</v>
      </c>
      <c r="F812" t="s">
        <v>54</v>
      </c>
      <c r="G812" t="s">
        <v>55</v>
      </c>
      <c r="H812" t="s">
        <v>86</v>
      </c>
      <c r="I812" t="e">
        <f ca="1">_xludf.XLOOKUP(H812,Base_Planos!$A:$A,Base_Planos!$B:$B,"Não encontrado")</f>
        <v>#NAME?</v>
      </c>
      <c r="J812" s="2">
        <f>VLOOKUP(H812,Base_Planos!$A:$G,4,FALSE)</f>
        <v>119.9</v>
      </c>
      <c r="K812" s="4">
        <v>46007</v>
      </c>
      <c r="L812" t="s">
        <v>170</v>
      </c>
      <c r="M812" t="s">
        <v>34</v>
      </c>
      <c r="N812" s="4">
        <v>46086</v>
      </c>
      <c r="O812" s="10">
        <f t="shared" ca="1" si="76"/>
        <v>79</v>
      </c>
      <c r="P812" s="10" t="str">
        <f t="shared" ca="1" si="73"/>
        <v>31 a 90 dias</v>
      </c>
      <c r="Q812">
        <f t="shared" si="78"/>
        <v>0</v>
      </c>
      <c r="R812">
        <v>0</v>
      </c>
      <c r="S812" s="11">
        <f t="shared" si="77"/>
        <v>0</v>
      </c>
      <c r="T812" s="11" t="str">
        <f t="shared" si="74"/>
        <v>Detrator</v>
      </c>
      <c r="U812" s="11" t="str">
        <f t="shared" si="75"/>
        <v>Alto risco</v>
      </c>
      <c r="V812">
        <v>0</v>
      </c>
      <c r="W812">
        <v>31</v>
      </c>
      <c r="X812" s="2">
        <v>108.94</v>
      </c>
      <c r="Y812">
        <v>2</v>
      </c>
      <c r="Z812" t="s">
        <v>35</v>
      </c>
    </row>
    <row r="813" spans="1:26">
      <c r="A813" t="s">
        <v>1379</v>
      </c>
      <c r="B813" t="s">
        <v>296</v>
      </c>
      <c r="C813" t="s">
        <v>59</v>
      </c>
      <c r="D813" t="s">
        <v>60</v>
      </c>
      <c r="E813">
        <v>41</v>
      </c>
      <c r="F813" t="s">
        <v>30</v>
      </c>
      <c r="G813" t="s">
        <v>165</v>
      </c>
      <c r="H813" t="s">
        <v>82</v>
      </c>
      <c r="I813" t="e">
        <f ca="1">_xludf.XLOOKUP(H813,Base_Planos!$A:$A,Base_Planos!$B:$B,"Não encontrado")</f>
        <v>#NAME?</v>
      </c>
      <c r="J813" s="2">
        <f>VLOOKUP(H813,Base_Planos!$A:$G,4,FALSE)</f>
        <v>149.9</v>
      </c>
      <c r="K813" s="4">
        <v>45163</v>
      </c>
      <c r="L813" t="s">
        <v>162</v>
      </c>
      <c r="M813" t="s">
        <v>34</v>
      </c>
      <c r="N813" s="4">
        <v>45766</v>
      </c>
      <c r="O813" s="10">
        <f t="shared" ca="1" si="76"/>
        <v>603</v>
      </c>
      <c r="P813" s="10" t="str">
        <f t="shared" ca="1" si="73"/>
        <v>Mais de 1 ano</v>
      </c>
      <c r="Q813">
        <f t="shared" si="78"/>
        <v>1</v>
      </c>
      <c r="R813">
        <v>3</v>
      </c>
      <c r="S813" s="11">
        <f t="shared" si="77"/>
        <v>149.9</v>
      </c>
      <c r="T813" s="11" t="str">
        <f t="shared" si="74"/>
        <v>Detrator</v>
      </c>
      <c r="U813" s="11" t="str">
        <f t="shared" si="75"/>
        <v>Alto risco</v>
      </c>
      <c r="V813">
        <v>0</v>
      </c>
      <c r="W813">
        <v>80</v>
      </c>
      <c r="X813" s="2">
        <v>154.84</v>
      </c>
      <c r="Y813">
        <v>20</v>
      </c>
      <c r="Z813" t="s">
        <v>35</v>
      </c>
    </row>
    <row r="814" spans="1:26">
      <c r="A814" t="s">
        <v>1380</v>
      </c>
      <c r="B814" t="s">
        <v>999</v>
      </c>
      <c r="C814" t="s">
        <v>90</v>
      </c>
      <c r="D814" t="s">
        <v>29</v>
      </c>
      <c r="E814">
        <v>32</v>
      </c>
      <c r="F814" t="s">
        <v>54</v>
      </c>
      <c r="G814" t="s">
        <v>41</v>
      </c>
      <c r="H814" t="s">
        <v>42</v>
      </c>
      <c r="I814" t="e">
        <f ca="1">_xludf.XLOOKUP(H814,Base_Planos!$A:$A,Base_Planos!$B:$B,"Não encontrado")</f>
        <v>#NAME?</v>
      </c>
      <c r="J814" s="2">
        <f>VLOOKUP(H814,Base_Planos!$A:$G,4,FALSE)</f>
        <v>29.9</v>
      </c>
      <c r="K814" s="4">
        <v>45183</v>
      </c>
      <c r="L814" t="s">
        <v>105</v>
      </c>
      <c r="M814" t="s">
        <v>44</v>
      </c>
      <c r="N814" s="4"/>
      <c r="O814" s="10">
        <f t="shared" ca="1" si="76"/>
        <v>986</v>
      </c>
      <c r="P814" s="10" t="str">
        <f t="shared" ca="1" si="73"/>
        <v>Mais de 1 ano</v>
      </c>
      <c r="Q814">
        <f t="shared" si="78"/>
        <v>0</v>
      </c>
      <c r="R814">
        <v>8</v>
      </c>
      <c r="S814" s="11">
        <f t="shared" si="77"/>
        <v>0</v>
      </c>
      <c r="T814" s="11" t="str">
        <f t="shared" si="74"/>
        <v>Neutro</v>
      </c>
      <c r="U814" s="11" t="str">
        <f t="shared" si="75"/>
        <v>Médio risco</v>
      </c>
      <c r="V814">
        <v>1</v>
      </c>
      <c r="W814">
        <v>100</v>
      </c>
      <c r="X814" s="2">
        <v>29.04</v>
      </c>
      <c r="Y814">
        <v>32</v>
      </c>
      <c r="Z814" t="s">
        <v>50</v>
      </c>
    </row>
    <row r="815" spans="1:26">
      <c r="A815" t="s">
        <v>1381</v>
      </c>
      <c r="B815" t="s">
        <v>629</v>
      </c>
      <c r="C815" t="s">
        <v>108</v>
      </c>
      <c r="D815" t="s">
        <v>109</v>
      </c>
      <c r="E815">
        <v>38</v>
      </c>
      <c r="F815" t="s">
        <v>30</v>
      </c>
      <c r="G815" t="s">
        <v>41</v>
      </c>
      <c r="H815" t="s">
        <v>112</v>
      </c>
      <c r="I815" t="e">
        <f ca="1">_xludf.XLOOKUP(H815,Base_Planos!$A:$A,Base_Planos!$B:$B,"Não encontrado")</f>
        <v>#NAME?</v>
      </c>
      <c r="J815" s="2">
        <f>VLOOKUP(H815,Base_Planos!$A:$G,4,FALSE)</f>
        <v>79.900000000000006</v>
      </c>
      <c r="K815" s="4">
        <v>45230</v>
      </c>
      <c r="L815" t="s">
        <v>215</v>
      </c>
      <c r="M815" t="s">
        <v>44</v>
      </c>
      <c r="N815" s="4"/>
      <c r="O815" s="10">
        <f t="shared" ca="1" si="76"/>
        <v>939</v>
      </c>
      <c r="P815" s="10" t="str">
        <f t="shared" ca="1" si="73"/>
        <v>Mais de 1 ano</v>
      </c>
      <c r="Q815">
        <f t="shared" si="78"/>
        <v>0</v>
      </c>
      <c r="R815">
        <v>9</v>
      </c>
      <c r="S815" s="11">
        <f t="shared" si="77"/>
        <v>0</v>
      </c>
      <c r="T815" s="11" t="str">
        <f t="shared" si="74"/>
        <v>Promotor</v>
      </c>
      <c r="U815" s="11" t="str">
        <f t="shared" si="75"/>
        <v>Baixo risco</v>
      </c>
      <c r="V815">
        <v>0</v>
      </c>
      <c r="W815">
        <v>59</v>
      </c>
      <c r="X815" s="2">
        <v>75.17</v>
      </c>
      <c r="Y815">
        <v>31</v>
      </c>
      <c r="Z815" t="s">
        <v>50</v>
      </c>
    </row>
    <row r="816" spans="1:26">
      <c r="A816" t="s">
        <v>1382</v>
      </c>
      <c r="B816" t="s">
        <v>618</v>
      </c>
      <c r="C816" t="s">
        <v>71</v>
      </c>
      <c r="D816" t="s">
        <v>72</v>
      </c>
      <c r="E816">
        <v>34</v>
      </c>
      <c r="F816" t="s">
        <v>40</v>
      </c>
      <c r="G816" t="s">
        <v>104</v>
      </c>
      <c r="H816" t="s">
        <v>82</v>
      </c>
      <c r="I816" t="e">
        <f ca="1">_xludf.XLOOKUP(H816,Base_Planos!$A:$A,Base_Planos!$B:$B,"Não encontrado")</f>
        <v>#NAME?</v>
      </c>
      <c r="J816" s="2">
        <f>VLOOKUP(H816,Base_Planos!$A:$G,4,FALSE)</f>
        <v>149.9</v>
      </c>
      <c r="K816" s="4">
        <v>45185</v>
      </c>
      <c r="L816" t="s">
        <v>105</v>
      </c>
      <c r="M816" t="s">
        <v>34</v>
      </c>
      <c r="N816" s="4">
        <v>45742</v>
      </c>
      <c r="O816" s="10">
        <f t="shared" ca="1" si="76"/>
        <v>557</v>
      </c>
      <c r="P816" s="10" t="str">
        <f t="shared" ca="1" si="73"/>
        <v>Mais de 1 ano</v>
      </c>
      <c r="Q816">
        <f t="shared" si="78"/>
        <v>0</v>
      </c>
      <c r="R816">
        <v>0</v>
      </c>
      <c r="S816" s="11">
        <f t="shared" si="77"/>
        <v>0</v>
      </c>
      <c r="T816" s="11" t="str">
        <f t="shared" si="74"/>
        <v>Detrator</v>
      </c>
      <c r="U816" s="11" t="str">
        <f t="shared" si="75"/>
        <v>Alto risco</v>
      </c>
      <c r="V816">
        <v>0</v>
      </c>
      <c r="W816">
        <v>51</v>
      </c>
      <c r="X816" s="2">
        <v>154.96</v>
      </c>
      <c r="Y816">
        <v>18</v>
      </c>
      <c r="Z816" t="s">
        <v>35</v>
      </c>
    </row>
    <row r="817" spans="1:26">
      <c r="A817" t="s">
        <v>1383</v>
      </c>
      <c r="B817" t="s">
        <v>263</v>
      </c>
      <c r="C817" t="s">
        <v>108</v>
      </c>
      <c r="D817" t="s">
        <v>109</v>
      </c>
      <c r="E817">
        <v>26</v>
      </c>
      <c r="F817" t="s">
        <v>54</v>
      </c>
      <c r="G817" t="s">
        <v>31</v>
      </c>
      <c r="H817" t="s">
        <v>82</v>
      </c>
      <c r="I817" t="e">
        <f ca="1">_xludf.XLOOKUP(H817,Base_Planos!$A:$A,Base_Planos!$B:$B,"Não encontrado")</f>
        <v>#NAME?</v>
      </c>
      <c r="J817" s="2">
        <f>VLOOKUP(H817,Base_Planos!$A:$G,4,FALSE)</f>
        <v>149.9</v>
      </c>
      <c r="K817" s="4">
        <v>45170</v>
      </c>
      <c r="L817" t="s">
        <v>105</v>
      </c>
      <c r="M817" t="s">
        <v>44</v>
      </c>
      <c r="N817" s="4"/>
      <c r="O817" s="10">
        <f t="shared" ca="1" si="76"/>
        <v>999</v>
      </c>
      <c r="P817" s="10" t="str">
        <f t="shared" ca="1" si="73"/>
        <v>Mais de 1 ano</v>
      </c>
      <c r="Q817">
        <f t="shared" si="78"/>
        <v>0</v>
      </c>
      <c r="R817">
        <v>5</v>
      </c>
      <c r="S817" s="11">
        <f t="shared" si="77"/>
        <v>0</v>
      </c>
      <c r="T817" s="11" t="str">
        <f t="shared" si="74"/>
        <v>Detrator</v>
      </c>
      <c r="U817" s="11" t="str">
        <f t="shared" si="75"/>
        <v>Alto risco</v>
      </c>
      <c r="V817">
        <v>1</v>
      </c>
      <c r="W817">
        <v>21</v>
      </c>
      <c r="X817" s="2">
        <v>157.22</v>
      </c>
      <c r="Y817">
        <v>33</v>
      </c>
      <c r="Z817" t="s">
        <v>45</v>
      </c>
    </row>
    <row r="818" spans="1:26">
      <c r="A818" t="s">
        <v>1384</v>
      </c>
      <c r="B818" t="s">
        <v>823</v>
      </c>
      <c r="C818" t="s">
        <v>137</v>
      </c>
      <c r="D818" t="s">
        <v>29</v>
      </c>
      <c r="E818">
        <v>40</v>
      </c>
      <c r="F818" t="s">
        <v>66</v>
      </c>
      <c r="G818" t="s">
        <v>41</v>
      </c>
      <c r="H818" t="s">
        <v>61</v>
      </c>
      <c r="I818" t="e">
        <f ca="1">_xludf.XLOOKUP(H818,Base_Planos!$A:$A,Base_Planos!$B:$B,"Não encontrado")</f>
        <v>#NAME?</v>
      </c>
      <c r="J818" s="2">
        <f>VLOOKUP(H818,Base_Planos!$A:$G,4,FALSE)</f>
        <v>59.9</v>
      </c>
      <c r="K818" s="4">
        <v>45819</v>
      </c>
      <c r="L818" t="s">
        <v>167</v>
      </c>
      <c r="M818" t="s">
        <v>44</v>
      </c>
      <c r="N818" s="4"/>
      <c r="O818" s="10">
        <f t="shared" ca="1" si="76"/>
        <v>350</v>
      </c>
      <c r="P818" s="10" t="str">
        <f t="shared" ca="1" si="73"/>
        <v>181 a 365 dias</v>
      </c>
      <c r="Q818">
        <f t="shared" si="78"/>
        <v>1</v>
      </c>
      <c r="R818">
        <v>4</v>
      </c>
      <c r="S818" s="11">
        <f t="shared" si="77"/>
        <v>59.9</v>
      </c>
      <c r="T818" s="11" t="str">
        <f t="shared" si="74"/>
        <v>Detrator</v>
      </c>
      <c r="U818" s="11" t="str">
        <f t="shared" si="75"/>
        <v>Alto risco</v>
      </c>
      <c r="V818">
        <v>1</v>
      </c>
      <c r="W818">
        <v>13</v>
      </c>
      <c r="X818" s="2">
        <v>57.98</v>
      </c>
      <c r="Y818">
        <v>11</v>
      </c>
      <c r="Z818" t="s">
        <v>45</v>
      </c>
    </row>
    <row r="819" spans="1:26">
      <c r="A819" t="s">
        <v>1385</v>
      </c>
      <c r="B819" t="s">
        <v>1288</v>
      </c>
      <c r="C819" t="s">
        <v>102</v>
      </c>
      <c r="D819" t="s">
        <v>103</v>
      </c>
      <c r="E819">
        <v>27</v>
      </c>
      <c r="F819" t="s">
        <v>66</v>
      </c>
      <c r="G819" t="s">
        <v>165</v>
      </c>
      <c r="H819" t="s">
        <v>61</v>
      </c>
      <c r="I819" t="e">
        <f ca="1">_xludf.XLOOKUP(H819,Base_Planos!$A:$A,Base_Planos!$B:$B,"Não encontrado")</f>
        <v>#NAME?</v>
      </c>
      <c r="J819" s="2">
        <f>VLOOKUP(H819,Base_Planos!$A:$G,4,FALSE)</f>
        <v>59.9</v>
      </c>
      <c r="K819" s="4">
        <v>45855</v>
      </c>
      <c r="L819" t="s">
        <v>212</v>
      </c>
      <c r="M819" t="s">
        <v>44</v>
      </c>
      <c r="N819" s="4"/>
      <c r="O819" s="10">
        <f t="shared" ca="1" si="76"/>
        <v>314</v>
      </c>
      <c r="P819" s="10" t="str">
        <f t="shared" ca="1" si="73"/>
        <v>181 a 365 dias</v>
      </c>
      <c r="Q819">
        <f t="shared" si="78"/>
        <v>0</v>
      </c>
      <c r="R819">
        <v>6</v>
      </c>
      <c r="S819" s="11">
        <f t="shared" si="77"/>
        <v>0</v>
      </c>
      <c r="T819" s="11" t="str">
        <f t="shared" si="74"/>
        <v>Detrator</v>
      </c>
      <c r="U819" s="11" t="str">
        <f t="shared" si="75"/>
        <v>Alto risco</v>
      </c>
      <c r="V819">
        <v>1</v>
      </c>
      <c r="W819">
        <v>72</v>
      </c>
      <c r="X819" s="2">
        <v>60.18</v>
      </c>
      <c r="Y819">
        <v>10</v>
      </c>
      <c r="Z819" t="s">
        <v>50</v>
      </c>
    </row>
    <row r="820" spans="1:26">
      <c r="A820" t="s">
        <v>1386</v>
      </c>
      <c r="B820" t="s">
        <v>1128</v>
      </c>
      <c r="C820" t="s">
        <v>77</v>
      </c>
      <c r="D820" t="s">
        <v>78</v>
      </c>
      <c r="E820">
        <v>39</v>
      </c>
      <c r="F820" t="s">
        <v>30</v>
      </c>
      <c r="G820" t="s">
        <v>41</v>
      </c>
      <c r="H820" t="s">
        <v>42</v>
      </c>
      <c r="I820" t="e">
        <f ca="1">_xludf.XLOOKUP(H820,Base_Planos!$A:$A,Base_Planos!$B:$B,"Não encontrado")</f>
        <v>#NAME?</v>
      </c>
      <c r="J820" s="2">
        <f>VLOOKUP(H820,Base_Planos!$A:$G,4,FALSE)</f>
        <v>29.9</v>
      </c>
      <c r="K820" s="4">
        <v>45713</v>
      </c>
      <c r="L820" t="s">
        <v>289</v>
      </c>
      <c r="M820" t="s">
        <v>44</v>
      </c>
      <c r="N820" s="4"/>
      <c r="O820" s="10">
        <f t="shared" ca="1" si="76"/>
        <v>456</v>
      </c>
      <c r="P820" s="10" t="str">
        <f t="shared" ca="1" si="73"/>
        <v>Mais de 1 ano</v>
      </c>
      <c r="Q820">
        <f t="shared" si="78"/>
        <v>0</v>
      </c>
      <c r="R820">
        <v>5</v>
      </c>
      <c r="S820" s="11">
        <f t="shared" si="77"/>
        <v>0</v>
      </c>
      <c r="T820" s="11" t="str">
        <f t="shared" si="74"/>
        <v>Detrator</v>
      </c>
      <c r="U820" s="11" t="str">
        <f t="shared" si="75"/>
        <v>Alto risco</v>
      </c>
      <c r="V820">
        <v>0</v>
      </c>
      <c r="W820">
        <v>0</v>
      </c>
      <c r="X820" s="2">
        <v>30.69</v>
      </c>
      <c r="Y820">
        <v>15</v>
      </c>
      <c r="Z820" t="s">
        <v>35</v>
      </c>
    </row>
    <row r="821" spans="1:26">
      <c r="A821" t="s">
        <v>1387</v>
      </c>
      <c r="B821" t="s">
        <v>1302</v>
      </c>
      <c r="C821" t="s">
        <v>71</v>
      </c>
      <c r="D821" t="s">
        <v>72</v>
      </c>
      <c r="E821">
        <v>51</v>
      </c>
      <c r="F821" t="s">
        <v>30</v>
      </c>
      <c r="G821" t="s">
        <v>165</v>
      </c>
      <c r="H821" t="s">
        <v>32</v>
      </c>
      <c r="I821" t="e">
        <f ca="1">_xludf.XLOOKUP(H821,Base_Planos!$A:$A,Base_Planos!$B:$B,"Não encontrado")</f>
        <v>#NAME?</v>
      </c>
      <c r="J821" s="2">
        <f>VLOOKUP(H821,Base_Planos!$A:$G,4,FALSE)</f>
        <v>39.9</v>
      </c>
      <c r="K821" s="4">
        <v>45510</v>
      </c>
      <c r="L821" t="s">
        <v>156</v>
      </c>
      <c r="M821" t="s">
        <v>44</v>
      </c>
      <c r="N821" s="4"/>
      <c r="O821" s="10">
        <f t="shared" ca="1" si="76"/>
        <v>659</v>
      </c>
      <c r="P821" s="10" t="str">
        <f t="shared" ca="1" si="73"/>
        <v>Mais de 1 ano</v>
      </c>
      <c r="Q821">
        <f t="shared" si="78"/>
        <v>0</v>
      </c>
      <c r="R821">
        <v>2</v>
      </c>
      <c r="S821" s="11">
        <f t="shared" si="77"/>
        <v>0</v>
      </c>
      <c r="T821" s="11" t="str">
        <f t="shared" si="74"/>
        <v>Detrator</v>
      </c>
      <c r="U821" s="11" t="str">
        <f t="shared" si="75"/>
        <v>Alto risco</v>
      </c>
      <c r="V821">
        <v>0</v>
      </c>
      <c r="W821">
        <v>72</v>
      </c>
      <c r="X821" s="2">
        <v>36.22</v>
      </c>
      <c r="Y821">
        <v>21</v>
      </c>
      <c r="Z821" t="s">
        <v>35</v>
      </c>
    </row>
    <row r="822" spans="1:26">
      <c r="A822" t="s">
        <v>1388</v>
      </c>
      <c r="B822" t="s">
        <v>1089</v>
      </c>
      <c r="C822" t="s">
        <v>90</v>
      </c>
      <c r="D822" t="s">
        <v>29</v>
      </c>
      <c r="E822">
        <v>24</v>
      </c>
      <c r="F822" t="s">
        <v>66</v>
      </c>
      <c r="G822" t="s">
        <v>73</v>
      </c>
      <c r="H822" t="s">
        <v>32</v>
      </c>
      <c r="I822" t="e">
        <f ca="1">_xludf.XLOOKUP(H822,Base_Planos!$A:$A,Base_Planos!$B:$B,"Não encontrado")</f>
        <v>#NAME?</v>
      </c>
      <c r="J822" s="2">
        <f>VLOOKUP(H822,Base_Planos!$A:$G,4,FALSE)</f>
        <v>39.9</v>
      </c>
      <c r="K822" s="4">
        <v>45350</v>
      </c>
      <c r="L822" t="s">
        <v>297</v>
      </c>
      <c r="M822" t="s">
        <v>44</v>
      </c>
      <c r="N822" s="4"/>
      <c r="O822" s="10">
        <f t="shared" ca="1" si="76"/>
        <v>819</v>
      </c>
      <c r="P822" s="10" t="str">
        <f t="shared" ca="1" si="73"/>
        <v>Mais de 1 ano</v>
      </c>
      <c r="Q822">
        <f t="shared" si="78"/>
        <v>0</v>
      </c>
      <c r="R822">
        <v>8</v>
      </c>
      <c r="S822" s="11">
        <f t="shared" si="77"/>
        <v>0</v>
      </c>
      <c r="T822" s="11" t="str">
        <f t="shared" si="74"/>
        <v>Neutro</v>
      </c>
      <c r="U822" s="11" t="str">
        <f t="shared" si="75"/>
        <v>Médio risco</v>
      </c>
      <c r="V822">
        <v>0</v>
      </c>
      <c r="W822">
        <v>17</v>
      </c>
      <c r="X822" s="2">
        <v>41.57</v>
      </c>
      <c r="Y822">
        <v>27</v>
      </c>
      <c r="Z822" t="s">
        <v>35</v>
      </c>
    </row>
    <row r="823" spans="1:26">
      <c r="A823" t="s">
        <v>1389</v>
      </c>
      <c r="B823" t="s">
        <v>696</v>
      </c>
      <c r="C823" t="s">
        <v>48</v>
      </c>
      <c r="D823" t="s">
        <v>29</v>
      </c>
      <c r="E823">
        <v>30</v>
      </c>
      <c r="F823" t="s">
        <v>30</v>
      </c>
      <c r="G823" t="s">
        <v>67</v>
      </c>
      <c r="H823" t="s">
        <v>112</v>
      </c>
      <c r="I823" t="e">
        <f ca="1">_xludf.XLOOKUP(H823,Base_Planos!$A:$A,Base_Planos!$B:$B,"Não encontrado")</f>
        <v>#NAME?</v>
      </c>
      <c r="J823" s="2">
        <f>VLOOKUP(H823,Base_Planos!$A:$G,4,FALSE)</f>
        <v>79.900000000000006</v>
      </c>
      <c r="K823" s="4">
        <v>45504</v>
      </c>
      <c r="L823" t="s">
        <v>142</v>
      </c>
      <c r="M823" t="s">
        <v>44</v>
      </c>
      <c r="N823" s="4"/>
      <c r="O823" s="10">
        <f t="shared" ca="1" si="76"/>
        <v>665</v>
      </c>
      <c r="P823" s="10" t="str">
        <f t="shared" ca="1" si="73"/>
        <v>Mais de 1 ano</v>
      </c>
      <c r="Q823">
        <f t="shared" si="78"/>
        <v>0</v>
      </c>
      <c r="R823">
        <v>9</v>
      </c>
      <c r="S823" s="11">
        <f t="shared" si="77"/>
        <v>0</v>
      </c>
      <c r="T823" s="11" t="str">
        <f t="shared" si="74"/>
        <v>Promotor</v>
      </c>
      <c r="U823" s="11" t="str">
        <f t="shared" si="75"/>
        <v>Baixo risco</v>
      </c>
      <c r="V823">
        <v>0</v>
      </c>
      <c r="W823">
        <v>70</v>
      </c>
      <c r="X823" s="2">
        <v>82.58</v>
      </c>
      <c r="Y823">
        <v>22</v>
      </c>
      <c r="Z823" t="s">
        <v>50</v>
      </c>
    </row>
    <row r="824" spans="1:26">
      <c r="A824" t="s">
        <v>1390</v>
      </c>
      <c r="B824" t="s">
        <v>567</v>
      </c>
      <c r="C824" t="s">
        <v>77</v>
      </c>
      <c r="D824" t="s">
        <v>78</v>
      </c>
      <c r="E824">
        <v>45</v>
      </c>
      <c r="F824" t="s">
        <v>54</v>
      </c>
      <c r="G824" t="s">
        <v>55</v>
      </c>
      <c r="H824" t="s">
        <v>86</v>
      </c>
      <c r="I824" t="e">
        <f ca="1">_xludf.XLOOKUP(H824,Base_Planos!$A:$A,Base_Planos!$B:$B,"Não encontrado")</f>
        <v>#NAME?</v>
      </c>
      <c r="J824" s="2">
        <f>VLOOKUP(H824,Base_Planos!$A:$G,4,FALSE)</f>
        <v>119.9</v>
      </c>
      <c r="K824" s="4">
        <v>45497</v>
      </c>
      <c r="L824" t="s">
        <v>142</v>
      </c>
      <c r="M824" t="s">
        <v>44</v>
      </c>
      <c r="N824" s="4"/>
      <c r="O824" s="10">
        <f t="shared" ca="1" si="76"/>
        <v>672</v>
      </c>
      <c r="P824" s="10" t="str">
        <f t="shared" ca="1" si="73"/>
        <v>Mais de 1 ano</v>
      </c>
      <c r="Q824">
        <f t="shared" si="78"/>
        <v>0</v>
      </c>
      <c r="R824">
        <v>10</v>
      </c>
      <c r="S824" s="11">
        <f t="shared" si="77"/>
        <v>0</v>
      </c>
      <c r="T824" s="11" t="str">
        <f t="shared" si="74"/>
        <v>Promotor</v>
      </c>
      <c r="U824" s="11" t="str">
        <f t="shared" si="75"/>
        <v>Baixo risco</v>
      </c>
      <c r="V824">
        <v>0</v>
      </c>
      <c r="W824">
        <v>74</v>
      </c>
      <c r="X824" s="2">
        <v>119.36</v>
      </c>
      <c r="Y824">
        <v>22</v>
      </c>
      <c r="Z824" t="s">
        <v>50</v>
      </c>
    </row>
    <row r="825" spans="1:26">
      <c r="A825" t="s">
        <v>1391</v>
      </c>
      <c r="B825" t="s">
        <v>1392</v>
      </c>
      <c r="C825" t="s">
        <v>38</v>
      </c>
      <c r="D825" t="s">
        <v>39</v>
      </c>
      <c r="E825">
        <v>39</v>
      </c>
      <c r="F825" t="s">
        <v>30</v>
      </c>
      <c r="G825" t="s">
        <v>55</v>
      </c>
      <c r="H825" t="s">
        <v>82</v>
      </c>
      <c r="I825" t="e">
        <f ca="1">_xludf.XLOOKUP(H825,Base_Planos!$A:$A,Base_Planos!$B:$B,"Não encontrado")</f>
        <v>#NAME?</v>
      </c>
      <c r="J825" s="2">
        <f>VLOOKUP(H825,Base_Planos!$A:$G,4,FALSE)</f>
        <v>149.9</v>
      </c>
      <c r="K825" s="4">
        <v>45571</v>
      </c>
      <c r="L825" t="s">
        <v>123</v>
      </c>
      <c r="M825" t="s">
        <v>34</v>
      </c>
      <c r="N825" s="4">
        <v>45637</v>
      </c>
      <c r="O825" s="10">
        <f t="shared" ca="1" si="76"/>
        <v>66</v>
      </c>
      <c r="P825" s="10" t="str">
        <f t="shared" ca="1" si="73"/>
        <v>31 a 90 dias</v>
      </c>
      <c r="Q825">
        <f t="shared" si="78"/>
        <v>0</v>
      </c>
      <c r="R825">
        <v>0</v>
      </c>
      <c r="S825" s="11">
        <f t="shared" si="77"/>
        <v>0</v>
      </c>
      <c r="T825" s="11" t="str">
        <f t="shared" si="74"/>
        <v>Detrator</v>
      </c>
      <c r="U825" s="11" t="str">
        <f t="shared" si="75"/>
        <v>Alto risco</v>
      </c>
      <c r="V825">
        <v>1</v>
      </c>
      <c r="W825">
        <v>83</v>
      </c>
      <c r="X825" s="2">
        <v>146.22</v>
      </c>
      <c r="Y825">
        <v>2</v>
      </c>
      <c r="Z825" t="s">
        <v>35</v>
      </c>
    </row>
    <row r="826" spans="1:26">
      <c r="A826" t="s">
        <v>1393</v>
      </c>
      <c r="B826" t="s">
        <v>606</v>
      </c>
      <c r="C826" t="s">
        <v>90</v>
      </c>
      <c r="D826" t="s">
        <v>29</v>
      </c>
      <c r="E826">
        <v>42</v>
      </c>
      <c r="F826" t="s">
        <v>66</v>
      </c>
      <c r="G826" t="s">
        <v>31</v>
      </c>
      <c r="H826" t="s">
        <v>61</v>
      </c>
      <c r="I826" t="e">
        <f ca="1">_xludf.XLOOKUP(H826,Base_Planos!$A:$A,Base_Planos!$B:$B,"Não encontrado")</f>
        <v>#NAME?</v>
      </c>
      <c r="J826" s="2">
        <f>VLOOKUP(H826,Base_Planos!$A:$G,4,FALSE)</f>
        <v>59.9</v>
      </c>
      <c r="K826" s="4">
        <v>45470</v>
      </c>
      <c r="L826" t="s">
        <v>145</v>
      </c>
      <c r="M826" t="s">
        <v>44</v>
      </c>
      <c r="N826" s="4"/>
      <c r="O826" s="10">
        <f t="shared" ca="1" si="76"/>
        <v>699</v>
      </c>
      <c r="P826" s="10" t="str">
        <f t="shared" ca="1" si="73"/>
        <v>Mais de 1 ano</v>
      </c>
      <c r="Q826">
        <f t="shared" si="78"/>
        <v>0</v>
      </c>
      <c r="R826">
        <v>7</v>
      </c>
      <c r="S826" s="11">
        <f t="shared" si="77"/>
        <v>0</v>
      </c>
      <c r="T826" s="11" t="str">
        <f t="shared" si="74"/>
        <v>Neutro</v>
      </c>
      <c r="U826" s="11" t="str">
        <f t="shared" si="75"/>
        <v>Médio risco</v>
      </c>
      <c r="V826">
        <v>1</v>
      </c>
      <c r="W826">
        <v>98</v>
      </c>
      <c r="X826" s="2">
        <v>53.29</v>
      </c>
      <c r="Y826">
        <v>23</v>
      </c>
      <c r="Z826" t="s">
        <v>35</v>
      </c>
    </row>
    <row r="827" spans="1:26">
      <c r="A827" t="s">
        <v>1394</v>
      </c>
      <c r="B827" t="s">
        <v>554</v>
      </c>
      <c r="C827" t="s">
        <v>38</v>
      </c>
      <c r="D827" t="s">
        <v>39</v>
      </c>
      <c r="E827">
        <v>64</v>
      </c>
      <c r="F827" t="s">
        <v>40</v>
      </c>
      <c r="G827" t="s">
        <v>67</v>
      </c>
      <c r="H827" t="s">
        <v>112</v>
      </c>
      <c r="I827" t="e">
        <f ca="1">_xludf.XLOOKUP(H827,Base_Planos!$A:$A,Base_Planos!$B:$B,"Não encontrado")</f>
        <v>#NAME?</v>
      </c>
      <c r="J827" s="2">
        <f>VLOOKUP(H827,Base_Planos!$A:$G,4,FALSE)</f>
        <v>79.900000000000006</v>
      </c>
      <c r="K827" s="4">
        <v>45931</v>
      </c>
      <c r="L827" t="s">
        <v>196</v>
      </c>
      <c r="M827" t="s">
        <v>44</v>
      </c>
      <c r="N827" s="4"/>
      <c r="O827" s="10">
        <f t="shared" ca="1" si="76"/>
        <v>238</v>
      </c>
      <c r="P827" s="10" t="str">
        <f t="shared" ca="1" si="73"/>
        <v>181 a 365 dias</v>
      </c>
      <c r="Q827">
        <f t="shared" si="78"/>
        <v>1</v>
      </c>
      <c r="R827">
        <v>8</v>
      </c>
      <c r="S827" s="11">
        <f t="shared" si="77"/>
        <v>79.900000000000006</v>
      </c>
      <c r="T827" s="11" t="str">
        <f t="shared" si="74"/>
        <v>Neutro</v>
      </c>
      <c r="U827" s="11" t="str">
        <f t="shared" si="75"/>
        <v>Alto risco</v>
      </c>
      <c r="V827">
        <v>0</v>
      </c>
      <c r="W827">
        <v>28</v>
      </c>
      <c r="X827" s="2">
        <v>77.72</v>
      </c>
      <c r="Y827">
        <v>7</v>
      </c>
      <c r="Z827" t="s">
        <v>50</v>
      </c>
    </row>
    <row r="828" spans="1:26">
      <c r="A828" t="s">
        <v>1395</v>
      </c>
      <c r="B828" t="s">
        <v>1075</v>
      </c>
      <c r="C828" t="s">
        <v>59</v>
      </c>
      <c r="D828" t="s">
        <v>60</v>
      </c>
      <c r="E828">
        <v>58</v>
      </c>
      <c r="F828" t="s">
        <v>30</v>
      </c>
      <c r="G828" t="s">
        <v>96</v>
      </c>
      <c r="H828" t="s">
        <v>86</v>
      </c>
      <c r="I828" t="e">
        <f ca="1">_xludf.XLOOKUP(H828,Base_Planos!$A:$A,Base_Planos!$B:$B,"Não encontrado")</f>
        <v>#NAME?</v>
      </c>
      <c r="J828" s="2">
        <f>VLOOKUP(H828,Base_Planos!$A:$G,4,FALSE)</f>
        <v>119.9</v>
      </c>
      <c r="K828" s="4">
        <v>45401</v>
      </c>
      <c r="L828" t="s">
        <v>56</v>
      </c>
      <c r="M828" t="s">
        <v>44</v>
      </c>
      <c r="N828" s="4"/>
      <c r="O828" s="10">
        <f t="shared" ca="1" si="76"/>
        <v>768</v>
      </c>
      <c r="P828" s="10" t="str">
        <f t="shared" ca="1" si="73"/>
        <v>Mais de 1 ano</v>
      </c>
      <c r="Q828">
        <f t="shared" si="78"/>
        <v>0</v>
      </c>
      <c r="R828">
        <v>4</v>
      </c>
      <c r="S828" s="11">
        <f t="shared" si="77"/>
        <v>0</v>
      </c>
      <c r="T828" s="11" t="str">
        <f t="shared" si="74"/>
        <v>Detrator</v>
      </c>
      <c r="U828" s="11" t="str">
        <f t="shared" si="75"/>
        <v>Alto risco</v>
      </c>
      <c r="V828">
        <v>1</v>
      </c>
      <c r="W828">
        <v>28</v>
      </c>
      <c r="X828" s="2">
        <v>114.95</v>
      </c>
      <c r="Y828">
        <v>25</v>
      </c>
      <c r="Z828" t="s">
        <v>35</v>
      </c>
    </row>
    <row r="829" spans="1:26">
      <c r="A829" t="s">
        <v>1396</v>
      </c>
      <c r="B829" t="s">
        <v>473</v>
      </c>
      <c r="C829" t="s">
        <v>59</v>
      </c>
      <c r="D829" t="s">
        <v>60</v>
      </c>
      <c r="E829">
        <v>25</v>
      </c>
      <c r="F829" t="s">
        <v>201</v>
      </c>
      <c r="G829" t="s">
        <v>73</v>
      </c>
      <c r="H829" t="s">
        <v>112</v>
      </c>
      <c r="I829" t="e">
        <f ca="1">_xludf.XLOOKUP(H829,Base_Planos!$A:$A,Base_Planos!$B:$B,"Não encontrado")</f>
        <v>#NAME?</v>
      </c>
      <c r="J829" s="2">
        <f>VLOOKUP(H829,Base_Planos!$A:$G,4,FALSE)</f>
        <v>79.900000000000006</v>
      </c>
      <c r="K829" s="4">
        <v>45842</v>
      </c>
      <c r="L829" t="s">
        <v>212</v>
      </c>
      <c r="M829" t="s">
        <v>44</v>
      </c>
      <c r="N829" s="4"/>
      <c r="O829" s="10">
        <f t="shared" ca="1" si="76"/>
        <v>327</v>
      </c>
      <c r="P829" s="10" t="str">
        <f t="shared" ca="1" si="73"/>
        <v>181 a 365 dias</v>
      </c>
      <c r="Q829">
        <f t="shared" si="78"/>
        <v>1</v>
      </c>
      <c r="R829">
        <v>5</v>
      </c>
      <c r="S829" s="11">
        <f t="shared" si="77"/>
        <v>79.900000000000006</v>
      </c>
      <c r="T829" s="11" t="str">
        <f t="shared" si="74"/>
        <v>Detrator</v>
      </c>
      <c r="U829" s="11" t="str">
        <f t="shared" si="75"/>
        <v>Alto risco</v>
      </c>
      <c r="V829">
        <v>0</v>
      </c>
      <c r="W829">
        <v>86</v>
      </c>
      <c r="X829" s="2">
        <v>78.47</v>
      </c>
      <c r="Y829">
        <v>10</v>
      </c>
      <c r="Z829" t="s">
        <v>50</v>
      </c>
    </row>
    <row r="830" spans="1:26">
      <c r="A830" t="s">
        <v>1397</v>
      </c>
      <c r="B830" t="s">
        <v>415</v>
      </c>
      <c r="C830" t="s">
        <v>137</v>
      </c>
      <c r="D830" t="s">
        <v>29</v>
      </c>
      <c r="E830">
        <v>26</v>
      </c>
      <c r="F830" t="s">
        <v>40</v>
      </c>
      <c r="G830" t="s">
        <v>104</v>
      </c>
      <c r="H830" t="s">
        <v>86</v>
      </c>
      <c r="I830" t="e">
        <f ca="1">_xludf.XLOOKUP(H830,Base_Planos!$A:$A,Base_Planos!$B:$B,"Não encontrado")</f>
        <v>#NAME?</v>
      </c>
      <c r="J830" s="2">
        <f>VLOOKUP(H830,Base_Planos!$A:$G,4,FALSE)</f>
        <v>119.9</v>
      </c>
      <c r="K830" s="4">
        <v>45928</v>
      </c>
      <c r="L830" t="s">
        <v>189</v>
      </c>
      <c r="M830" t="s">
        <v>44</v>
      </c>
      <c r="N830" s="4"/>
      <c r="O830" s="10">
        <f t="shared" ca="1" si="76"/>
        <v>241</v>
      </c>
      <c r="P830" s="10" t="str">
        <f t="shared" ca="1" si="73"/>
        <v>181 a 365 dias</v>
      </c>
      <c r="Q830">
        <f t="shared" si="78"/>
        <v>1</v>
      </c>
      <c r="R830">
        <v>9</v>
      </c>
      <c r="S830" s="11">
        <f t="shared" si="77"/>
        <v>119.9</v>
      </c>
      <c r="T830" s="11" t="str">
        <f t="shared" si="74"/>
        <v>Promotor</v>
      </c>
      <c r="U830" s="11" t="str">
        <f t="shared" si="75"/>
        <v>Alto risco</v>
      </c>
      <c r="V830">
        <v>0</v>
      </c>
      <c r="W830">
        <v>67</v>
      </c>
      <c r="X830" s="2">
        <v>123.25</v>
      </c>
      <c r="Y830">
        <v>8</v>
      </c>
      <c r="Z830" t="s">
        <v>50</v>
      </c>
    </row>
    <row r="831" spans="1:26">
      <c r="A831" t="s">
        <v>1398</v>
      </c>
      <c r="B831" t="s">
        <v>1399</v>
      </c>
      <c r="C831" t="s">
        <v>28</v>
      </c>
      <c r="D831" t="s">
        <v>29</v>
      </c>
      <c r="E831">
        <v>53</v>
      </c>
      <c r="F831" t="s">
        <v>40</v>
      </c>
      <c r="G831" t="s">
        <v>73</v>
      </c>
      <c r="H831" t="s">
        <v>61</v>
      </c>
      <c r="I831" t="e">
        <f ca="1">_xludf.XLOOKUP(H831,Base_Planos!$A:$A,Base_Planos!$B:$B,"Não encontrado")</f>
        <v>#NAME?</v>
      </c>
      <c r="J831" s="2">
        <f>VLOOKUP(H831,Base_Planos!$A:$G,4,FALSE)</f>
        <v>59.9</v>
      </c>
      <c r="K831" s="4">
        <v>45769</v>
      </c>
      <c r="L831" t="s">
        <v>222</v>
      </c>
      <c r="M831" t="s">
        <v>34</v>
      </c>
      <c r="N831" s="4">
        <v>46047</v>
      </c>
      <c r="O831" s="10">
        <f t="shared" ca="1" si="76"/>
        <v>278</v>
      </c>
      <c r="P831" s="10" t="str">
        <f t="shared" ca="1" si="73"/>
        <v>181 a 365 dias</v>
      </c>
      <c r="Q831">
        <f t="shared" si="78"/>
        <v>0</v>
      </c>
      <c r="R831">
        <v>6</v>
      </c>
      <c r="S831" s="11">
        <f t="shared" si="77"/>
        <v>0</v>
      </c>
      <c r="T831" s="11" t="str">
        <f t="shared" si="74"/>
        <v>Detrator</v>
      </c>
      <c r="U831" s="11" t="str">
        <f t="shared" si="75"/>
        <v>Alto risco</v>
      </c>
      <c r="V831">
        <v>0</v>
      </c>
      <c r="W831">
        <v>29</v>
      </c>
      <c r="X831" s="2">
        <v>54.99</v>
      </c>
      <c r="Y831">
        <v>9</v>
      </c>
      <c r="Z831" t="s">
        <v>35</v>
      </c>
    </row>
    <row r="832" spans="1:26">
      <c r="A832" t="s">
        <v>1400</v>
      </c>
      <c r="B832" t="s">
        <v>543</v>
      </c>
      <c r="C832" t="s">
        <v>140</v>
      </c>
      <c r="D832" t="s">
        <v>141</v>
      </c>
      <c r="E832">
        <v>46</v>
      </c>
      <c r="F832" t="s">
        <v>54</v>
      </c>
      <c r="G832" t="s">
        <v>96</v>
      </c>
      <c r="H832" t="s">
        <v>112</v>
      </c>
      <c r="I832" t="e">
        <f ca="1">_xludf.XLOOKUP(H832,Base_Planos!$A:$A,Base_Planos!$B:$B,"Não encontrado")</f>
        <v>#NAME?</v>
      </c>
      <c r="J832" s="2">
        <f>VLOOKUP(H832,Base_Planos!$A:$G,4,FALSE)</f>
        <v>79.900000000000006</v>
      </c>
      <c r="K832" s="4">
        <v>45152</v>
      </c>
      <c r="L832" t="s">
        <v>162</v>
      </c>
      <c r="M832" t="s">
        <v>44</v>
      </c>
      <c r="N832" s="4"/>
      <c r="O832" s="10">
        <f t="shared" ca="1" si="76"/>
        <v>1017</v>
      </c>
      <c r="P832" s="10" t="str">
        <f t="shared" ca="1" si="73"/>
        <v>Mais de 1 ano</v>
      </c>
      <c r="Q832">
        <f t="shared" si="78"/>
        <v>0</v>
      </c>
      <c r="R832">
        <v>9</v>
      </c>
      <c r="S832" s="11">
        <f t="shared" si="77"/>
        <v>0</v>
      </c>
      <c r="T832" s="11" t="str">
        <f t="shared" si="74"/>
        <v>Promotor</v>
      </c>
      <c r="U832" s="11" t="str">
        <f t="shared" si="75"/>
        <v>Baixo risco</v>
      </c>
      <c r="V832">
        <v>0</v>
      </c>
      <c r="W832">
        <v>47</v>
      </c>
      <c r="X832" s="2">
        <v>68.25</v>
      </c>
      <c r="Y832">
        <v>33</v>
      </c>
      <c r="Z832" t="s">
        <v>50</v>
      </c>
    </row>
    <row r="833" spans="1:26">
      <c r="A833" t="s">
        <v>1401</v>
      </c>
      <c r="B833" t="s">
        <v>240</v>
      </c>
      <c r="C833" t="s">
        <v>48</v>
      </c>
      <c r="D833" t="s">
        <v>29</v>
      </c>
      <c r="E833">
        <v>63</v>
      </c>
      <c r="F833" t="s">
        <v>30</v>
      </c>
      <c r="G833" t="s">
        <v>165</v>
      </c>
      <c r="H833" t="s">
        <v>82</v>
      </c>
      <c r="I833" t="e">
        <f ca="1">_xludf.XLOOKUP(H833,Base_Planos!$A:$A,Base_Planos!$B:$B,"Não encontrado")</f>
        <v>#NAME?</v>
      </c>
      <c r="J833" s="2">
        <f>VLOOKUP(H833,Base_Planos!$A:$G,4,FALSE)</f>
        <v>149.9</v>
      </c>
      <c r="K833" s="4">
        <v>46059</v>
      </c>
      <c r="L833" t="s">
        <v>74</v>
      </c>
      <c r="M833" t="s">
        <v>34</v>
      </c>
      <c r="N833" s="4">
        <v>46109</v>
      </c>
      <c r="O833" s="10">
        <f t="shared" ca="1" si="76"/>
        <v>50</v>
      </c>
      <c r="P833" s="10" t="str">
        <f t="shared" ca="1" si="73"/>
        <v>31 a 90 dias</v>
      </c>
      <c r="Q833">
        <f t="shared" si="78"/>
        <v>0</v>
      </c>
      <c r="R833">
        <v>1</v>
      </c>
      <c r="S833" s="11">
        <f t="shared" si="77"/>
        <v>0</v>
      </c>
      <c r="T833" s="11" t="str">
        <f t="shared" si="74"/>
        <v>Detrator</v>
      </c>
      <c r="U833" s="11" t="str">
        <f t="shared" si="75"/>
        <v>Alto risco</v>
      </c>
      <c r="V833">
        <v>0</v>
      </c>
      <c r="W833">
        <v>29</v>
      </c>
      <c r="X833" s="2">
        <v>139.27000000000001</v>
      </c>
      <c r="Y833">
        <v>1</v>
      </c>
      <c r="Z833" t="s">
        <v>35</v>
      </c>
    </row>
    <row r="834" spans="1:26">
      <c r="A834" t="s">
        <v>1402</v>
      </c>
      <c r="B834" t="s">
        <v>709</v>
      </c>
      <c r="C834" t="s">
        <v>140</v>
      </c>
      <c r="D834" t="s">
        <v>141</v>
      </c>
      <c r="E834">
        <v>28</v>
      </c>
      <c r="F834" t="s">
        <v>66</v>
      </c>
      <c r="G834" t="s">
        <v>165</v>
      </c>
      <c r="H834" t="s">
        <v>112</v>
      </c>
      <c r="I834" t="e">
        <f ca="1">_xludf.XLOOKUP(H834,Base_Planos!$A:$A,Base_Planos!$B:$B,"Não encontrado")</f>
        <v>#NAME?</v>
      </c>
      <c r="J834" s="2">
        <f>VLOOKUP(H834,Base_Planos!$A:$G,4,FALSE)</f>
        <v>79.900000000000006</v>
      </c>
      <c r="K834" s="4">
        <v>46059</v>
      </c>
      <c r="L834" t="s">
        <v>74</v>
      </c>
      <c r="M834" t="s">
        <v>44</v>
      </c>
      <c r="N834" s="4"/>
      <c r="O834" s="10">
        <f t="shared" ca="1" si="76"/>
        <v>110</v>
      </c>
      <c r="P834" s="10" t="str">
        <f t="shared" ref="P834:P897" ca="1" si="79">IF(O834&lt;=30,"Até 30 dias",IF(O834&lt;=90,"31 a 90 dias",IF(O834&lt;=180,"91 a 180 dias",IF(O834&lt;=365,"181 a 365 dias","Mais de 1 ano"))))</f>
        <v>91 a 180 dias</v>
      </c>
      <c r="Q834">
        <f t="shared" si="78"/>
        <v>0</v>
      </c>
      <c r="R834">
        <v>3</v>
      </c>
      <c r="S834" s="11">
        <f t="shared" si="77"/>
        <v>0</v>
      </c>
      <c r="T834" s="11" t="str">
        <f t="shared" ref="T834:T897" si="80">IF(R834&lt;=6,"Detrator",IF(R834&lt;=8,"Neutro","Promotor"))</f>
        <v>Detrator</v>
      </c>
      <c r="U834" s="11" t="str">
        <f t="shared" ref="U834:U897" si="81">IF(Q834=1,"Alto risco",IF(R834&lt;=6,"Alto risco",IF(R834&lt;=8,"Médio risco","Baixo risco")))</f>
        <v>Alto risco</v>
      </c>
      <c r="V834">
        <v>0</v>
      </c>
      <c r="W834">
        <v>54</v>
      </c>
      <c r="X834" s="2">
        <v>69.55</v>
      </c>
      <c r="Y834">
        <v>3</v>
      </c>
      <c r="Z834" t="s">
        <v>35</v>
      </c>
    </row>
    <row r="835" spans="1:26">
      <c r="A835" t="s">
        <v>1403</v>
      </c>
      <c r="B835" t="s">
        <v>248</v>
      </c>
      <c r="C835" t="s">
        <v>28</v>
      </c>
      <c r="D835" t="s">
        <v>29</v>
      </c>
      <c r="E835">
        <v>28</v>
      </c>
      <c r="F835" t="s">
        <v>30</v>
      </c>
      <c r="G835" t="s">
        <v>67</v>
      </c>
      <c r="H835" t="s">
        <v>42</v>
      </c>
      <c r="I835" t="e">
        <f ca="1">_xludf.XLOOKUP(H835,Base_Planos!$A:$A,Base_Planos!$B:$B,"Não encontrado")</f>
        <v>#NAME?</v>
      </c>
      <c r="J835" s="2">
        <f>VLOOKUP(H835,Base_Planos!$A:$G,4,FALSE)</f>
        <v>29.9</v>
      </c>
      <c r="K835" s="4">
        <v>45433</v>
      </c>
      <c r="L835" t="s">
        <v>130</v>
      </c>
      <c r="M835" t="s">
        <v>44</v>
      </c>
      <c r="N835" s="4"/>
      <c r="O835" s="10">
        <f t="shared" ref="O835:O898" ca="1" si="82">IF(M835="Cancelado",N835-K835,TODAY()-K835)</f>
        <v>736</v>
      </c>
      <c r="P835" s="10" t="str">
        <f t="shared" ca="1" si="79"/>
        <v>Mais de 1 ano</v>
      </c>
      <c r="Q835">
        <f t="shared" si="78"/>
        <v>0</v>
      </c>
      <c r="R835">
        <v>0</v>
      </c>
      <c r="S835" s="11">
        <f t="shared" ref="S835:S898" si="83">IF(Q835=1,J835,0)</f>
        <v>0</v>
      </c>
      <c r="T835" s="11" t="str">
        <f t="shared" si="80"/>
        <v>Detrator</v>
      </c>
      <c r="U835" s="11" t="str">
        <f t="shared" si="81"/>
        <v>Alto risco</v>
      </c>
      <c r="V835">
        <v>1</v>
      </c>
      <c r="W835">
        <v>71</v>
      </c>
      <c r="X835" s="2">
        <v>26.2</v>
      </c>
      <c r="Y835">
        <v>24</v>
      </c>
      <c r="Z835" t="s">
        <v>35</v>
      </c>
    </row>
    <row r="836" spans="1:26">
      <c r="A836" t="s">
        <v>1404</v>
      </c>
      <c r="B836" t="s">
        <v>1405</v>
      </c>
      <c r="C836" t="s">
        <v>53</v>
      </c>
      <c r="D836" t="s">
        <v>29</v>
      </c>
      <c r="E836">
        <v>23</v>
      </c>
      <c r="F836" t="s">
        <v>30</v>
      </c>
      <c r="G836" t="s">
        <v>41</v>
      </c>
      <c r="H836" t="s">
        <v>32</v>
      </c>
      <c r="I836" t="e">
        <f ca="1">_xludf.XLOOKUP(H836,Base_Planos!$A:$A,Base_Planos!$B:$B,"Não encontrado")</f>
        <v>#NAME?</v>
      </c>
      <c r="J836" s="2">
        <f>VLOOKUP(H836,Base_Planos!$A:$G,4,FALSE)</f>
        <v>39.9</v>
      </c>
      <c r="K836" s="4">
        <v>46036</v>
      </c>
      <c r="L836" t="s">
        <v>148</v>
      </c>
      <c r="M836" t="s">
        <v>44</v>
      </c>
      <c r="N836" s="4"/>
      <c r="O836" s="10">
        <f t="shared" ca="1" si="82"/>
        <v>133</v>
      </c>
      <c r="P836" s="10" t="str">
        <f t="shared" ca="1" si="79"/>
        <v>91 a 180 dias</v>
      </c>
      <c r="Q836">
        <f t="shared" si="78"/>
        <v>0</v>
      </c>
      <c r="R836">
        <v>9</v>
      </c>
      <c r="S836" s="11">
        <f t="shared" si="83"/>
        <v>0</v>
      </c>
      <c r="T836" s="11" t="str">
        <f t="shared" si="80"/>
        <v>Promotor</v>
      </c>
      <c r="U836" s="11" t="str">
        <f t="shared" si="81"/>
        <v>Baixo risco</v>
      </c>
      <c r="V836">
        <v>1</v>
      </c>
      <c r="W836">
        <v>50</v>
      </c>
      <c r="X836" s="2">
        <v>40.549999999999997</v>
      </c>
      <c r="Y836">
        <v>4</v>
      </c>
      <c r="Z836" t="s">
        <v>50</v>
      </c>
    </row>
    <row r="837" spans="1:26">
      <c r="A837" t="s">
        <v>1406</v>
      </c>
      <c r="B837" t="s">
        <v>520</v>
      </c>
      <c r="C837" t="s">
        <v>48</v>
      </c>
      <c r="D837" t="s">
        <v>29</v>
      </c>
      <c r="E837">
        <v>38</v>
      </c>
      <c r="F837" t="s">
        <v>54</v>
      </c>
      <c r="G837" t="s">
        <v>67</v>
      </c>
      <c r="H837" t="s">
        <v>42</v>
      </c>
      <c r="I837" t="e">
        <f ca="1">_xludf.XLOOKUP(H837,Base_Planos!$A:$A,Base_Planos!$B:$B,"Não encontrado")</f>
        <v>#NAME?</v>
      </c>
      <c r="J837" s="2">
        <f>VLOOKUP(H837,Base_Planos!$A:$G,4,FALSE)</f>
        <v>29.9</v>
      </c>
      <c r="K837" s="4">
        <v>45866</v>
      </c>
      <c r="L837" t="s">
        <v>212</v>
      </c>
      <c r="M837" t="s">
        <v>34</v>
      </c>
      <c r="N837" s="4">
        <v>46115</v>
      </c>
      <c r="O837" s="10">
        <f t="shared" ca="1" si="82"/>
        <v>249</v>
      </c>
      <c r="P837" s="10" t="str">
        <f t="shared" ca="1" si="79"/>
        <v>181 a 365 dias</v>
      </c>
      <c r="Q837">
        <f t="shared" si="78"/>
        <v>1</v>
      </c>
      <c r="R837">
        <v>3</v>
      </c>
      <c r="S837" s="11">
        <f t="shared" si="83"/>
        <v>29.9</v>
      </c>
      <c r="T837" s="11" t="str">
        <f t="shared" si="80"/>
        <v>Detrator</v>
      </c>
      <c r="U837" s="11" t="str">
        <f t="shared" si="81"/>
        <v>Alto risco</v>
      </c>
      <c r="V837">
        <v>0</v>
      </c>
      <c r="W837">
        <v>100</v>
      </c>
      <c r="X837" s="2">
        <v>31.2</v>
      </c>
      <c r="Y837">
        <v>8</v>
      </c>
      <c r="Z837" t="s">
        <v>45</v>
      </c>
    </row>
    <row r="838" spans="1:26">
      <c r="A838" t="s">
        <v>1407</v>
      </c>
      <c r="B838" t="s">
        <v>485</v>
      </c>
      <c r="C838" t="s">
        <v>77</v>
      </c>
      <c r="D838" t="s">
        <v>78</v>
      </c>
      <c r="E838">
        <v>36</v>
      </c>
      <c r="F838" t="s">
        <v>66</v>
      </c>
      <c r="G838" t="s">
        <v>31</v>
      </c>
      <c r="H838" t="s">
        <v>112</v>
      </c>
      <c r="I838" t="e">
        <f ca="1">_xludf.XLOOKUP(H838,Base_Planos!$A:$A,Base_Planos!$B:$B,"Não encontrado")</f>
        <v>#NAME?</v>
      </c>
      <c r="J838" s="2">
        <f>VLOOKUP(H838,Base_Planos!$A:$G,4,FALSE)</f>
        <v>79.900000000000006</v>
      </c>
      <c r="K838" s="4">
        <v>45944</v>
      </c>
      <c r="L838" t="s">
        <v>196</v>
      </c>
      <c r="M838" t="s">
        <v>44</v>
      </c>
      <c r="N838" s="4"/>
      <c r="O838" s="10">
        <f t="shared" ca="1" si="82"/>
        <v>225</v>
      </c>
      <c r="P838" s="10" t="str">
        <f t="shared" ca="1" si="79"/>
        <v>181 a 365 dias</v>
      </c>
      <c r="Q838">
        <f t="shared" si="78"/>
        <v>1</v>
      </c>
      <c r="R838">
        <v>6</v>
      </c>
      <c r="S838" s="11">
        <f t="shared" si="83"/>
        <v>79.900000000000006</v>
      </c>
      <c r="T838" s="11" t="str">
        <f t="shared" si="80"/>
        <v>Detrator</v>
      </c>
      <c r="U838" s="11" t="str">
        <f t="shared" si="81"/>
        <v>Alto risco</v>
      </c>
      <c r="V838">
        <v>1</v>
      </c>
      <c r="W838">
        <v>42</v>
      </c>
      <c r="X838" s="2">
        <v>77.150000000000006</v>
      </c>
      <c r="Y838">
        <v>7</v>
      </c>
      <c r="Z838" t="s">
        <v>45</v>
      </c>
    </row>
    <row r="839" spans="1:26">
      <c r="A839" t="s">
        <v>1408</v>
      </c>
      <c r="B839" t="s">
        <v>524</v>
      </c>
      <c r="C839" t="s">
        <v>48</v>
      </c>
      <c r="D839" t="s">
        <v>29</v>
      </c>
      <c r="E839">
        <v>32</v>
      </c>
      <c r="F839" t="s">
        <v>54</v>
      </c>
      <c r="G839" t="s">
        <v>104</v>
      </c>
      <c r="H839" t="s">
        <v>61</v>
      </c>
      <c r="I839" t="e">
        <f ca="1">_xludf.XLOOKUP(H839,Base_Planos!$A:$A,Base_Planos!$B:$B,"Não encontrado")</f>
        <v>#NAME?</v>
      </c>
      <c r="J839" s="2">
        <f>VLOOKUP(H839,Base_Planos!$A:$G,4,FALSE)</f>
        <v>59.9</v>
      </c>
      <c r="K839" s="4">
        <v>45563</v>
      </c>
      <c r="L839" t="s">
        <v>91</v>
      </c>
      <c r="M839" t="s">
        <v>44</v>
      </c>
      <c r="N839" s="4"/>
      <c r="O839" s="10">
        <f t="shared" ca="1" si="82"/>
        <v>606</v>
      </c>
      <c r="P839" s="10" t="str">
        <f t="shared" ca="1" si="79"/>
        <v>Mais de 1 ano</v>
      </c>
      <c r="Q839">
        <f t="shared" si="78"/>
        <v>1</v>
      </c>
      <c r="R839">
        <v>5</v>
      </c>
      <c r="S839" s="11">
        <f t="shared" si="83"/>
        <v>59.9</v>
      </c>
      <c r="T839" s="11" t="str">
        <f t="shared" si="80"/>
        <v>Detrator</v>
      </c>
      <c r="U839" s="11" t="str">
        <f t="shared" si="81"/>
        <v>Alto risco</v>
      </c>
      <c r="V839">
        <v>0</v>
      </c>
      <c r="W839">
        <v>88</v>
      </c>
      <c r="X839" s="2">
        <v>53.4</v>
      </c>
      <c r="Y839">
        <v>20</v>
      </c>
      <c r="Z839" t="s">
        <v>50</v>
      </c>
    </row>
    <row r="840" spans="1:26">
      <c r="A840" t="s">
        <v>1409</v>
      </c>
      <c r="B840" t="s">
        <v>1410</v>
      </c>
      <c r="C840" t="s">
        <v>59</v>
      </c>
      <c r="D840" t="s">
        <v>60</v>
      </c>
      <c r="E840">
        <v>23</v>
      </c>
      <c r="F840" t="s">
        <v>30</v>
      </c>
      <c r="G840" t="s">
        <v>104</v>
      </c>
      <c r="H840" t="s">
        <v>112</v>
      </c>
      <c r="I840" t="e">
        <f ca="1">_xludf.XLOOKUP(H840,Base_Planos!$A:$A,Base_Planos!$B:$B,"Não encontrado")</f>
        <v>#NAME?</v>
      </c>
      <c r="J840" s="2">
        <f>VLOOKUP(H840,Base_Planos!$A:$G,4,FALSE)</f>
        <v>79.900000000000006</v>
      </c>
      <c r="K840" s="4">
        <v>46087</v>
      </c>
      <c r="L840" t="s">
        <v>292</v>
      </c>
      <c r="M840" t="s">
        <v>44</v>
      </c>
      <c r="N840" s="4"/>
      <c r="O840" s="10">
        <f t="shared" ca="1" si="82"/>
        <v>82</v>
      </c>
      <c r="P840" s="10" t="str">
        <f t="shared" ca="1" si="79"/>
        <v>31 a 90 dias</v>
      </c>
      <c r="Q840">
        <f t="shared" si="78"/>
        <v>0</v>
      </c>
      <c r="R840">
        <v>3</v>
      </c>
      <c r="S840" s="11">
        <f t="shared" si="83"/>
        <v>0</v>
      </c>
      <c r="T840" s="11" t="str">
        <f t="shared" si="80"/>
        <v>Detrator</v>
      </c>
      <c r="U840" s="11" t="str">
        <f t="shared" si="81"/>
        <v>Alto risco</v>
      </c>
      <c r="V840">
        <v>0</v>
      </c>
      <c r="W840">
        <v>68</v>
      </c>
      <c r="X840" s="2">
        <v>81.25</v>
      </c>
      <c r="Y840">
        <v>2</v>
      </c>
      <c r="Z840" t="s">
        <v>45</v>
      </c>
    </row>
    <row r="841" spans="1:26">
      <c r="A841" t="s">
        <v>1411</v>
      </c>
      <c r="B841" t="s">
        <v>335</v>
      </c>
      <c r="C841" t="s">
        <v>137</v>
      </c>
      <c r="D841" t="s">
        <v>29</v>
      </c>
      <c r="E841">
        <v>54</v>
      </c>
      <c r="F841" t="s">
        <v>54</v>
      </c>
      <c r="G841" t="s">
        <v>67</v>
      </c>
      <c r="H841" t="s">
        <v>42</v>
      </c>
      <c r="I841" t="e">
        <f ca="1">_xludf.XLOOKUP(H841,Base_Planos!$A:$A,Base_Planos!$B:$B,"Não encontrado")</f>
        <v>#NAME?</v>
      </c>
      <c r="J841" s="2">
        <f>VLOOKUP(H841,Base_Planos!$A:$G,4,FALSE)</f>
        <v>29.9</v>
      </c>
      <c r="K841" s="4">
        <v>45355</v>
      </c>
      <c r="L841" t="s">
        <v>126</v>
      </c>
      <c r="M841" t="s">
        <v>44</v>
      </c>
      <c r="N841" s="4"/>
      <c r="O841" s="10">
        <f t="shared" ca="1" si="82"/>
        <v>814</v>
      </c>
      <c r="P841" s="10" t="str">
        <f t="shared" ca="1" si="79"/>
        <v>Mais de 1 ano</v>
      </c>
      <c r="Q841">
        <f t="shared" si="78"/>
        <v>1</v>
      </c>
      <c r="R841">
        <v>8</v>
      </c>
      <c r="S841" s="11">
        <f t="shared" si="83"/>
        <v>29.9</v>
      </c>
      <c r="T841" s="11" t="str">
        <f t="shared" si="80"/>
        <v>Neutro</v>
      </c>
      <c r="U841" s="11" t="str">
        <f t="shared" si="81"/>
        <v>Alto risco</v>
      </c>
      <c r="V841">
        <v>0</v>
      </c>
      <c r="W841">
        <v>23</v>
      </c>
      <c r="X841" s="2">
        <v>27.34</v>
      </c>
      <c r="Y841">
        <v>27</v>
      </c>
      <c r="Z841" t="s">
        <v>50</v>
      </c>
    </row>
    <row r="842" spans="1:26">
      <c r="A842" t="s">
        <v>1412</v>
      </c>
      <c r="B842" t="s">
        <v>324</v>
      </c>
      <c r="C842" t="s">
        <v>38</v>
      </c>
      <c r="D842" t="s">
        <v>39</v>
      </c>
      <c r="E842">
        <v>53</v>
      </c>
      <c r="F842" t="s">
        <v>66</v>
      </c>
      <c r="G842" t="s">
        <v>55</v>
      </c>
      <c r="H842" t="s">
        <v>86</v>
      </c>
      <c r="I842" t="e">
        <f ca="1">_xludf.XLOOKUP(H842,Base_Planos!$A:$A,Base_Planos!$B:$B,"Não encontrado")</f>
        <v>#NAME?</v>
      </c>
      <c r="J842" s="2">
        <f>VLOOKUP(H842,Base_Planos!$A:$G,4,FALSE)</f>
        <v>119.9</v>
      </c>
      <c r="K842" s="4">
        <v>45798</v>
      </c>
      <c r="L842" t="s">
        <v>97</v>
      </c>
      <c r="M842" t="s">
        <v>44</v>
      </c>
      <c r="N842" s="4"/>
      <c r="O842" s="10">
        <f t="shared" ca="1" si="82"/>
        <v>371</v>
      </c>
      <c r="P842" s="10" t="str">
        <f t="shared" ca="1" si="79"/>
        <v>Mais de 1 ano</v>
      </c>
      <c r="Q842">
        <f t="shared" si="78"/>
        <v>0</v>
      </c>
      <c r="R842">
        <v>1</v>
      </c>
      <c r="S842" s="11">
        <f t="shared" si="83"/>
        <v>0</v>
      </c>
      <c r="T842" s="11" t="str">
        <f t="shared" si="80"/>
        <v>Detrator</v>
      </c>
      <c r="U842" s="11" t="str">
        <f t="shared" si="81"/>
        <v>Alto risco</v>
      </c>
      <c r="V842">
        <v>0</v>
      </c>
      <c r="W842">
        <v>90</v>
      </c>
      <c r="X842" s="2">
        <v>105.9</v>
      </c>
      <c r="Y842">
        <v>12</v>
      </c>
      <c r="Z842" t="s">
        <v>35</v>
      </c>
    </row>
    <row r="843" spans="1:26">
      <c r="A843" t="s">
        <v>1413</v>
      </c>
      <c r="B843" t="s">
        <v>217</v>
      </c>
      <c r="C843" t="s">
        <v>28</v>
      </c>
      <c r="D843" t="s">
        <v>29</v>
      </c>
      <c r="E843">
        <v>45</v>
      </c>
      <c r="F843" t="s">
        <v>54</v>
      </c>
      <c r="G843" t="s">
        <v>104</v>
      </c>
      <c r="H843" t="s">
        <v>32</v>
      </c>
      <c r="I843" t="e">
        <f ca="1">_xludf.XLOOKUP(H843,Base_Planos!$A:$A,Base_Planos!$B:$B,"Não encontrado")</f>
        <v>#NAME?</v>
      </c>
      <c r="J843" s="2">
        <f>VLOOKUP(H843,Base_Planos!$A:$G,4,FALSE)</f>
        <v>39.9</v>
      </c>
      <c r="K843" s="4">
        <v>46047</v>
      </c>
      <c r="L843" t="s">
        <v>148</v>
      </c>
      <c r="M843" t="s">
        <v>44</v>
      </c>
      <c r="N843" s="4"/>
      <c r="O843" s="10">
        <f t="shared" ca="1" si="82"/>
        <v>122</v>
      </c>
      <c r="P843" s="10" t="str">
        <f t="shared" ca="1" si="79"/>
        <v>91 a 180 dias</v>
      </c>
      <c r="Q843">
        <f t="shared" si="78"/>
        <v>1</v>
      </c>
      <c r="R843">
        <v>6</v>
      </c>
      <c r="S843" s="11">
        <f t="shared" si="83"/>
        <v>39.9</v>
      </c>
      <c r="T843" s="11" t="str">
        <f t="shared" si="80"/>
        <v>Detrator</v>
      </c>
      <c r="U843" s="11" t="str">
        <f t="shared" si="81"/>
        <v>Alto risco</v>
      </c>
      <c r="V843">
        <v>0</v>
      </c>
      <c r="W843">
        <v>70</v>
      </c>
      <c r="X843" s="2">
        <v>41.27</v>
      </c>
      <c r="Y843">
        <v>4</v>
      </c>
      <c r="Z843" t="s">
        <v>50</v>
      </c>
    </row>
    <row r="844" spans="1:26">
      <c r="A844" t="s">
        <v>1414</v>
      </c>
      <c r="B844" t="s">
        <v>377</v>
      </c>
      <c r="C844" t="s">
        <v>38</v>
      </c>
      <c r="D844" t="s">
        <v>39</v>
      </c>
      <c r="E844">
        <v>38</v>
      </c>
      <c r="F844" t="s">
        <v>40</v>
      </c>
      <c r="G844" t="s">
        <v>165</v>
      </c>
      <c r="H844" t="s">
        <v>61</v>
      </c>
      <c r="I844" t="e">
        <f ca="1">_xludf.XLOOKUP(H844,Base_Planos!$A:$A,Base_Planos!$B:$B,"Não encontrado")</f>
        <v>#NAME?</v>
      </c>
      <c r="J844" s="2">
        <f>VLOOKUP(H844,Base_Planos!$A:$G,4,FALSE)</f>
        <v>59.9</v>
      </c>
      <c r="K844" s="4">
        <v>45266</v>
      </c>
      <c r="L844" t="s">
        <v>62</v>
      </c>
      <c r="M844" t="s">
        <v>44</v>
      </c>
      <c r="N844" s="4"/>
      <c r="O844" s="10">
        <f t="shared" ca="1" si="82"/>
        <v>903</v>
      </c>
      <c r="P844" s="10" t="str">
        <f t="shared" ca="1" si="79"/>
        <v>Mais de 1 ano</v>
      </c>
      <c r="Q844">
        <f t="shared" si="78"/>
        <v>0</v>
      </c>
      <c r="R844">
        <v>2</v>
      </c>
      <c r="S844" s="11">
        <f t="shared" si="83"/>
        <v>0</v>
      </c>
      <c r="T844" s="11" t="str">
        <f t="shared" si="80"/>
        <v>Detrator</v>
      </c>
      <c r="U844" s="11" t="str">
        <f t="shared" si="81"/>
        <v>Alto risco</v>
      </c>
      <c r="V844">
        <v>2</v>
      </c>
      <c r="W844">
        <v>98</v>
      </c>
      <c r="X844" s="2">
        <v>55.36</v>
      </c>
      <c r="Y844">
        <v>30</v>
      </c>
      <c r="Z844" t="s">
        <v>35</v>
      </c>
    </row>
    <row r="845" spans="1:26">
      <c r="A845" t="s">
        <v>1415</v>
      </c>
      <c r="B845" t="s">
        <v>1046</v>
      </c>
      <c r="C845" t="s">
        <v>77</v>
      </c>
      <c r="D845" t="s">
        <v>78</v>
      </c>
      <c r="E845">
        <v>47</v>
      </c>
      <c r="F845" t="s">
        <v>30</v>
      </c>
      <c r="G845" t="s">
        <v>165</v>
      </c>
      <c r="H845" t="s">
        <v>86</v>
      </c>
      <c r="I845" t="e">
        <f ca="1">_xludf.XLOOKUP(H845,Base_Planos!$A:$A,Base_Planos!$B:$B,"Não encontrado")</f>
        <v>#NAME?</v>
      </c>
      <c r="J845" s="2">
        <f>VLOOKUP(H845,Base_Planos!$A:$G,4,FALSE)</f>
        <v>119.9</v>
      </c>
      <c r="K845" s="4">
        <v>45204</v>
      </c>
      <c r="L845" t="s">
        <v>215</v>
      </c>
      <c r="M845" t="s">
        <v>44</v>
      </c>
      <c r="N845" s="4"/>
      <c r="O845" s="10">
        <f t="shared" ca="1" si="82"/>
        <v>965</v>
      </c>
      <c r="P845" s="10" t="str">
        <f t="shared" ca="1" si="79"/>
        <v>Mais de 1 ano</v>
      </c>
      <c r="Q845">
        <f t="shared" si="78"/>
        <v>0</v>
      </c>
      <c r="R845">
        <v>2</v>
      </c>
      <c r="S845" s="11">
        <f t="shared" si="83"/>
        <v>0</v>
      </c>
      <c r="T845" s="11" t="str">
        <f t="shared" si="80"/>
        <v>Detrator</v>
      </c>
      <c r="U845" s="11" t="str">
        <f t="shared" si="81"/>
        <v>Alto risco</v>
      </c>
      <c r="V845">
        <v>0</v>
      </c>
      <c r="W845">
        <v>48</v>
      </c>
      <c r="X845" s="2">
        <v>105.52</v>
      </c>
      <c r="Y845">
        <v>32</v>
      </c>
      <c r="Z845" t="s">
        <v>35</v>
      </c>
    </row>
    <row r="846" spans="1:26">
      <c r="A846" t="s">
        <v>1416</v>
      </c>
      <c r="B846" t="s">
        <v>990</v>
      </c>
      <c r="C846" t="s">
        <v>140</v>
      </c>
      <c r="D846" t="s">
        <v>141</v>
      </c>
      <c r="E846">
        <v>62</v>
      </c>
      <c r="F846" t="s">
        <v>30</v>
      </c>
      <c r="G846" t="s">
        <v>55</v>
      </c>
      <c r="H846" t="s">
        <v>112</v>
      </c>
      <c r="I846" t="e">
        <f ca="1">_xludf.XLOOKUP(H846,Base_Planos!$A:$A,Base_Planos!$B:$B,"Não encontrado")</f>
        <v>#NAME?</v>
      </c>
      <c r="J846" s="2">
        <f>VLOOKUP(H846,Base_Planos!$A:$G,4,FALSE)</f>
        <v>79.900000000000006</v>
      </c>
      <c r="K846" s="4">
        <v>45604</v>
      </c>
      <c r="L846" t="s">
        <v>83</v>
      </c>
      <c r="M846" t="s">
        <v>34</v>
      </c>
      <c r="N846" s="4">
        <v>45865</v>
      </c>
      <c r="O846" s="10">
        <f t="shared" ca="1" si="82"/>
        <v>261</v>
      </c>
      <c r="P846" s="10" t="str">
        <f t="shared" ca="1" si="79"/>
        <v>181 a 365 dias</v>
      </c>
      <c r="Q846">
        <f t="shared" si="78"/>
        <v>1</v>
      </c>
      <c r="R846">
        <v>1</v>
      </c>
      <c r="S846" s="11">
        <f t="shared" si="83"/>
        <v>79.900000000000006</v>
      </c>
      <c r="T846" s="11" t="str">
        <f t="shared" si="80"/>
        <v>Detrator</v>
      </c>
      <c r="U846" s="11" t="str">
        <f t="shared" si="81"/>
        <v>Alto risco</v>
      </c>
      <c r="V846">
        <v>0</v>
      </c>
      <c r="W846">
        <v>68</v>
      </c>
      <c r="X846" s="2">
        <v>68.14</v>
      </c>
      <c r="Y846">
        <v>8</v>
      </c>
      <c r="Z846" t="s">
        <v>45</v>
      </c>
    </row>
    <row r="847" spans="1:26">
      <c r="A847" t="s">
        <v>1417</v>
      </c>
      <c r="B847" t="s">
        <v>1418</v>
      </c>
      <c r="C847" t="s">
        <v>140</v>
      </c>
      <c r="D847" t="s">
        <v>141</v>
      </c>
      <c r="E847">
        <v>45</v>
      </c>
      <c r="F847" t="s">
        <v>54</v>
      </c>
      <c r="G847" t="s">
        <v>73</v>
      </c>
      <c r="H847" t="s">
        <v>112</v>
      </c>
      <c r="I847" t="e">
        <f ca="1">_xludf.XLOOKUP(H847,Base_Planos!$A:$A,Base_Planos!$B:$B,"Não encontrado")</f>
        <v>#NAME?</v>
      </c>
      <c r="J847" s="2">
        <f>VLOOKUP(H847,Base_Planos!$A:$G,4,FALSE)</f>
        <v>79.900000000000006</v>
      </c>
      <c r="K847" s="4">
        <v>45752</v>
      </c>
      <c r="L847" t="s">
        <v>222</v>
      </c>
      <c r="M847" t="s">
        <v>44</v>
      </c>
      <c r="N847" s="4"/>
      <c r="O847" s="10">
        <f t="shared" ca="1" si="82"/>
        <v>417</v>
      </c>
      <c r="P847" s="10" t="str">
        <f t="shared" ca="1" si="79"/>
        <v>Mais de 1 ano</v>
      </c>
      <c r="Q847">
        <f t="shared" si="78"/>
        <v>0</v>
      </c>
      <c r="R847">
        <v>4</v>
      </c>
      <c r="S847" s="11">
        <f t="shared" si="83"/>
        <v>0</v>
      </c>
      <c r="T847" s="11" t="str">
        <f t="shared" si="80"/>
        <v>Detrator</v>
      </c>
      <c r="U847" s="11" t="str">
        <f t="shared" si="81"/>
        <v>Alto risco</v>
      </c>
      <c r="V847">
        <v>0</v>
      </c>
      <c r="W847">
        <v>41</v>
      </c>
      <c r="X847" s="2">
        <v>69.56</v>
      </c>
      <c r="Y847">
        <v>13</v>
      </c>
      <c r="Z847" t="s">
        <v>35</v>
      </c>
    </row>
    <row r="848" spans="1:26">
      <c r="A848" t="s">
        <v>1419</v>
      </c>
      <c r="B848" t="s">
        <v>1418</v>
      </c>
      <c r="C848" t="s">
        <v>94</v>
      </c>
      <c r="D848" t="s">
        <v>95</v>
      </c>
      <c r="E848">
        <v>34</v>
      </c>
      <c r="F848" t="s">
        <v>54</v>
      </c>
      <c r="G848" t="s">
        <v>96</v>
      </c>
      <c r="H848" t="s">
        <v>82</v>
      </c>
      <c r="I848" t="e">
        <f ca="1">_xludf.XLOOKUP(H848,Base_Planos!$A:$A,Base_Planos!$B:$B,"Não encontrado")</f>
        <v>#NAME?</v>
      </c>
      <c r="J848" s="2">
        <f>VLOOKUP(H848,Base_Planos!$A:$G,4,FALSE)</f>
        <v>149.9</v>
      </c>
      <c r="K848" s="4">
        <v>46129</v>
      </c>
      <c r="L848" t="s">
        <v>43</v>
      </c>
      <c r="M848" t="s">
        <v>44</v>
      </c>
      <c r="N848" s="4"/>
      <c r="O848" s="10">
        <f t="shared" ca="1" si="82"/>
        <v>40</v>
      </c>
      <c r="P848" s="10" t="str">
        <f t="shared" ca="1" si="79"/>
        <v>31 a 90 dias</v>
      </c>
      <c r="Q848">
        <f t="shared" si="78"/>
        <v>0</v>
      </c>
      <c r="R848">
        <v>10</v>
      </c>
      <c r="S848" s="11">
        <f t="shared" si="83"/>
        <v>0</v>
      </c>
      <c r="T848" s="11" t="str">
        <f t="shared" si="80"/>
        <v>Promotor</v>
      </c>
      <c r="U848" s="11" t="str">
        <f t="shared" si="81"/>
        <v>Baixo risco</v>
      </c>
      <c r="V848">
        <v>1</v>
      </c>
      <c r="W848">
        <v>32</v>
      </c>
      <c r="X848" s="2">
        <v>135.72999999999999</v>
      </c>
      <c r="Y848">
        <v>1</v>
      </c>
      <c r="Z848" t="s">
        <v>35</v>
      </c>
    </row>
    <row r="849" spans="1:26">
      <c r="A849" t="s">
        <v>1420</v>
      </c>
      <c r="B849" t="s">
        <v>889</v>
      </c>
      <c r="C849" t="s">
        <v>65</v>
      </c>
      <c r="D849" t="s">
        <v>29</v>
      </c>
      <c r="E849">
        <v>48</v>
      </c>
      <c r="F849" t="s">
        <v>30</v>
      </c>
      <c r="G849" t="s">
        <v>67</v>
      </c>
      <c r="H849" t="s">
        <v>82</v>
      </c>
      <c r="I849" t="e">
        <f ca="1">_xludf.XLOOKUP(H849,Base_Planos!$A:$A,Base_Planos!$B:$B,"Não encontrado")</f>
        <v>#NAME?</v>
      </c>
      <c r="J849" s="2">
        <f>VLOOKUP(H849,Base_Planos!$A:$G,4,FALSE)</f>
        <v>149.9</v>
      </c>
      <c r="K849" s="4">
        <v>45370</v>
      </c>
      <c r="L849" t="s">
        <v>126</v>
      </c>
      <c r="M849" t="s">
        <v>44</v>
      </c>
      <c r="N849" s="4"/>
      <c r="O849" s="10">
        <f t="shared" ca="1" si="82"/>
        <v>799</v>
      </c>
      <c r="P849" s="10" t="str">
        <f t="shared" ca="1" si="79"/>
        <v>Mais de 1 ano</v>
      </c>
      <c r="Q849">
        <f t="shared" si="78"/>
        <v>0</v>
      </c>
      <c r="R849">
        <v>1</v>
      </c>
      <c r="S849" s="11">
        <f t="shared" si="83"/>
        <v>0</v>
      </c>
      <c r="T849" s="11" t="str">
        <f t="shared" si="80"/>
        <v>Detrator</v>
      </c>
      <c r="U849" s="11" t="str">
        <f t="shared" si="81"/>
        <v>Alto risco</v>
      </c>
      <c r="V849">
        <v>0</v>
      </c>
      <c r="W849">
        <v>40</v>
      </c>
      <c r="X849" s="2">
        <v>127.42</v>
      </c>
      <c r="Y849">
        <v>26</v>
      </c>
      <c r="Z849" t="s">
        <v>45</v>
      </c>
    </row>
    <row r="850" spans="1:26">
      <c r="A850" t="s">
        <v>1421</v>
      </c>
      <c r="B850" t="s">
        <v>1203</v>
      </c>
      <c r="C850" t="s">
        <v>94</v>
      </c>
      <c r="D850" t="s">
        <v>95</v>
      </c>
      <c r="E850">
        <v>50</v>
      </c>
      <c r="F850" t="s">
        <v>40</v>
      </c>
      <c r="G850" t="s">
        <v>41</v>
      </c>
      <c r="H850" t="s">
        <v>61</v>
      </c>
      <c r="I850" t="e">
        <f ca="1">_xludf.XLOOKUP(H850,Base_Planos!$A:$A,Base_Planos!$B:$B,"Não encontrado")</f>
        <v>#NAME?</v>
      </c>
      <c r="J850" s="2">
        <f>VLOOKUP(H850,Base_Planos!$A:$G,4,FALSE)</f>
        <v>59.9</v>
      </c>
      <c r="K850" s="4">
        <v>45596</v>
      </c>
      <c r="L850" t="s">
        <v>123</v>
      </c>
      <c r="M850" t="s">
        <v>44</v>
      </c>
      <c r="N850" s="4"/>
      <c r="O850" s="10">
        <f t="shared" ca="1" si="82"/>
        <v>573</v>
      </c>
      <c r="P850" s="10" t="str">
        <f t="shared" ca="1" si="79"/>
        <v>Mais de 1 ano</v>
      </c>
      <c r="Q850">
        <f t="shared" si="78"/>
        <v>0</v>
      </c>
      <c r="R850">
        <v>4</v>
      </c>
      <c r="S850" s="11">
        <f t="shared" si="83"/>
        <v>0</v>
      </c>
      <c r="T850" s="11" t="str">
        <f t="shared" si="80"/>
        <v>Detrator</v>
      </c>
      <c r="U850" s="11" t="str">
        <f t="shared" si="81"/>
        <v>Alto risco</v>
      </c>
      <c r="V850">
        <v>0</v>
      </c>
      <c r="W850">
        <v>56</v>
      </c>
      <c r="X850" s="2">
        <v>55.53</v>
      </c>
      <c r="Y850">
        <v>19</v>
      </c>
      <c r="Z850" t="s">
        <v>35</v>
      </c>
    </row>
    <row r="851" spans="1:26">
      <c r="A851" t="s">
        <v>1422</v>
      </c>
      <c r="B851" t="s">
        <v>1315</v>
      </c>
      <c r="C851" t="s">
        <v>140</v>
      </c>
      <c r="D851" t="s">
        <v>141</v>
      </c>
      <c r="E851">
        <v>51</v>
      </c>
      <c r="F851" t="s">
        <v>30</v>
      </c>
      <c r="G851" t="s">
        <v>55</v>
      </c>
      <c r="H851" t="s">
        <v>86</v>
      </c>
      <c r="I851" t="e">
        <f ca="1">_xludf.XLOOKUP(H851,Base_Planos!$A:$A,Base_Planos!$B:$B,"Não encontrado")</f>
        <v>#NAME?</v>
      </c>
      <c r="J851" s="2">
        <f>VLOOKUP(H851,Base_Planos!$A:$G,4,FALSE)</f>
        <v>119.9</v>
      </c>
      <c r="K851" s="4">
        <v>45365</v>
      </c>
      <c r="L851" t="s">
        <v>126</v>
      </c>
      <c r="M851" t="s">
        <v>44</v>
      </c>
      <c r="N851" s="4"/>
      <c r="O851" s="10">
        <f t="shared" ca="1" si="82"/>
        <v>804</v>
      </c>
      <c r="P851" s="10" t="str">
        <f t="shared" ca="1" si="79"/>
        <v>Mais de 1 ano</v>
      </c>
      <c r="Q851">
        <f t="shared" si="78"/>
        <v>0</v>
      </c>
      <c r="R851">
        <v>2</v>
      </c>
      <c r="S851" s="11">
        <f t="shared" si="83"/>
        <v>0</v>
      </c>
      <c r="T851" s="11" t="str">
        <f t="shared" si="80"/>
        <v>Detrator</v>
      </c>
      <c r="U851" s="11" t="str">
        <f t="shared" si="81"/>
        <v>Alto risco</v>
      </c>
      <c r="V851">
        <v>1</v>
      </c>
      <c r="W851">
        <v>39</v>
      </c>
      <c r="X851" s="2">
        <v>115.36</v>
      </c>
      <c r="Y851">
        <v>26</v>
      </c>
      <c r="Z851" t="s">
        <v>45</v>
      </c>
    </row>
    <row r="852" spans="1:26">
      <c r="A852" t="s">
        <v>1423</v>
      </c>
      <c r="B852" t="s">
        <v>1108</v>
      </c>
      <c r="C852" t="s">
        <v>65</v>
      </c>
      <c r="D852" t="s">
        <v>29</v>
      </c>
      <c r="E852">
        <v>25</v>
      </c>
      <c r="F852" t="s">
        <v>54</v>
      </c>
      <c r="G852" t="s">
        <v>41</v>
      </c>
      <c r="H852" t="s">
        <v>61</v>
      </c>
      <c r="I852" t="e">
        <f ca="1">_xludf.XLOOKUP(H852,Base_Planos!$A:$A,Base_Planos!$B:$B,"Não encontrado")</f>
        <v>#NAME?</v>
      </c>
      <c r="J852" s="2">
        <f>VLOOKUP(H852,Base_Planos!$A:$G,4,FALSE)</f>
        <v>59.9</v>
      </c>
      <c r="K852" s="4">
        <v>45291</v>
      </c>
      <c r="L852" t="s">
        <v>62</v>
      </c>
      <c r="M852" t="s">
        <v>34</v>
      </c>
      <c r="N852" s="4">
        <v>45755</v>
      </c>
      <c r="O852" s="10">
        <f t="shared" ca="1" si="82"/>
        <v>464</v>
      </c>
      <c r="P852" s="10" t="str">
        <f t="shared" ca="1" si="79"/>
        <v>Mais de 1 ano</v>
      </c>
      <c r="Q852">
        <f t="shared" si="78"/>
        <v>0</v>
      </c>
      <c r="R852">
        <v>0</v>
      </c>
      <c r="S852" s="11">
        <f t="shared" si="83"/>
        <v>0</v>
      </c>
      <c r="T852" s="11" t="str">
        <f t="shared" si="80"/>
        <v>Detrator</v>
      </c>
      <c r="U852" s="11" t="str">
        <f t="shared" si="81"/>
        <v>Alto risco</v>
      </c>
      <c r="V852">
        <v>1</v>
      </c>
      <c r="W852">
        <v>15</v>
      </c>
      <c r="X852" s="2">
        <v>57.62</v>
      </c>
      <c r="Y852">
        <v>15</v>
      </c>
      <c r="Z852" t="s">
        <v>45</v>
      </c>
    </row>
    <row r="853" spans="1:26">
      <c r="A853" t="s">
        <v>1424</v>
      </c>
      <c r="B853" t="s">
        <v>214</v>
      </c>
      <c r="C853" t="s">
        <v>71</v>
      </c>
      <c r="D853" t="s">
        <v>72</v>
      </c>
      <c r="E853">
        <v>41</v>
      </c>
      <c r="F853" t="s">
        <v>30</v>
      </c>
      <c r="G853" t="s">
        <v>67</v>
      </c>
      <c r="H853" t="s">
        <v>42</v>
      </c>
      <c r="I853" t="e">
        <f ca="1">_xludf.XLOOKUP(H853,Base_Planos!$A:$A,Base_Planos!$B:$B,"Não encontrado")</f>
        <v>#NAME?</v>
      </c>
      <c r="J853" s="2">
        <f>VLOOKUP(H853,Base_Planos!$A:$G,4,FALSE)</f>
        <v>29.9</v>
      </c>
      <c r="K853" s="4">
        <v>45666</v>
      </c>
      <c r="L853" t="s">
        <v>261</v>
      </c>
      <c r="M853" t="s">
        <v>44</v>
      </c>
      <c r="N853" s="4"/>
      <c r="O853" s="10">
        <f t="shared" ca="1" si="82"/>
        <v>503</v>
      </c>
      <c r="P853" s="10" t="str">
        <f t="shared" ca="1" si="79"/>
        <v>Mais de 1 ano</v>
      </c>
      <c r="Q853">
        <f t="shared" si="78"/>
        <v>0</v>
      </c>
      <c r="R853">
        <v>8</v>
      </c>
      <c r="S853" s="11">
        <f t="shared" si="83"/>
        <v>0</v>
      </c>
      <c r="T853" s="11" t="str">
        <f t="shared" si="80"/>
        <v>Neutro</v>
      </c>
      <c r="U853" s="11" t="str">
        <f t="shared" si="81"/>
        <v>Médio risco</v>
      </c>
      <c r="V853">
        <v>0</v>
      </c>
      <c r="W853">
        <v>91</v>
      </c>
      <c r="X853" s="2">
        <v>30.89</v>
      </c>
      <c r="Y853">
        <v>16</v>
      </c>
      <c r="Z853" t="s">
        <v>50</v>
      </c>
    </row>
    <row r="854" spans="1:26">
      <c r="A854" t="s">
        <v>1425</v>
      </c>
      <c r="B854" t="s">
        <v>1211</v>
      </c>
      <c r="C854" t="s">
        <v>90</v>
      </c>
      <c r="D854" t="s">
        <v>29</v>
      </c>
      <c r="E854">
        <v>35</v>
      </c>
      <c r="F854" t="s">
        <v>30</v>
      </c>
      <c r="G854" t="s">
        <v>73</v>
      </c>
      <c r="H854" t="s">
        <v>61</v>
      </c>
      <c r="I854" t="e">
        <f ca="1">_xludf.XLOOKUP(H854,Base_Planos!$A:$A,Base_Planos!$B:$B,"Não encontrado")</f>
        <v>#NAME?</v>
      </c>
      <c r="J854" s="2">
        <f>VLOOKUP(H854,Base_Planos!$A:$G,4,FALSE)</f>
        <v>59.9</v>
      </c>
      <c r="K854" s="4">
        <v>45742</v>
      </c>
      <c r="L854" t="s">
        <v>454</v>
      </c>
      <c r="M854" t="s">
        <v>34</v>
      </c>
      <c r="N854" s="4">
        <v>46064</v>
      </c>
      <c r="O854" s="10">
        <f t="shared" ca="1" si="82"/>
        <v>322</v>
      </c>
      <c r="P854" s="10" t="str">
        <f t="shared" ca="1" si="79"/>
        <v>181 a 365 dias</v>
      </c>
      <c r="Q854">
        <f t="shared" ref="Q854:Q917" si="84">IF(M631="Cancelado",1,0)</f>
        <v>0</v>
      </c>
      <c r="R854">
        <v>0</v>
      </c>
      <c r="S854" s="11">
        <f t="shared" si="83"/>
        <v>0</v>
      </c>
      <c r="T854" s="11" t="str">
        <f t="shared" si="80"/>
        <v>Detrator</v>
      </c>
      <c r="U854" s="11" t="str">
        <f t="shared" si="81"/>
        <v>Alto risco</v>
      </c>
      <c r="V854">
        <v>0</v>
      </c>
      <c r="W854">
        <v>55</v>
      </c>
      <c r="X854" s="2">
        <v>61.26</v>
      </c>
      <c r="Y854">
        <v>10</v>
      </c>
      <c r="Z854" t="s">
        <v>45</v>
      </c>
    </row>
    <row r="855" spans="1:26">
      <c r="A855" t="s">
        <v>1426</v>
      </c>
      <c r="B855" t="s">
        <v>1152</v>
      </c>
      <c r="C855" t="s">
        <v>90</v>
      </c>
      <c r="D855" t="s">
        <v>29</v>
      </c>
      <c r="E855">
        <v>58</v>
      </c>
      <c r="F855" t="s">
        <v>54</v>
      </c>
      <c r="G855" t="s">
        <v>96</v>
      </c>
      <c r="H855" t="s">
        <v>112</v>
      </c>
      <c r="I855" t="e">
        <f ca="1">_xludf.XLOOKUP(H855,Base_Planos!$A:$A,Base_Planos!$B:$B,"Não encontrado")</f>
        <v>#NAME?</v>
      </c>
      <c r="J855" s="2">
        <f>VLOOKUP(H855,Base_Planos!$A:$G,4,FALSE)</f>
        <v>79.900000000000006</v>
      </c>
      <c r="K855" s="4">
        <v>46044</v>
      </c>
      <c r="L855" t="s">
        <v>148</v>
      </c>
      <c r="M855" t="s">
        <v>34</v>
      </c>
      <c r="N855" s="4">
        <v>46168</v>
      </c>
      <c r="O855" s="10">
        <f t="shared" ca="1" si="82"/>
        <v>124</v>
      </c>
      <c r="P855" s="10" t="str">
        <f t="shared" ca="1" si="79"/>
        <v>91 a 180 dias</v>
      </c>
      <c r="Q855">
        <f t="shared" si="84"/>
        <v>0</v>
      </c>
      <c r="R855">
        <v>1</v>
      </c>
      <c r="S855" s="11">
        <f t="shared" si="83"/>
        <v>0</v>
      </c>
      <c r="T855" s="11" t="str">
        <f t="shared" si="80"/>
        <v>Detrator</v>
      </c>
      <c r="U855" s="11" t="str">
        <f t="shared" si="81"/>
        <v>Alto risco</v>
      </c>
      <c r="V855">
        <v>2</v>
      </c>
      <c r="W855">
        <v>58</v>
      </c>
      <c r="X855" s="2">
        <v>81.510000000000005</v>
      </c>
      <c r="Y855">
        <v>4</v>
      </c>
      <c r="Z855" t="s">
        <v>45</v>
      </c>
    </row>
    <row r="856" spans="1:26">
      <c r="A856" t="s">
        <v>1427</v>
      </c>
      <c r="B856" t="s">
        <v>1428</v>
      </c>
      <c r="C856" t="s">
        <v>53</v>
      </c>
      <c r="D856" t="s">
        <v>29</v>
      </c>
      <c r="E856">
        <v>25</v>
      </c>
      <c r="F856" t="s">
        <v>30</v>
      </c>
      <c r="G856" t="s">
        <v>67</v>
      </c>
      <c r="H856" t="s">
        <v>42</v>
      </c>
      <c r="I856" t="e">
        <f ca="1">_xludf.XLOOKUP(H856,Base_Planos!$A:$A,Base_Planos!$B:$B,"Não encontrado")</f>
        <v>#NAME?</v>
      </c>
      <c r="J856" s="2">
        <f>VLOOKUP(H856,Base_Planos!$A:$G,4,FALSE)</f>
        <v>29.9</v>
      </c>
      <c r="K856" s="4">
        <v>46041</v>
      </c>
      <c r="L856" t="s">
        <v>148</v>
      </c>
      <c r="M856" t="s">
        <v>34</v>
      </c>
      <c r="N856" s="4">
        <v>46157</v>
      </c>
      <c r="O856" s="10">
        <f t="shared" ca="1" si="82"/>
        <v>116</v>
      </c>
      <c r="P856" s="10" t="str">
        <f t="shared" ca="1" si="79"/>
        <v>91 a 180 dias</v>
      </c>
      <c r="Q856">
        <f t="shared" si="84"/>
        <v>0</v>
      </c>
      <c r="R856">
        <v>4</v>
      </c>
      <c r="S856" s="11">
        <f t="shared" si="83"/>
        <v>0</v>
      </c>
      <c r="T856" s="11" t="str">
        <f t="shared" si="80"/>
        <v>Detrator</v>
      </c>
      <c r="U856" s="11" t="str">
        <f t="shared" si="81"/>
        <v>Alto risco</v>
      </c>
      <c r="V856">
        <v>1</v>
      </c>
      <c r="W856">
        <v>55</v>
      </c>
      <c r="X856" s="2">
        <v>27.31</v>
      </c>
      <c r="Y856">
        <v>3</v>
      </c>
      <c r="Z856" t="s">
        <v>35</v>
      </c>
    </row>
    <row r="857" spans="1:26">
      <c r="A857" t="s">
        <v>1429</v>
      </c>
      <c r="B857" t="s">
        <v>599</v>
      </c>
      <c r="C857" t="s">
        <v>90</v>
      </c>
      <c r="D857" t="s">
        <v>29</v>
      </c>
      <c r="E857">
        <v>64</v>
      </c>
      <c r="F857" t="s">
        <v>66</v>
      </c>
      <c r="G857" t="s">
        <v>67</v>
      </c>
      <c r="H857" t="s">
        <v>166</v>
      </c>
      <c r="I857" t="e">
        <f ca="1">_xludf.XLOOKUP(H857,Base_Planos!$A:$A,Base_Planos!$B:$B,"Não encontrado")</f>
        <v>#NAME?</v>
      </c>
      <c r="J857" s="2">
        <f>VLOOKUP(H857,Base_Planos!$A:$G,4,FALSE)</f>
        <v>399.9</v>
      </c>
      <c r="K857" s="4">
        <v>45752</v>
      </c>
      <c r="L857" t="s">
        <v>222</v>
      </c>
      <c r="M857" t="s">
        <v>44</v>
      </c>
      <c r="N857" s="4"/>
      <c r="O857" s="10">
        <f t="shared" ca="1" si="82"/>
        <v>417</v>
      </c>
      <c r="P857" s="10" t="str">
        <f t="shared" ca="1" si="79"/>
        <v>Mais de 1 ano</v>
      </c>
      <c r="Q857">
        <f t="shared" si="84"/>
        <v>0</v>
      </c>
      <c r="R857">
        <v>6</v>
      </c>
      <c r="S857" s="11">
        <f t="shared" si="83"/>
        <v>0</v>
      </c>
      <c r="T857" s="11" t="str">
        <f t="shared" si="80"/>
        <v>Detrator</v>
      </c>
      <c r="U857" s="11" t="str">
        <f t="shared" si="81"/>
        <v>Alto risco</v>
      </c>
      <c r="V857">
        <v>0</v>
      </c>
      <c r="W857">
        <v>21</v>
      </c>
      <c r="X857" s="2">
        <v>380.03</v>
      </c>
      <c r="Y857">
        <v>13</v>
      </c>
      <c r="Z857" t="s">
        <v>35</v>
      </c>
    </row>
    <row r="858" spans="1:26">
      <c r="A858" t="s">
        <v>1430</v>
      </c>
      <c r="B858" t="s">
        <v>1405</v>
      </c>
      <c r="C858" t="s">
        <v>102</v>
      </c>
      <c r="D858" t="s">
        <v>103</v>
      </c>
      <c r="E858">
        <v>29</v>
      </c>
      <c r="F858" t="s">
        <v>54</v>
      </c>
      <c r="G858" t="s">
        <v>73</v>
      </c>
      <c r="H858" t="s">
        <v>61</v>
      </c>
      <c r="I858" t="e">
        <f ca="1">_xludf.XLOOKUP(H858,Base_Planos!$A:$A,Base_Planos!$B:$B,"Não encontrado")</f>
        <v>#NAME?</v>
      </c>
      <c r="J858" s="2">
        <f>VLOOKUP(H858,Base_Planos!$A:$G,4,FALSE)</f>
        <v>59.9</v>
      </c>
      <c r="K858" s="4">
        <v>45962</v>
      </c>
      <c r="L858" t="s">
        <v>87</v>
      </c>
      <c r="M858" t="s">
        <v>34</v>
      </c>
      <c r="N858" s="4">
        <v>46062</v>
      </c>
      <c r="O858" s="10">
        <f t="shared" ca="1" si="82"/>
        <v>100</v>
      </c>
      <c r="P858" s="10" t="str">
        <f t="shared" ca="1" si="79"/>
        <v>91 a 180 dias</v>
      </c>
      <c r="Q858">
        <f t="shared" si="84"/>
        <v>1</v>
      </c>
      <c r="R858">
        <v>6</v>
      </c>
      <c r="S858" s="11">
        <f t="shared" si="83"/>
        <v>59.9</v>
      </c>
      <c r="T858" s="11" t="str">
        <f t="shared" si="80"/>
        <v>Detrator</v>
      </c>
      <c r="U858" s="11" t="str">
        <f t="shared" si="81"/>
        <v>Alto risco</v>
      </c>
      <c r="V858">
        <v>2</v>
      </c>
      <c r="W858">
        <v>98</v>
      </c>
      <c r="X858" s="2">
        <v>52.33</v>
      </c>
      <c r="Y858">
        <v>3</v>
      </c>
      <c r="Z858" t="s">
        <v>35</v>
      </c>
    </row>
    <row r="859" spans="1:26">
      <c r="A859" t="s">
        <v>1431</v>
      </c>
      <c r="B859" t="s">
        <v>193</v>
      </c>
      <c r="C859" t="s">
        <v>53</v>
      </c>
      <c r="D859" t="s">
        <v>29</v>
      </c>
      <c r="E859">
        <v>62</v>
      </c>
      <c r="F859" t="s">
        <v>30</v>
      </c>
      <c r="G859" t="s">
        <v>104</v>
      </c>
      <c r="H859" t="s">
        <v>32</v>
      </c>
      <c r="I859" t="e">
        <f ca="1">_xludf.XLOOKUP(H859,Base_Planos!$A:$A,Base_Planos!$B:$B,"Não encontrado")</f>
        <v>#NAME?</v>
      </c>
      <c r="J859" s="2">
        <f>VLOOKUP(H859,Base_Planos!$A:$G,4,FALSE)</f>
        <v>39.9</v>
      </c>
      <c r="K859" s="4">
        <v>45112</v>
      </c>
      <c r="L859" t="s">
        <v>33</v>
      </c>
      <c r="M859" t="s">
        <v>44</v>
      </c>
      <c r="N859" s="4"/>
      <c r="O859" s="10">
        <f t="shared" ca="1" si="82"/>
        <v>1057</v>
      </c>
      <c r="P859" s="10" t="str">
        <f t="shared" ca="1" si="79"/>
        <v>Mais de 1 ano</v>
      </c>
      <c r="Q859">
        <f t="shared" si="84"/>
        <v>1</v>
      </c>
      <c r="R859">
        <v>2</v>
      </c>
      <c r="S859" s="11">
        <f t="shared" si="83"/>
        <v>39.9</v>
      </c>
      <c r="T859" s="11" t="str">
        <f t="shared" si="80"/>
        <v>Detrator</v>
      </c>
      <c r="U859" s="11" t="str">
        <f t="shared" si="81"/>
        <v>Alto risco</v>
      </c>
      <c r="V859">
        <v>1</v>
      </c>
      <c r="W859">
        <v>39</v>
      </c>
      <c r="X859" s="2">
        <v>40.03</v>
      </c>
      <c r="Y859">
        <v>35</v>
      </c>
      <c r="Z859" t="s">
        <v>45</v>
      </c>
    </row>
    <row r="860" spans="1:26">
      <c r="A860" t="s">
        <v>1432</v>
      </c>
      <c r="B860" t="s">
        <v>371</v>
      </c>
      <c r="C860" t="s">
        <v>59</v>
      </c>
      <c r="D860" t="s">
        <v>60</v>
      </c>
      <c r="E860">
        <v>58</v>
      </c>
      <c r="F860" t="s">
        <v>54</v>
      </c>
      <c r="G860" t="s">
        <v>55</v>
      </c>
      <c r="H860" t="s">
        <v>86</v>
      </c>
      <c r="I860" t="e">
        <f ca="1">_xludf.XLOOKUP(H860,Base_Planos!$A:$A,Base_Planos!$B:$B,"Não encontrado")</f>
        <v>#NAME?</v>
      </c>
      <c r="J860" s="2">
        <f>VLOOKUP(H860,Base_Planos!$A:$G,4,FALSE)</f>
        <v>119.9</v>
      </c>
      <c r="K860" s="4">
        <v>45432</v>
      </c>
      <c r="L860" t="s">
        <v>130</v>
      </c>
      <c r="M860" t="s">
        <v>34</v>
      </c>
      <c r="N860" s="4">
        <v>45597</v>
      </c>
      <c r="O860" s="10">
        <f t="shared" ca="1" si="82"/>
        <v>165</v>
      </c>
      <c r="P860" s="10" t="str">
        <f t="shared" ca="1" si="79"/>
        <v>91 a 180 dias</v>
      </c>
      <c r="Q860">
        <f t="shared" si="84"/>
        <v>0</v>
      </c>
      <c r="R860">
        <v>4</v>
      </c>
      <c r="S860" s="11">
        <f t="shared" si="83"/>
        <v>0</v>
      </c>
      <c r="T860" s="11" t="str">
        <f t="shared" si="80"/>
        <v>Detrator</v>
      </c>
      <c r="U860" s="11" t="str">
        <f t="shared" si="81"/>
        <v>Alto risco</v>
      </c>
      <c r="V860">
        <v>3</v>
      </c>
      <c r="W860">
        <v>22</v>
      </c>
      <c r="X860" s="2">
        <v>111.01</v>
      </c>
      <c r="Y860">
        <v>5</v>
      </c>
      <c r="Z860" t="s">
        <v>45</v>
      </c>
    </row>
    <row r="861" spans="1:26">
      <c r="A861" t="s">
        <v>1433</v>
      </c>
      <c r="B861" t="s">
        <v>509</v>
      </c>
      <c r="C861" t="s">
        <v>140</v>
      </c>
      <c r="D861" t="s">
        <v>141</v>
      </c>
      <c r="E861">
        <v>26</v>
      </c>
      <c r="F861" t="s">
        <v>54</v>
      </c>
      <c r="G861" t="s">
        <v>41</v>
      </c>
      <c r="H861" t="s">
        <v>42</v>
      </c>
      <c r="I861" t="e">
        <f ca="1">_xludf.XLOOKUP(H861,Base_Planos!$A:$A,Base_Planos!$B:$B,"Não encontrado")</f>
        <v>#NAME?</v>
      </c>
      <c r="J861" s="2">
        <f>VLOOKUP(H861,Base_Planos!$A:$G,4,FALSE)</f>
        <v>29.9</v>
      </c>
      <c r="K861" s="4">
        <v>45312</v>
      </c>
      <c r="L861" t="s">
        <v>516</v>
      </c>
      <c r="M861" t="s">
        <v>44</v>
      </c>
      <c r="N861" s="4"/>
      <c r="O861" s="10">
        <f t="shared" ca="1" si="82"/>
        <v>857</v>
      </c>
      <c r="P861" s="10" t="str">
        <f t="shared" ca="1" si="79"/>
        <v>Mais de 1 ano</v>
      </c>
      <c r="Q861">
        <f t="shared" si="84"/>
        <v>0</v>
      </c>
      <c r="R861">
        <v>4</v>
      </c>
      <c r="S861" s="11">
        <f t="shared" si="83"/>
        <v>0</v>
      </c>
      <c r="T861" s="11" t="str">
        <f t="shared" si="80"/>
        <v>Detrator</v>
      </c>
      <c r="U861" s="11" t="str">
        <f t="shared" si="81"/>
        <v>Alto risco</v>
      </c>
      <c r="V861">
        <v>0</v>
      </c>
      <c r="W861">
        <v>45</v>
      </c>
      <c r="X861" s="2">
        <v>27</v>
      </c>
      <c r="Y861">
        <v>28</v>
      </c>
      <c r="Z861" t="s">
        <v>35</v>
      </c>
    </row>
    <row r="862" spans="1:26">
      <c r="A862" t="s">
        <v>1434</v>
      </c>
      <c r="B862" t="s">
        <v>1315</v>
      </c>
      <c r="C862" t="s">
        <v>90</v>
      </c>
      <c r="D862" t="s">
        <v>29</v>
      </c>
      <c r="E862">
        <v>41</v>
      </c>
      <c r="F862" t="s">
        <v>30</v>
      </c>
      <c r="G862" t="s">
        <v>104</v>
      </c>
      <c r="H862" t="s">
        <v>82</v>
      </c>
      <c r="I862" t="e">
        <f ca="1">_xludf.XLOOKUP(H862,Base_Planos!$A:$A,Base_Planos!$B:$B,"Não encontrado")</f>
        <v>#NAME?</v>
      </c>
      <c r="J862" s="2">
        <f>VLOOKUP(H862,Base_Planos!$A:$G,4,FALSE)</f>
        <v>149.9</v>
      </c>
      <c r="K862" s="4">
        <v>45276</v>
      </c>
      <c r="L862" t="s">
        <v>62</v>
      </c>
      <c r="M862" t="s">
        <v>44</v>
      </c>
      <c r="N862" s="4"/>
      <c r="O862" s="10">
        <f t="shared" ca="1" si="82"/>
        <v>893</v>
      </c>
      <c r="P862" s="10" t="str">
        <f t="shared" ca="1" si="79"/>
        <v>Mais de 1 ano</v>
      </c>
      <c r="Q862">
        <f t="shared" si="84"/>
        <v>0</v>
      </c>
      <c r="R862">
        <v>0</v>
      </c>
      <c r="S862" s="11">
        <f t="shared" si="83"/>
        <v>0</v>
      </c>
      <c r="T862" s="11" t="str">
        <f t="shared" si="80"/>
        <v>Detrator</v>
      </c>
      <c r="U862" s="11" t="str">
        <f t="shared" si="81"/>
        <v>Alto risco</v>
      </c>
      <c r="V862">
        <v>0</v>
      </c>
      <c r="W862">
        <v>45</v>
      </c>
      <c r="X862" s="2">
        <v>157.21</v>
      </c>
      <c r="Y862">
        <v>29</v>
      </c>
      <c r="Z862" t="s">
        <v>45</v>
      </c>
    </row>
    <row r="863" spans="1:26">
      <c r="A863" t="s">
        <v>1435</v>
      </c>
      <c r="B863" t="s">
        <v>188</v>
      </c>
      <c r="C863" t="s">
        <v>65</v>
      </c>
      <c r="D863" t="s">
        <v>29</v>
      </c>
      <c r="E863">
        <v>61</v>
      </c>
      <c r="F863" t="s">
        <v>40</v>
      </c>
      <c r="G863" t="s">
        <v>31</v>
      </c>
      <c r="H863" t="s">
        <v>112</v>
      </c>
      <c r="I863" t="e">
        <f ca="1">_xludf.XLOOKUP(H863,Base_Planos!$A:$A,Base_Planos!$B:$B,"Não encontrado")</f>
        <v>#NAME?</v>
      </c>
      <c r="J863" s="2">
        <f>VLOOKUP(H863,Base_Planos!$A:$G,4,FALSE)</f>
        <v>79.900000000000006</v>
      </c>
      <c r="K863" s="4">
        <v>45958</v>
      </c>
      <c r="L863" t="s">
        <v>196</v>
      </c>
      <c r="M863" t="s">
        <v>44</v>
      </c>
      <c r="N863" s="4"/>
      <c r="O863" s="10">
        <f t="shared" ca="1" si="82"/>
        <v>211</v>
      </c>
      <c r="P863" s="10" t="str">
        <f t="shared" ca="1" si="79"/>
        <v>181 a 365 dias</v>
      </c>
      <c r="Q863">
        <f t="shared" si="84"/>
        <v>0</v>
      </c>
      <c r="R863">
        <v>8</v>
      </c>
      <c r="S863" s="11">
        <f t="shared" si="83"/>
        <v>0</v>
      </c>
      <c r="T863" s="11" t="str">
        <f t="shared" si="80"/>
        <v>Neutro</v>
      </c>
      <c r="U863" s="11" t="str">
        <f t="shared" si="81"/>
        <v>Médio risco</v>
      </c>
      <c r="V863">
        <v>0</v>
      </c>
      <c r="W863">
        <v>13</v>
      </c>
      <c r="X863" s="2">
        <v>72.040000000000006</v>
      </c>
      <c r="Y863">
        <v>7</v>
      </c>
      <c r="Z863" t="s">
        <v>35</v>
      </c>
    </row>
    <row r="864" spans="1:26">
      <c r="A864" t="s">
        <v>1436</v>
      </c>
      <c r="B864" t="s">
        <v>1437</v>
      </c>
      <c r="C864" t="s">
        <v>28</v>
      </c>
      <c r="D864" t="s">
        <v>29</v>
      </c>
      <c r="E864">
        <v>25</v>
      </c>
      <c r="F864" t="s">
        <v>54</v>
      </c>
      <c r="G864" t="s">
        <v>96</v>
      </c>
      <c r="H864" t="s">
        <v>112</v>
      </c>
      <c r="I864" t="e">
        <f ca="1">_xludf.XLOOKUP(H864,Base_Planos!$A:$A,Base_Planos!$B:$B,"Não encontrado")</f>
        <v>#NAME?</v>
      </c>
      <c r="J864" s="2">
        <f>VLOOKUP(H864,Base_Planos!$A:$G,4,FALSE)</f>
        <v>79.900000000000006</v>
      </c>
      <c r="K864" s="4">
        <v>45883</v>
      </c>
      <c r="L864" t="s">
        <v>159</v>
      </c>
      <c r="M864" t="s">
        <v>44</v>
      </c>
      <c r="N864" s="4"/>
      <c r="O864" s="10">
        <f t="shared" ca="1" si="82"/>
        <v>286</v>
      </c>
      <c r="P864" s="10" t="str">
        <f t="shared" ca="1" si="79"/>
        <v>181 a 365 dias</v>
      </c>
      <c r="Q864">
        <f t="shared" si="84"/>
        <v>1</v>
      </c>
      <c r="R864">
        <v>9</v>
      </c>
      <c r="S864" s="11">
        <f t="shared" si="83"/>
        <v>79.900000000000006</v>
      </c>
      <c r="T864" s="11" t="str">
        <f t="shared" si="80"/>
        <v>Promotor</v>
      </c>
      <c r="U864" s="11" t="str">
        <f t="shared" si="81"/>
        <v>Alto risco</v>
      </c>
      <c r="V864">
        <v>1</v>
      </c>
      <c r="W864">
        <v>89</v>
      </c>
      <c r="X864" s="2">
        <v>73.069999999999993</v>
      </c>
      <c r="Y864">
        <v>9</v>
      </c>
      <c r="Z864" t="s">
        <v>50</v>
      </c>
    </row>
    <row r="865" spans="1:26">
      <c r="A865" t="s">
        <v>1438</v>
      </c>
      <c r="B865" t="s">
        <v>286</v>
      </c>
      <c r="C865" t="s">
        <v>53</v>
      </c>
      <c r="D865" t="s">
        <v>29</v>
      </c>
      <c r="E865">
        <v>18</v>
      </c>
      <c r="F865" t="s">
        <v>30</v>
      </c>
      <c r="G865" t="s">
        <v>104</v>
      </c>
      <c r="H865" t="s">
        <v>42</v>
      </c>
      <c r="I865" t="e">
        <f ca="1">_xludf.XLOOKUP(H865,Base_Planos!$A:$A,Base_Planos!$B:$B,"Não encontrado")</f>
        <v>#NAME?</v>
      </c>
      <c r="J865" s="2">
        <f>VLOOKUP(H865,Base_Planos!$A:$G,4,FALSE)</f>
        <v>29.9</v>
      </c>
      <c r="K865" s="4">
        <v>45132</v>
      </c>
      <c r="L865" t="s">
        <v>33</v>
      </c>
      <c r="M865" t="s">
        <v>34</v>
      </c>
      <c r="N865" s="4">
        <v>45184</v>
      </c>
      <c r="O865" s="10">
        <f t="shared" ca="1" si="82"/>
        <v>52</v>
      </c>
      <c r="P865" s="10" t="str">
        <f t="shared" ca="1" si="79"/>
        <v>31 a 90 dias</v>
      </c>
      <c r="Q865">
        <f t="shared" si="84"/>
        <v>0</v>
      </c>
      <c r="R865">
        <v>2</v>
      </c>
      <c r="S865" s="11">
        <f t="shared" si="83"/>
        <v>0</v>
      </c>
      <c r="T865" s="11" t="str">
        <f t="shared" si="80"/>
        <v>Detrator</v>
      </c>
      <c r="U865" s="11" t="str">
        <f t="shared" si="81"/>
        <v>Alto risco</v>
      </c>
      <c r="V865">
        <v>0</v>
      </c>
      <c r="W865">
        <v>44</v>
      </c>
      <c r="X865" s="2">
        <v>29.1</v>
      </c>
      <c r="Y865">
        <v>1</v>
      </c>
      <c r="Z865" t="s">
        <v>45</v>
      </c>
    </row>
    <row r="866" spans="1:26">
      <c r="A866" t="s">
        <v>1439</v>
      </c>
      <c r="B866" t="s">
        <v>545</v>
      </c>
      <c r="C866" t="s">
        <v>137</v>
      </c>
      <c r="D866" t="s">
        <v>29</v>
      </c>
      <c r="E866">
        <v>45</v>
      </c>
      <c r="F866" t="s">
        <v>40</v>
      </c>
      <c r="G866" t="s">
        <v>104</v>
      </c>
      <c r="H866" t="s">
        <v>82</v>
      </c>
      <c r="I866" t="e">
        <f ca="1">_xludf.XLOOKUP(H866,Base_Planos!$A:$A,Base_Planos!$B:$B,"Não encontrado")</f>
        <v>#NAME?</v>
      </c>
      <c r="J866" s="2">
        <f>VLOOKUP(H866,Base_Planos!$A:$G,4,FALSE)</f>
        <v>149.9</v>
      </c>
      <c r="K866" s="4">
        <v>45444</v>
      </c>
      <c r="L866" t="s">
        <v>145</v>
      </c>
      <c r="M866" t="s">
        <v>34</v>
      </c>
      <c r="N866" s="4">
        <v>45713</v>
      </c>
      <c r="O866" s="10">
        <f t="shared" ca="1" si="82"/>
        <v>269</v>
      </c>
      <c r="P866" s="10" t="str">
        <f t="shared" ca="1" si="79"/>
        <v>181 a 365 dias</v>
      </c>
      <c r="Q866">
        <f t="shared" si="84"/>
        <v>0</v>
      </c>
      <c r="R866">
        <v>5</v>
      </c>
      <c r="S866" s="11">
        <f t="shared" si="83"/>
        <v>0</v>
      </c>
      <c r="T866" s="11" t="str">
        <f t="shared" si="80"/>
        <v>Detrator</v>
      </c>
      <c r="U866" s="11" t="str">
        <f t="shared" si="81"/>
        <v>Alto risco</v>
      </c>
      <c r="V866">
        <v>0</v>
      </c>
      <c r="W866">
        <v>37</v>
      </c>
      <c r="X866" s="2">
        <v>140.04</v>
      </c>
      <c r="Y866">
        <v>8</v>
      </c>
      <c r="Z866" t="s">
        <v>35</v>
      </c>
    </row>
    <row r="867" spans="1:26">
      <c r="A867" t="s">
        <v>1440</v>
      </c>
      <c r="B867" t="s">
        <v>917</v>
      </c>
      <c r="C867" t="s">
        <v>90</v>
      </c>
      <c r="D867" t="s">
        <v>29</v>
      </c>
      <c r="E867">
        <v>43</v>
      </c>
      <c r="F867" t="s">
        <v>54</v>
      </c>
      <c r="G867" t="s">
        <v>96</v>
      </c>
      <c r="H867" t="s">
        <v>112</v>
      </c>
      <c r="I867" t="e">
        <f ca="1">_xludf.XLOOKUP(H867,Base_Planos!$A:$A,Base_Planos!$B:$B,"Não encontrado")</f>
        <v>#NAME?</v>
      </c>
      <c r="J867" s="2">
        <f>VLOOKUP(H867,Base_Planos!$A:$G,4,FALSE)</f>
        <v>79.900000000000006</v>
      </c>
      <c r="K867" s="4">
        <v>45542</v>
      </c>
      <c r="L867" t="s">
        <v>91</v>
      </c>
      <c r="M867" t="s">
        <v>44</v>
      </c>
      <c r="N867" s="4"/>
      <c r="O867" s="10">
        <f t="shared" ca="1" si="82"/>
        <v>627</v>
      </c>
      <c r="P867" s="10" t="str">
        <f t="shared" ca="1" si="79"/>
        <v>Mais de 1 ano</v>
      </c>
      <c r="Q867">
        <f t="shared" si="84"/>
        <v>0</v>
      </c>
      <c r="R867">
        <v>9</v>
      </c>
      <c r="S867" s="11">
        <f t="shared" si="83"/>
        <v>0</v>
      </c>
      <c r="T867" s="11" t="str">
        <f t="shared" si="80"/>
        <v>Promotor</v>
      </c>
      <c r="U867" s="11" t="str">
        <f t="shared" si="81"/>
        <v>Baixo risco</v>
      </c>
      <c r="V867">
        <v>0</v>
      </c>
      <c r="W867">
        <v>42</v>
      </c>
      <c r="X867" s="2">
        <v>79.930000000000007</v>
      </c>
      <c r="Y867">
        <v>20</v>
      </c>
      <c r="Z867" t="s">
        <v>35</v>
      </c>
    </row>
    <row r="868" spans="1:26">
      <c r="A868" t="s">
        <v>1441</v>
      </c>
      <c r="B868" t="s">
        <v>1033</v>
      </c>
      <c r="C868" t="s">
        <v>48</v>
      </c>
      <c r="D868" t="s">
        <v>29</v>
      </c>
      <c r="E868">
        <v>21</v>
      </c>
      <c r="F868" t="s">
        <v>201</v>
      </c>
      <c r="G868" t="s">
        <v>73</v>
      </c>
      <c r="H868" t="s">
        <v>82</v>
      </c>
      <c r="I868" t="e">
        <f ca="1">_xludf.XLOOKUP(H868,Base_Planos!$A:$A,Base_Planos!$B:$B,"Não encontrado")</f>
        <v>#NAME?</v>
      </c>
      <c r="J868" s="2">
        <f>VLOOKUP(H868,Base_Planos!$A:$G,4,FALSE)</f>
        <v>149.9</v>
      </c>
      <c r="K868" s="4">
        <v>45216</v>
      </c>
      <c r="L868" t="s">
        <v>215</v>
      </c>
      <c r="M868" t="s">
        <v>34</v>
      </c>
      <c r="N868" s="4">
        <v>46150</v>
      </c>
      <c r="O868" s="10">
        <f t="shared" ca="1" si="82"/>
        <v>934</v>
      </c>
      <c r="P868" s="10" t="str">
        <f t="shared" ca="1" si="79"/>
        <v>Mais de 1 ano</v>
      </c>
      <c r="Q868">
        <f t="shared" si="84"/>
        <v>0</v>
      </c>
      <c r="R868">
        <v>5</v>
      </c>
      <c r="S868" s="11">
        <f t="shared" si="83"/>
        <v>0</v>
      </c>
      <c r="T868" s="11" t="str">
        <f t="shared" si="80"/>
        <v>Detrator</v>
      </c>
      <c r="U868" s="11" t="str">
        <f t="shared" si="81"/>
        <v>Alto risco</v>
      </c>
      <c r="V868">
        <v>0</v>
      </c>
      <c r="W868">
        <v>61</v>
      </c>
      <c r="X868" s="2">
        <v>136.44999999999999</v>
      </c>
      <c r="Y868">
        <v>31</v>
      </c>
      <c r="Z868" t="s">
        <v>50</v>
      </c>
    </row>
    <row r="869" spans="1:26">
      <c r="A869" t="s">
        <v>1442</v>
      </c>
      <c r="B869" t="s">
        <v>1213</v>
      </c>
      <c r="C869" t="s">
        <v>59</v>
      </c>
      <c r="D869" t="s">
        <v>60</v>
      </c>
      <c r="E869">
        <v>31</v>
      </c>
      <c r="F869" t="s">
        <v>54</v>
      </c>
      <c r="G869" t="s">
        <v>31</v>
      </c>
      <c r="H869" t="s">
        <v>32</v>
      </c>
      <c r="I869" t="e">
        <f ca="1">_xludf.XLOOKUP(H869,Base_Planos!$A:$A,Base_Planos!$B:$B,"Não encontrado")</f>
        <v>#NAME?</v>
      </c>
      <c r="J869" s="2">
        <f>VLOOKUP(H869,Base_Planos!$A:$G,4,FALSE)</f>
        <v>39.9</v>
      </c>
      <c r="K869" s="4">
        <v>46064</v>
      </c>
      <c r="L869" t="s">
        <v>74</v>
      </c>
      <c r="M869" t="s">
        <v>44</v>
      </c>
      <c r="N869" s="4"/>
      <c r="O869" s="10">
        <f t="shared" ca="1" si="82"/>
        <v>105</v>
      </c>
      <c r="P869" s="10" t="str">
        <f t="shared" ca="1" si="79"/>
        <v>91 a 180 dias</v>
      </c>
      <c r="Q869">
        <f t="shared" si="84"/>
        <v>1</v>
      </c>
      <c r="R869">
        <v>5</v>
      </c>
      <c r="S869" s="11">
        <f t="shared" si="83"/>
        <v>39.9</v>
      </c>
      <c r="T869" s="11" t="str">
        <f t="shared" si="80"/>
        <v>Detrator</v>
      </c>
      <c r="U869" s="11" t="str">
        <f t="shared" si="81"/>
        <v>Alto risco</v>
      </c>
      <c r="V869">
        <v>0</v>
      </c>
      <c r="W869">
        <v>57</v>
      </c>
      <c r="X869" s="2">
        <v>37.06</v>
      </c>
      <c r="Y869">
        <v>3</v>
      </c>
      <c r="Z869" t="s">
        <v>50</v>
      </c>
    </row>
    <row r="870" spans="1:26">
      <c r="A870" t="s">
        <v>1443</v>
      </c>
      <c r="B870" t="s">
        <v>70</v>
      </c>
      <c r="C870" t="s">
        <v>65</v>
      </c>
      <c r="D870" t="s">
        <v>29</v>
      </c>
      <c r="E870">
        <v>42</v>
      </c>
      <c r="F870" t="s">
        <v>66</v>
      </c>
      <c r="G870" t="s">
        <v>31</v>
      </c>
      <c r="H870" t="s">
        <v>82</v>
      </c>
      <c r="I870" t="e">
        <f ca="1">_xludf.XLOOKUP(H870,Base_Planos!$A:$A,Base_Planos!$B:$B,"Não encontrado")</f>
        <v>#NAME?</v>
      </c>
      <c r="J870" s="2">
        <f>VLOOKUP(H870,Base_Planos!$A:$G,4,FALSE)</f>
        <v>149.9</v>
      </c>
      <c r="K870" s="4">
        <v>45123</v>
      </c>
      <c r="L870" t="s">
        <v>33</v>
      </c>
      <c r="M870" t="s">
        <v>44</v>
      </c>
      <c r="N870" s="4"/>
      <c r="O870" s="10">
        <f t="shared" ca="1" si="82"/>
        <v>1046</v>
      </c>
      <c r="P870" s="10" t="str">
        <f t="shared" ca="1" si="79"/>
        <v>Mais de 1 ano</v>
      </c>
      <c r="Q870">
        <f t="shared" si="84"/>
        <v>1</v>
      </c>
      <c r="R870">
        <v>6</v>
      </c>
      <c r="S870" s="11">
        <f t="shared" si="83"/>
        <v>149.9</v>
      </c>
      <c r="T870" s="11" t="str">
        <f t="shared" si="80"/>
        <v>Detrator</v>
      </c>
      <c r="U870" s="11" t="str">
        <f t="shared" si="81"/>
        <v>Alto risco</v>
      </c>
      <c r="V870">
        <v>0</v>
      </c>
      <c r="W870">
        <v>91</v>
      </c>
      <c r="X870" s="2">
        <v>154.34</v>
      </c>
      <c r="Y870">
        <v>34</v>
      </c>
      <c r="Z870" t="s">
        <v>35</v>
      </c>
    </row>
    <row r="871" spans="1:26">
      <c r="A871" t="s">
        <v>1444</v>
      </c>
      <c r="B871" t="s">
        <v>578</v>
      </c>
      <c r="C871" t="s">
        <v>90</v>
      </c>
      <c r="D871" t="s">
        <v>29</v>
      </c>
      <c r="E871">
        <v>43</v>
      </c>
      <c r="F871" t="s">
        <v>54</v>
      </c>
      <c r="G871" t="s">
        <v>165</v>
      </c>
      <c r="H871" t="s">
        <v>112</v>
      </c>
      <c r="I871" t="e">
        <f ca="1">_xludf.XLOOKUP(H871,Base_Planos!$A:$A,Base_Planos!$B:$B,"Não encontrado")</f>
        <v>#NAME?</v>
      </c>
      <c r="J871" s="2">
        <f>VLOOKUP(H871,Base_Planos!$A:$G,4,FALSE)</f>
        <v>79.900000000000006</v>
      </c>
      <c r="K871" s="4">
        <v>46128</v>
      </c>
      <c r="L871" t="s">
        <v>43</v>
      </c>
      <c r="M871" t="s">
        <v>34</v>
      </c>
      <c r="N871" s="4">
        <v>46163</v>
      </c>
      <c r="O871" s="10">
        <f t="shared" ca="1" si="82"/>
        <v>35</v>
      </c>
      <c r="P871" s="10" t="str">
        <f t="shared" ca="1" si="79"/>
        <v>31 a 90 dias</v>
      </c>
      <c r="Q871">
        <f t="shared" si="84"/>
        <v>0</v>
      </c>
      <c r="R871">
        <v>0</v>
      </c>
      <c r="S871" s="11">
        <f t="shared" si="83"/>
        <v>0</v>
      </c>
      <c r="T871" s="11" t="str">
        <f t="shared" si="80"/>
        <v>Detrator</v>
      </c>
      <c r="U871" s="11" t="str">
        <f t="shared" si="81"/>
        <v>Alto risco</v>
      </c>
      <c r="V871">
        <v>1</v>
      </c>
      <c r="W871">
        <v>94</v>
      </c>
      <c r="X871" s="2">
        <v>67.94</v>
      </c>
      <c r="Y871">
        <v>1</v>
      </c>
      <c r="Z871" t="s">
        <v>35</v>
      </c>
    </row>
    <row r="872" spans="1:26">
      <c r="A872" t="s">
        <v>1445</v>
      </c>
      <c r="B872" t="s">
        <v>314</v>
      </c>
      <c r="C872" t="s">
        <v>102</v>
      </c>
      <c r="D872" t="s">
        <v>103</v>
      </c>
      <c r="E872">
        <v>59</v>
      </c>
      <c r="F872" t="s">
        <v>30</v>
      </c>
      <c r="G872" t="s">
        <v>104</v>
      </c>
      <c r="H872" t="s">
        <v>42</v>
      </c>
      <c r="I872" t="e">
        <f ca="1">_xludf.XLOOKUP(H872,Base_Planos!$A:$A,Base_Planos!$B:$B,"Não encontrado")</f>
        <v>#NAME?</v>
      </c>
      <c r="J872" s="2">
        <f>VLOOKUP(H872,Base_Planos!$A:$G,4,FALSE)</f>
        <v>29.9</v>
      </c>
      <c r="K872" s="4">
        <v>45359</v>
      </c>
      <c r="L872" t="s">
        <v>126</v>
      </c>
      <c r="M872" t="s">
        <v>44</v>
      </c>
      <c r="N872" s="4"/>
      <c r="O872" s="10">
        <f t="shared" ca="1" si="82"/>
        <v>810</v>
      </c>
      <c r="P872" s="10" t="str">
        <f t="shared" ca="1" si="79"/>
        <v>Mais de 1 ano</v>
      </c>
      <c r="Q872">
        <f t="shared" si="84"/>
        <v>0</v>
      </c>
      <c r="R872">
        <v>4</v>
      </c>
      <c r="S872" s="11">
        <f t="shared" si="83"/>
        <v>0</v>
      </c>
      <c r="T872" s="11" t="str">
        <f t="shared" si="80"/>
        <v>Detrator</v>
      </c>
      <c r="U872" s="11" t="str">
        <f t="shared" si="81"/>
        <v>Alto risco</v>
      </c>
      <c r="V872">
        <v>1</v>
      </c>
      <c r="W872">
        <v>67</v>
      </c>
      <c r="X872" s="2">
        <v>27.12</v>
      </c>
      <c r="Y872">
        <v>27</v>
      </c>
      <c r="Z872" t="s">
        <v>35</v>
      </c>
    </row>
    <row r="873" spans="1:26">
      <c r="A873" t="s">
        <v>1446</v>
      </c>
      <c r="B873" t="s">
        <v>248</v>
      </c>
      <c r="C873" t="s">
        <v>28</v>
      </c>
      <c r="D873" t="s">
        <v>29</v>
      </c>
      <c r="E873">
        <v>34</v>
      </c>
      <c r="F873" t="s">
        <v>201</v>
      </c>
      <c r="G873" t="s">
        <v>41</v>
      </c>
      <c r="H873" t="s">
        <v>32</v>
      </c>
      <c r="I873" t="e">
        <f ca="1">_xludf.XLOOKUP(H873,Base_Planos!$A:$A,Base_Planos!$B:$B,"Não encontrado")</f>
        <v>#NAME?</v>
      </c>
      <c r="J873" s="2">
        <f>VLOOKUP(H873,Base_Planos!$A:$G,4,FALSE)</f>
        <v>39.9</v>
      </c>
      <c r="K873" s="4">
        <v>45742</v>
      </c>
      <c r="L873" t="s">
        <v>454</v>
      </c>
      <c r="M873" t="s">
        <v>44</v>
      </c>
      <c r="N873" s="4"/>
      <c r="O873" s="10">
        <f t="shared" ca="1" si="82"/>
        <v>427</v>
      </c>
      <c r="P873" s="10" t="str">
        <f t="shared" ca="1" si="79"/>
        <v>Mais de 1 ano</v>
      </c>
      <c r="Q873">
        <f t="shared" si="84"/>
        <v>1</v>
      </c>
      <c r="R873">
        <v>10</v>
      </c>
      <c r="S873" s="11">
        <f t="shared" si="83"/>
        <v>39.9</v>
      </c>
      <c r="T873" s="11" t="str">
        <f t="shared" si="80"/>
        <v>Promotor</v>
      </c>
      <c r="U873" s="11" t="str">
        <f t="shared" si="81"/>
        <v>Alto risco</v>
      </c>
      <c r="V873">
        <v>2</v>
      </c>
      <c r="W873">
        <v>55</v>
      </c>
      <c r="X873" s="2">
        <v>39.76</v>
      </c>
      <c r="Y873">
        <v>14</v>
      </c>
      <c r="Z873" t="s">
        <v>50</v>
      </c>
    </row>
    <row r="874" spans="1:26">
      <c r="A874" t="s">
        <v>1447</v>
      </c>
      <c r="B874" t="s">
        <v>1448</v>
      </c>
      <c r="C874" t="s">
        <v>48</v>
      </c>
      <c r="D874" t="s">
        <v>29</v>
      </c>
      <c r="E874">
        <v>18</v>
      </c>
      <c r="F874" t="s">
        <v>30</v>
      </c>
      <c r="G874" t="s">
        <v>96</v>
      </c>
      <c r="H874" t="s">
        <v>61</v>
      </c>
      <c r="I874" t="e">
        <f ca="1">_xludf.XLOOKUP(H874,Base_Planos!$A:$A,Base_Planos!$B:$B,"Não encontrado")</f>
        <v>#NAME?</v>
      </c>
      <c r="J874" s="2">
        <f>VLOOKUP(H874,Base_Planos!$A:$G,4,FALSE)</f>
        <v>59.9</v>
      </c>
      <c r="K874" s="4">
        <v>45713</v>
      </c>
      <c r="L874" t="s">
        <v>289</v>
      </c>
      <c r="M874" t="s">
        <v>44</v>
      </c>
      <c r="N874" s="4"/>
      <c r="O874" s="10">
        <f t="shared" ca="1" si="82"/>
        <v>456</v>
      </c>
      <c r="P874" s="10" t="str">
        <f t="shared" ca="1" si="79"/>
        <v>Mais de 1 ano</v>
      </c>
      <c r="Q874">
        <f t="shared" si="84"/>
        <v>1</v>
      </c>
      <c r="R874">
        <v>10</v>
      </c>
      <c r="S874" s="11">
        <f t="shared" si="83"/>
        <v>59.9</v>
      </c>
      <c r="T874" s="11" t="str">
        <f t="shared" si="80"/>
        <v>Promotor</v>
      </c>
      <c r="U874" s="11" t="str">
        <f t="shared" si="81"/>
        <v>Alto risco</v>
      </c>
      <c r="V874">
        <v>3</v>
      </c>
      <c r="W874">
        <v>66</v>
      </c>
      <c r="X874" s="2">
        <v>60.16</v>
      </c>
      <c r="Y874">
        <v>15</v>
      </c>
      <c r="Z874" t="s">
        <v>50</v>
      </c>
    </row>
    <row r="875" spans="1:26">
      <c r="A875" t="s">
        <v>1449</v>
      </c>
      <c r="B875" t="s">
        <v>1450</v>
      </c>
      <c r="C875" t="s">
        <v>140</v>
      </c>
      <c r="D875" t="s">
        <v>141</v>
      </c>
      <c r="E875">
        <v>65</v>
      </c>
      <c r="F875" t="s">
        <v>40</v>
      </c>
      <c r="G875" t="s">
        <v>104</v>
      </c>
      <c r="H875" t="s">
        <v>112</v>
      </c>
      <c r="I875" t="e">
        <f ca="1">_xludf.XLOOKUP(H875,Base_Planos!$A:$A,Base_Planos!$B:$B,"Não encontrado")</f>
        <v>#NAME?</v>
      </c>
      <c r="J875" s="2">
        <f>VLOOKUP(H875,Base_Planos!$A:$G,4,FALSE)</f>
        <v>79.900000000000006</v>
      </c>
      <c r="K875" s="4">
        <v>45896</v>
      </c>
      <c r="L875" t="s">
        <v>159</v>
      </c>
      <c r="M875" t="s">
        <v>34</v>
      </c>
      <c r="N875" s="4">
        <v>46034</v>
      </c>
      <c r="O875" s="10">
        <f t="shared" ca="1" si="82"/>
        <v>138</v>
      </c>
      <c r="P875" s="10" t="str">
        <f t="shared" ca="1" si="79"/>
        <v>91 a 180 dias</v>
      </c>
      <c r="Q875">
        <f t="shared" si="84"/>
        <v>0</v>
      </c>
      <c r="R875">
        <v>5</v>
      </c>
      <c r="S875" s="11">
        <f t="shared" si="83"/>
        <v>0</v>
      </c>
      <c r="T875" s="11" t="str">
        <f t="shared" si="80"/>
        <v>Detrator</v>
      </c>
      <c r="U875" s="11" t="str">
        <f t="shared" si="81"/>
        <v>Alto risco</v>
      </c>
      <c r="V875">
        <v>0</v>
      </c>
      <c r="W875">
        <v>0</v>
      </c>
      <c r="X875" s="2">
        <v>74.040000000000006</v>
      </c>
      <c r="Y875">
        <v>4</v>
      </c>
      <c r="Z875" t="s">
        <v>45</v>
      </c>
    </row>
    <row r="876" spans="1:26">
      <c r="A876" t="s">
        <v>1451</v>
      </c>
      <c r="B876" t="s">
        <v>1452</v>
      </c>
      <c r="C876" t="s">
        <v>94</v>
      </c>
      <c r="D876" t="s">
        <v>95</v>
      </c>
      <c r="E876">
        <v>18</v>
      </c>
      <c r="F876" t="s">
        <v>30</v>
      </c>
      <c r="G876" t="s">
        <v>73</v>
      </c>
      <c r="H876" t="s">
        <v>42</v>
      </c>
      <c r="I876" t="e">
        <f ca="1">_xludf.XLOOKUP(H876,Base_Planos!$A:$A,Base_Planos!$B:$B,"Não encontrado")</f>
        <v>#NAME?</v>
      </c>
      <c r="J876" s="2">
        <f>VLOOKUP(H876,Base_Planos!$A:$G,4,FALSE)</f>
        <v>29.9</v>
      </c>
      <c r="K876" s="4">
        <v>45858</v>
      </c>
      <c r="L876" t="s">
        <v>212</v>
      </c>
      <c r="M876" t="s">
        <v>44</v>
      </c>
      <c r="N876" s="4"/>
      <c r="O876" s="10">
        <f t="shared" ca="1" si="82"/>
        <v>311</v>
      </c>
      <c r="P876" s="10" t="str">
        <f t="shared" ca="1" si="79"/>
        <v>181 a 365 dias</v>
      </c>
      <c r="Q876">
        <f t="shared" si="84"/>
        <v>1</v>
      </c>
      <c r="R876">
        <v>6</v>
      </c>
      <c r="S876" s="11">
        <f t="shared" si="83"/>
        <v>29.9</v>
      </c>
      <c r="T876" s="11" t="str">
        <f t="shared" si="80"/>
        <v>Detrator</v>
      </c>
      <c r="U876" s="11" t="str">
        <f t="shared" si="81"/>
        <v>Alto risco</v>
      </c>
      <c r="V876">
        <v>0</v>
      </c>
      <c r="W876">
        <v>63</v>
      </c>
      <c r="X876" s="2">
        <v>27.61</v>
      </c>
      <c r="Y876">
        <v>10</v>
      </c>
      <c r="Z876" t="s">
        <v>50</v>
      </c>
    </row>
    <row r="877" spans="1:26">
      <c r="A877" t="s">
        <v>1453</v>
      </c>
      <c r="B877" t="s">
        <v>826</v>
      </c>
      <c r="C877" t="s">
        <v>65</v>
      </c>
      <c r="D877" t="s">
        <v>29</v>
      </c>
      <c r="E877">
        <v>41</v>
      </c>
      <c r="F877" t="s">
        <v>30</v>
      </c>
      <c r="G877" t="s">
        <v>165</v>
      </c>
      <c r="H877" t="s">
        <v>61</v>
      </c>
      <c r="I877" t="e">
        <f ca="1">_xludf.XLOOKUP(H877,Base_Planos!$A:$A,Base_Planos!$B:$B,"Não encontrado")</f>
        <v>#NAME?</v>
      </c>
      <c r="J877" s="2">
        <f>VLOOKUP(H877,Base_Planos!$A:$G,4,FALSE)</f>
        <v>59.9</v>
      </c>
      <c r="K877" s="4">
        <v>44975</v>
      </c>
      <c r="L877" t="s">
        <v>425</v>
      </c>
      <c r="M877" t="s">
        <v>44</v>
      </c>
      <c r="N877" s="4"/>
      <c r="O877" s="10">
        <f t="shared" ca="1" si="82"/>
        <v>1194</v>
      </c>
      <c r="P877" s="10" t="str">
        <f t="shared" ca="1" si="79"/>
        <v>Mais de 1 ano</v>
      </c>
      <c r="Q877">
        <f t="shared" si="84"/>
        <v>0</v>
      </c>
      <c r="R877">
        <v>8</v>
      </c>
      <c r="S877" s="11">
        <f t="shared" si="83"/>
        <v>0</v>
      </c>
      <c r="T877" s="11" t="str">
        <f t="shared" si="80"/>
        <v>Neutro</v>
      </c>
      <c r="U877" s="11" t="str">
        <f t="shared" si="81"/>
        <v>Médio risco</v>
      </c>
      <c r="V877">
        <v>0</v>
      </c>
      <c r="W877">
        <v>80</v>
      </c>
      <c r="X877" s="2">
        <v>54.48</v>
      </c>
      <c r="Y877">
        <v>39</v>
      </c>
      <c r="Z877" t="s">
        <v>50</v>
      </c>
    </row>
    <row r="878" spans="1:26">
      <c r="A878" t="s">
        <v>1454</v>
      </c>
      <c r="B878" t="s">
        <v>1228</v>
      </c>
      <c r="C878" t="s">
        <v>102</v>
      </c>
      <c r="D878" t="s">
        <v>103</v>
      </c>
      <c r="E878">
        <v>40</v>
      </c>
      <c r="F878" t="s">
        <v>40</v>
      </c>
      <c r="G878" t="s">
        <v>41</v>
      </c>
      <c r="H878" t="s">
        <v>42</v>
      </c>
      <c r="I878" t="e">
        <f ca="1">_xludf.XLOOKUP(H878,Base_Planos!$A:$A,Base_Planos!$B:$B,"Não encontrado")</f>
        <v>#NAME?</v>
      </c>
      <c r="J878" s="2">
        <f>VLOOKUP(H878,Base_Planos!$A:$G,4,FALSE)</f>
        <v>29.9</v>
      </c>
      <c r="K878" s="4">
        <v>45099</v>
      </c>
      <c r="L878" t="s">
        <v>328</v>
      </c>
      <c r="M878" t="s">
        <v>44</v>
      </c>
      <c r="N878" s="4"/>
      <c r="O878" s="10">
        <f t="shared" ca="1" si="82"/>
        <v>1070</v>
      </c>
      <c r="P878" s="10" t="str">
        <f t="shared" ca="1" si="79"/>
        <v>Mais de 1 ano</v>
      </c>
      <c r="Q878">
        <f t="shared" si="84"/>
        <v>0</v>
      </c>
      <c r="R878">
        <v>8</v>
      </c>
      <c r="S878" s="11">
        <f t="shared" si="83"/>
        <v>0</v>
      </c>
      <c r="T878" s="11" t="str">
        <f t="shared" si="80"/>
        <v>Neutro</v>
      </c>
      <c r="U878" s="11" t="str">
        <f t="shared" si="81"/>
        <v>Médio risco</v>
      </c>
      <c r="V878">
        <v>1</v>
      </c>
      <c r="W878">
        <v>82</v>
      </c>
      <c r="X878" s="2">
        <v>27.06</v>
      </c>
      <c r="Y878">
        <v>35</v>
      </c>
      <c r="Z878" t="s">
        <v>35</v>
      </c>
    </row>
    <row r="879" spans="1:26">
      <c r="A879" t="s">
        <v>1455</v>
      </c>
      <c r="B879" t="s">
        <v>211</v>
      </c>
      <c r="C879" t="s">
        <v>59</v>
      </c>
      <c r="D879" t="s">
        <v>60</v>
      </c>
      <c r="E879">
        <v>64</v>
      </c>
      <c r="F879" t="s">
        <v>66</v>
      </c>
      <c r="G879" t="s">
        <v>104</v>
      </c>
      <c r="H879" t="s">
        <v>32</v>
      </c>
      <c r="I879" t="e">
        <f ca="1">_xludf.XLOOKUP(H879,Base_Planos!$A:$A,Base_Planos!$B:$B,"Não encontrado")</f>
        <v>#NAME?</v>
      </c>
      <c r="J879" s="2">
        <f>VLOOKUP(H879,Base_Planos!$A:$G,4,FALSE)</f>
        <v>39.9</v>
      </c>
      <c r="K879" s="4">
        <v>45595</v>
      </c>
      <c r="L879" t="s">
        <v>123</v>
      </c>
      <c r="M879" t="s">
        <v>44</v>
      </c>
      <c r="N879" s="4"/>
      <c r="O879" s="10">
        <f t="shared" ca="1" si="82"/>
        <v>574</v>
      </c>
      <c r="P879" s="10" t="str">
        <f t="shared" ca="1" si="79"/>
        <v>Mais de 1 ano</v>
      </c>
      <c r="Q879">
        <f t="shared" si="84"/>
        <v>1</v>
      </c>
      <c r="R879">
        <v>5</v>
      </c>
      <c r="S879" s="11">
        <f t="shared" si="83"/>
        <v>39.9</v>
      </c>
      <c r="T879" s="11" t="str">
        <f t="shared" si="80"/>
        <v>Detrator</v>
      </c>
      <c r="U879" s="11" t="str">
        <f t="shared" si="81"/>
        <v>Alto risco</v>
      </c>
      <c r="V879">
        <v>1</v>
      </c>
      <c r="W879">
        <v>66</v>
      </c>
      <c r="X879" s="2">
        <v>34.72</v>
      </c>
      <c r="Y879">
        <v>19</v>
      </c>
      <c r="Z879" t="s">
        <v>35</v>
      </c>
    </row>
    <row r="880" spans="1:26">
      <c r="A880" t="s">
        <v>1456</v>
      </c>
      <c r="B880" t="s">
        <v>120</v>
      </c>
      <c r="C880" t="s">
        <v>108</v>
      </c>
      <c r="D880" t="s">
        <v>109</v>
      </c>
      <c r="E880">
        <v>58</v>
      </c>
      <c r="F880" t="s">
        <v>40</v>
      </c>
      <c r="G880" t="s">
        <v>41</v>
      </c>
      <c r="H880" t="s">
        <v>112</v>
      </c>
      <c r="I880" t="e">
        <f ca="1">_xludf.XLOOKUP(H880,Base_Planos!$A:$A,Base_Planos!$B:$B,"Não encontrado")</f>
        <v>#NAME?</v>
      </c>
      <c r="J880" s="2">
        <f>VLOOKUP(H880,Base_Planos!$A:$G,4,FALSE)</f>
        <v>79.900000000000006</v>
      </c>
      <c r="K880" s="4">
        <v>45303</v>
      </c>
      <c r="L880" t="s">
        <v>516</v>
      </c>
      <c r="M880" t="s">
        <v>44</v>
      </c>
      <c r="N880" s="4"/>
      <c r="O880" s="10">
        <f t="shared" ca="1" si="82"/>
        <v>866</v>
      </c>
      <c r="P880" s="10" t="str">
        <f t="shared" ca="1" si="79"/>
        <v>Mais de 1 ano</v>
      </c>
      <c r="Q880">
        <f t="shared" si="84"/>
        <v>0</v>
      </c>
      <c r="R880">
        <v>4</v>
      </c>
      <c r="S880" s="11">
        <f t="shared" si="83"/>
        <v>0</v>
      </c>
      <c r="T880" s="11" t="str">
        <f t="shared" si="80"/>
        <v>Detrator</v>
      </c>
      <c r="U880" s="11" t="str">
        <f t="shared" si="81"/>
        <v>Alto risco</v>
      </c>
      <c r="V880">
        <v>0</v>
      </c>
      <c r="W880">
        <v>11</v>
      </c>
      <c r="X880" s="2">
        <v>83.34</v>
      </c>
      <c r="Y880">
        <v>28</v>
      </c>
      <c r="Z880" t="s">
        <v>45</v>
      </c>
    </row>
    <row r="881" spans="1:26">
      <c r="A881" t="s">
        <v>1457</v>
      </c>
      <c r="B881" t="s">
        <v>1355</v>
      </c>
      <c r="C881" t="s">
        <v>90</v>
      </c>
      <c r="D881" t="s">
        <v>29</v>
      </c>
      <c r="E881">
        <v>34</v>
      </c>
      <c r="F881" t="s">
        <v>201</v>
      </c>
      <c r="G881" t="s">
        <v>31</v>
      </c>
      <c r="H881" t="s">
        <v>61</v>
      </c>
      <c r="I881" t="e">
        <f ca="1">_xludf.XLOOKUP(H881,Base_Planos!$A:$A,Base_Planos!$B:$B,"Não encontrado")</f>
        <v>#NAME?</v>
      </c>
      <c r="J881" s="2">
        <f>VLOOKUP(H881,Base_Planos!$A:$G,4,FALSE)</f>
        <v>59.9</v>
      </c>
      <c r="K881" s="4">
        <v>45027</v>
      </c>
      <c r="L881" t="s">
        <v>118</v>
      </c>
      <c r="M881" t="s">
        <v>44</v>
      </c>
      <c r="N881" s="4"/>
      <c r="O881" s="10">
        <f t="shared" ca="1" si="82"/>
        <v>1142</v>
      </c>
      <c r="P881" s="10" t="str">
        <f t="shared" ca="1" si="79"/>
        <v>Mais de 1 ano</v>
      </c>
      <c r="Q881">
        <f t="shared" si="84"/>
        <v>1</v>
      </c>
      <c r="R881">
        <v>5</v>
      </c>
      <c r="S881" s="11">
        <f t="shared" si="83"/>
        <v>59.9</v>
      </c>
      <c r="T881" s="11" t="str">
        <f t="shared" si="80"/>
        <v>Detrator</v>
      </c>
      <c r="U881" s="11" t="str">
        <f t="shared" si="81"/>
        <v>Alto risco</v>
      </c>
      <c r="V881">
        <v>3</v>
      </c>
      <c r="W881">
        <v>48</v>
      </c>
      <c r="X881" s="2">
        <v>59.17</v>
      </c>
      <c r="Y881">
        <v>38</v>
      </c>
      <c r="Z881" t="s">
        <v>35</v>
      </c>
    </row>
    <row r="882" spans="1:26">
      <c r="A882" t="s">
        <v>1458</v>
      </c>
      <c r="B882" t="s">
        <v>111</v>
      </c>
      <c r="C882" t="s">
        <v>38</v>
      </c>
      <c r="D882" t="s">
        <v>39</v>
      </c>
      <c r="E882">
        <v>60</v>
      </c>
      <c r="F882" t="s">
        <v>30</v>
      </c>
      <c r="G882" t="s">
        <v>41</v>
      </c>
      <c r="H882" t="s">
        <v>86</v>
      </c>
      <c r="I882" t="e">
        <f ca="1">_xludf.XLOOKUP(H882,Base_Planos!$A:$A,Base_Planos!$B:$B,"Não encontrado")</f>
        <v>#NAME?</v>
      </c>
      <c r="J882" s="2">
        <f>VLOOKUP(H882,Base_Planos!$A:$G,4,FALSE)</f>
        <v>119.9</v>
      </c>
      <c r="K882" s="4">
        <v>45510</v>
      </c>
      <c r="L882" t="s">
        <v>156</v>
      </c>
      <c r="M882" t="s">
        <v>44</v>
      </c>
      <c r="N882" s="4"/>
      <c r="O882" s="10">
        <f t="shared" ca="1" si="82"/>
        <v>659</v>
      </c>
      <c r="P882" s="10" t="str">
        <f t="shared" ca="1" si="79"/>
        <v>Mais de 1 ano</v>
      </c>
      <c r="Q882">
        <f t="shared" si="84"/>
        <v>1</v>
      </c>
      <c r="R882">
        <v>4</v>
      </c>
      <c r="S882" s="11">
        <f t="shared" si="83"/>
        <v>119.9</v>
      </c>
      <c r="T882" s="11" t="str">
        <f t="shared" si="80"/>
        <v>Detrator</v>
      </c>
      <c r="U882" s="11" t="str">
        <f t="shared" si="81"/>
        <v>Alto risco</v>
      </c>
      <c r="V882">
        <v>1</v>
      </c>
      <c r="W882">
        <v>57</v>
      </c>
      <c r="X882" s="2">
        <v>108.5</v>
      </c>
      <c r="Y882">
        <v>21</v>
      </c>
      <c r="Z882" t="s">
        <v>35</v>
      </c>
    </row>
    <row r="883" spans="1:26">
      <c r="A883" t="s">
        <v>1459</v>
      </c>
      <c r="B883" t="s">
        <v>211</v>
      </c>
      <c r="C883" t="s">
        <v>48</v>
      </c>
      <c r="D883" t="s">
        <v>29</v>
      </c>
      <c r="E883">
        <v>58</v>
      </c>
      <c r="F883" t="s">
        <v>30</v>
      </c>
      <c r="G883" t="s">
        <v>31</v>
      </c>
      <c r="H883" t="s">
        <v>42</v>
      </c>
      <c r="I883" t="e">
        <f ca="1">_xludf.XLOOKUP(H883,Base_Planos!$A:$A,Base_Planos!$B:$B,"Não encontrado")</f>
        <v>#NAME?</v>
      </c>
      <c r="J883" s="2">
        <f>VLOOKUP(H883,Base_Planos!$A:$G,4,FALSE)</f>
        <v>29.9</v>
      </c>
      <c r="K883" s="4">
        <v>45591</v>
      </c>
      <c r="L883" t="s">
        <v>123</v>
      </c>
      <c r="M883" t="s">
        <v>44</v>
      </c>
      <c r="N883" s="4"/>
      <c r="O883" s="10">
        <f t="shared" ca="1" si="82"/>
        <v>578</v>
      </c>
      <c r="P883" s="10" t="str">
        <f t="shared" ca="1" si="79"/>
        <v>Mais de 1 ano</v>
      </c>
      <c r="Q883">
        <f t="shared" si="84"/>
        <v>0</v>
      </c>
      <c r="R883">
        <v>3</v>
      </c>
      <c r="S883" s="11">
        <f t="shared" si="83"/>
        <v>0</v>
      </c>
      <c r="T883" s="11" t="str">
        <f t="shared" si="80"/>
        <v>Detrator</v>
      </c>
      <c r="U883" s="11" t="str">
        <f t="shared" si="81"/>
        <v>Alto risco</v>
      </c>
      <c r="V883">
        <v>1</v>
      </c>
      <c r="W883">
        <v>65</v>
      </c>
      <c r="X883" s="2">
        <v>28.93</v>
      </c>
      <c r="Y883">
        <v>19</v>
      </c>
      <c r="Z883" t="s">
        <v>35</v>
      </c>
    </row>
    <row r="884" spans="1:26">
      <c r="A884" t="s">
        <v>1460</v>
      </c>
      <c r="B884" t="s">
        <v>648</v>
      </c>
      <c r="C884" t="s">
        <v>108</v>
      </c>
      <c r="D884" t="s">
        <v>109</v>
      </c>
      <c r="E884">
        <v>52</v>
      </c>
      <c r="F884" t="s">
        <v>54</v>
      </c>
      <c r="G884" t="s">
        <v>67</v>
      </c>
      <c r="H884" t="s">
        <v>112</v>
      </c>
      <c r="I884" t="e">
        <f ca="1">_xludf.XLOOKUP(H884,Base_Planos!$A:$A,Base_Planos!$B:$B,"Não encontrado")</f>
        <v>#NAME?</v>
      </c>
      <c r="J884" s="2">
        <f>VLOOKUP(H884,Base_Planos!$A:$G,4,FALSE)</f>
        <v>79.900000000000006</v>
      </c>
      <c r="K884" s="4">
        <v>45581</v>
      </c>
      <c r="L884" t="s">
        <v>123</v>
      </c>
      <c r="M884" t="s">
        <v>44</v>
      </c>
      <c r="N884" s="4"/>
      <c r="O884" s="10">
        <f t="shared" ca="1" si="82"/>
        <v>588</v>
      </c>
      <c r="P884" s="10" t="str">
        <f t="shared" ca="1" si="79"/>
        <v>Mais de 1 ano</v>
      </c>
      <c r="Q884">
        <f t="shared" si="84"/>
        <v>0</v>
      </c>
      <c r="R884">
        <v>5</v>
      </c>
      <c r="S884" s="11">
        <f t="shared" si="83"/>
        <v>0</v>
      </c>
      <c r="T884" s="11" t="str">
        <f t="shared" si="80"/>
        <v>Detrator</v>
      </c>
      <c r="U884" s="11" t="str">
        <f t="shared" si="81"/>
        <v>Alto risco</v>
      </c>
      <c r="V884">
        <v>2</v>
      </c>
      <c r="W884">
        <v>42</v>
      </c>
      <c r="X884" s="2">
        <v>76.42</v>
      </c>
      <c r="Y884">
        <v>19</v>
      </c>
      <c r="Z884" t="s">
        <v>45</v>
      </c>
    </row>
    <row r="885" spans="1:26">
      <c r="A885" t="s">
        <v>1461</v>
      </c>
      <c r="B885" t="s">
        <v>396</v>
      </c>
      <c r="C885" t="s">
        <v>140</v>
      </c>
      <c r="D885" t="s">
        <v>141</v>
      </c>
      <c r="E885">
        <v>43</v>
      </c>
      <c r="F885" t="s">
        <v>30</v>
      </c>
      <c r="G885" t="s">
        <v>55</v>
      </c>
      <c r="H885" t="s">
        <v>61</v>
      </c>
      <c r="I885" t="e">
        <f ca="1">_xludf.XLOOKUP(H885,Base_Planos!$A:$A,Base_Planos!$B:$B,"Não encontrado")</f>
        <v>#NAME?</v>
      </c>
      <c r="J885" s="2">
        <f>VLOOKUP(H885,Base_Planos!$A:$G,4,FALSE)</f>
        <v>59.9</v>
      </c>
      <c r="K885" s="4">
        <v>46076</v>
      </c>
      <c r="L885" t="s">
        <v>74</v>
      </c>
      <c r="M885" t="s">
        <v>44</v>
      </c>
      <c r="N885" s="4"/>
      <c r="O885" s="10">
        <f t="shared" ca="1" si="82"/>
        <v>93</v>
      </c>
      <c r="P885" s="10" t="str">
        <f t="shared" ca="1" si="79"/>
        <v>91 a 180 dias</v>
      </c>
      <c r="Q885">
        <f t="shared" si="84"/>
        <v>0</v>
      </c>
      <c r="R885">
        <v>5</v>
      </c>
      <c r="S885" s="11">
        <f t="shared" si="83"/>
        <v>0</v>
      </c>
      <c r="T885" s="11" t="str">
        <f t="shared" si="80"/>
        <v>Detrator</v>
      </c>
      <c r="U885" s="11" t="str">
        <f t="shared" si="81"/>
        <v>Alto risco</v>
      </c>
      <c r="V885">
        <v>0</v>
      </c>
      <c r="W885">
        <v>80</v>
      </c>
      <c r="X885" s="2">
        <v>59.91</v>
      </c>
      <c r="Y885">
        <v>3</v>
      </c>
      <c r="Z885" t="s">
        <v>35</v>
      </c>
    </row>
    <row r="886" spans="1:26">
      <c r="A886" t="s">
        <v>1462</v>
      </c>
      <c r="B886" t="s">
        <v>530</v>
      </c>
      <c r="C886" t="s">
        <v>28</v>
      </c>
      <c r="D886" t="s">
        <v>29</v>
      </c>
      <c r="E886">
        <v>27</v>
      </c>
      <c r="F886" t="s">
        <v>40</v>
      </c>
      <c r="G886" t="s">
        <v>96</v>
      </c>
      <c r="H886" t="s">
        <v>61</v>
      </c>
      <c r="I886" t="e">
        <f ca="1">_xludf.XLOOKUP(H886,Base_Planos!$A:$A,Base_Planos!$B:$B,"Não encontrado")</f>
        <v>#NAME?</v>
      </c>
      <c r="J886" s="2">
        <f>VLOOKUP(H886,Base_Planos!$A:$G,4,FALSE)</f>
        <v>59.9</v>
      </c>
      <c r="K886" s="4">
        <v>46083</v>
      </c>
      <c r="L886" t="s">
        <v>292</v>
      </c>
      <c r="M886" t="s">
        <v>44</v>
      </c>
      <c r="N886" s="4"/>
      <c r="O886" s="10">
        <f t="shared" ca="1" si="82"/>
        <v>86</v>
      </c>
      <c r="P886" s="10" t="str">
        <f t="shared" ca="1" si="79"/>
        <v>31 a 90 dias</v>
      </c>
      <c r="Q886">
        <f t="shared" si="84"/>
        <v>1</v>
      </c>
      <c r="R886">
        <v>6</v>
      </c>
      <c r="S886" s="11">
        <f t="shared" si="83"/>
        <v>59.9</v>
      </c>
      <c r="T886" s="11" t="str">
        <f t="shared" si="80"/>
        <v>Detrator</v>
      </c>
      <c r="U886" s="11" t="str">
        <f t="shared" si="81"/>
        <v>Alto risco</v>
      </c>
      <c r="V886">
        <v>1</v>
      </c>
      <c r="W886">
        <v>81</v>
      </c>
      <c r="X886" s="2">
        <v>59.83</v>
      </c>
      <c r="Y886">
        <v>2</v>
      </c>
      <c r="Z886" t="s">
        <v>50</v>
      </c>
    </row>
    <row r="887" spans="1:26">
      <c r="A887" t="s">
        <v>1463</v>
      </c>
      <c r="B887" t="s">
        <v>256</v>
      </c>
      <c r="C887" t="s">
        <v>38</v>
      </c>
      <c r="D887" t="s">
        <v>39</v>
      </c>
      <c r="E887">
        <v>26</v>
      </c>
      <c r="F887" t="s">
        <v>54</v>
      </c>
      <c r="G887" t="s">
        <v>55</v>
      </c>
      <c r="H887" t="s">
        <v>32</v>
      </c>
      <c r="I887" t="e">
        <f ca="1">_xludf.XLOOKUP(H887,Base_Planos!$A:$A,Base_Planos!$B:$B,"Não encontrado")</f>
        <v>#NAME?</v>
      </c>
      <c r="J887" s="2">
        <f>VLOOKUP(H887,Base_Planos!$A:$G,4,FALSE)</f>
        <v>39.9</v>
      </c>
      <c r="K887" s="4">
        <v>45374</v>
      </c>
      <c r="L887" t="s">
        <v>126</v>
      </c>
      <c r="M887" t="s">
        <v>34</v>
      </c>
      <c r="N887" s="4">
        <v>46156</v>
      </c>
      <c r="O887" s="10">
        <f t="shared" ca="1" si="82"/>
        <v>782</v>
      </c>
      <c r="P887" s="10" t="str">
        <f t="shared" ca="1" si="79"/>
        <v>Mais de 1 ano</v>
      </c>
      <c r="Q887">
        <f t="shared" si="84"/>
        <v>1</v>
      </c>
      <c r="R887">
        <v>3</v>
      </c>
      <c r="S887" s="11">
        <f t="shared" si="83"/>
        <v>39.9</v>
      </c>
      <c r="T887" s="11" t="str">
        <f t="shared" si="80"/>
        <v>Detrator</v>
      </c>
      <c r="U887" s="11" t="str">
        <f t="shared" si="81"/>
        <v>Alto risco</v>
      </c>
      <c r="V887">
        <v>0</v>
      </c>
      <c r="W887">
        <v>55</v>
      </c>
      <c r="X887" s="2">
        <v>38.299999999999997</v>
      </c>
      <c r="Y887">
        <v>26</v>
      </c>
      <c r="Z887" t="s">
        <v>45</v>
      </c>
    </row>
    <row r="888" spans="1:26">
      <c r="A888" t="s">
        <v>1464</v>
      </c>
      <c r="B888" t="s">
        <v>1465</v>
      </c>
      <c r="C888" t="s">
        <v>71</v>
      </c>
      <c r="D888" t="s">
        <v>72</v>
      </c>
      <c r="E888">
        <v>56</v>
      </c>
      <c r="F888" t="s">
        <v>30</v>
      </c>
      <c r="G888" t="s">
        <v>165</v>
      </c>
      <c r="H888" t="s">
        <v>61</v>
      </c>
      <c r="I888" t="e">
        <f ca="1">_xludf.XLOOKUP(H888,Base_Planos!$A:$A,Base_Planos!$B:$B,"Não encontrado")</f>
        <v>#NAME?</v>
      </c>
      <c r="J888" s="2">
        <f>VLOOKUP(H888,Base_Planos!$A:$G,4,FALSE)</f>
        <v>59.9</v>
      </c>
      <c r="K888" s="4">
        <v>45577</v>
      </c>
      <c r="L888" t="s">
        <v>123</v>
      </c>
      <c r="M888" t="s">
        <v>44</v>
      </c>
      <c r="N888" s="4"/>
      <c r="O888" s="10">
        <f t="shared" ca="1" si="82"/>
        <v>592</v>
      </c>
      <c r="P888" s="10" t="str">
        <f t="shared" ca="1" si="79"/>
        <v>Mais de 1 ano</v>
      </c>
      <c r="Q888">
        <f t="shared" si="84"/>
        <v>0</v>
      </c>
      <c r="R888">
        <v>8</v>
      </c>
      <c r="S888" s="11">
        <f t="shared" si="83"/>
        <v>0</v>
      </c>
      <c r="T888" s="11" t="str">
        <f t="shared" si="80"/>
        <v>Neutro</v>
      </c>
      <c r="U888" s="11" t="str">
        <f t="shared" si="81"/>
        <v>Médio risco</v>
      </c>
      <c r="V888">
        <v>2</v>
      </c>
      <c r="W888">
        <v>50</v>
      </c>
      <c r="X888" s="2">
        <v>56.47</v>
      </c>
      <c r="Y888">
        <v>19</v>
      </c>
      <c r="Z888" t="s">
        <v>50</v>
      </c>
    </row>
    <row r="889" spans="1:26">
      <c r="A889" t="s">
        <v>1466</v>
      </c>
      <c r="B889" t="s">
        <v>275</v>
      </c>
      <c r="C889" t="s">
        <v>94</v>
      </c>
      <c r="D889" t="s">
        <v>95</v>
      </c>
      <c r="E889">
        <v>29</v>
      </c>
      <c r="F889" t="s">
        <v>54</v>
      </c>
      <c r="G889" t="s">
        <v>67</v>
      </c>
      <c r="H889" t="s">
        <v>112</v>
      </c>
      <c r="I889" t="e">
        <f ca="1">_xludf.XLOOKUP(H889,Base_Planos!$A:$A,Base_Planos!$B:$B,"Não encontrado")</f>
        <v>#NAME?</v>
      </c>
      <c r="J889" s="2">
        <f>VLOOKUP(H889,Base_Planos!$A:$G,4,FALSE)</f>
        <v>79.900000000000006</v>
      </c>
      <c r="K889" s="4">
        <v>45611</v>
      </c>
      <c r="L889" t="s">
        <v>83</v>
      </c>
      <c r="M889" t="s">
        <v>44</v>
      </c>
      <c r="N889" s="4"/>
      <c r="O889" s="10">
        <f t="shared" ca="1" si="82"/>
        <v>558</v>
      </c>
      <c r="P889" s="10" t="str">
        <f t="shared" ca="1" si="79"/>
        <v>Mais de 1 ano</v>
      </c>
      <c r="Q889">
        <f t="shared" si="84"/>
        <v>0</v>
      </c>
      <c r="R889">
        <v>7</v>
      </c>
      <c r="S889" s="11">
        <f t="shared" si="83"/>
        <v>0</v>
      </c>
      <c r="T889" s="11" t="str">
        <f t="shared" si="80"/>
        <v>Neutro</v>
      </c>
      <c r="U889" s="11" t="str">
        <f t="shared" si="81"/>
        <v>Médio risco</v>
      </c>
      <c r="V889">
        <v>0</v>
      </c>
      <c r="W889">
        <v>21</v>
      </c>
      <c r="X889" s="2">
        <v>74.599999999999994</v>
      </c>
      <c r="Y889">
        <v>18</v>
      </c>
      <c r="Z889" t="s">
        <v>50</v>
      </c>
    </row>
    <row r="890" spans="1:26">
      <c r="A890" t="s">
        <v>1467</v>
      </c>
      <c r="B890" t="s">
        <v>1468</v>
      </c>
      <c r="C890" t="s">
        <v>59</v>
      </c>
      <c r="D890" t="s">
        <v>60</v>
      </c>
      <c r="E890">
        <v>58</v>
      </c>
      <c r="F890" t="s">
        <v>30</v>
      </c>
      <c r="G890" t="s">
        <v>31</v>
      </c>
      <c r="H890" t="s">
        <v>32</v>
      </c>
      <c r="I890" t="e">
        <f ca="1">_xludf.XLOOKUP(H890,Base_Planos!$A:$A,Base_Planos!$B:$B,"Não encontrado")</f>
        <v>#NAME?</v>
      </c>
      <c r="J890" s="2">
        <f>VLOOKUP(H890,Base_Planos!$A:$G,4,FALSE)</f>
        <v>39.9</v>
      </c>
      <c r="K890" s="4">
        <v>45957</v>
      </c>
      <c r="L890" t="s">
        <v>196</v>
      </c>
      <c r="M890" t="s">
        <v>34</v>
      </c>
      <c r="N890" s="4">
        <v>46050</v>
      </c>
      <c r="O890" s="10">
        <f t="shared" ca="1" si="82"/>
        <v>93</v>
      </c>
      <c r="P890" s="10" t="str">
        <f t="shared" ca="1" si="79"/>
        <v>91 a 180 dias</v>
      </c>
      <c r="Q890">
        <f t="shared" si="84"/>
        <v>0</v>
      </c>
      <c r="R890">
        <v>1</v>
      </c>
      <c r="S890" s="11">
        <f t="shared" si="83"/>
        <v>0</v>
      </c>
      <c r="T890" s="11" t="str">
        <f t="shared" si="80"/>
        <v>Detrator</v>
      </c>
      <c r="U890" s="11" t="str">
        <f t="shared" si="81"/>
        <v>Alto risco</v>
      </c>
      <c r="V890">
        <v>3</v>
      </c>
      <c r="W890">
        <v>30</v>
      </c>
      <c r="X890" s="2">
        <v>38.909999999999997</v>
      </c>
      <c r="Y890">
        <v>3</v>
      </c>
      <c r="Z890" t="s">
        <v>45</v>
      </c>
    </row>
    <row r="891" spans="1:26">
      <c r="A891" t="s">
        <v>1469</v>
      </c>
      <c r="B891" t="s">
        <v>1452</v>
      </c>
      <c r="C891" t="s">
        <v>108</v>
      </c>
      <c r="D891" t="s">
        <v>109</v>
      </c>
      <c r="E891">
        <v>19</v>
      </c>
      <c r="F891" t="s">
        <v>40</v>
      </c>
      <c r="G891" t="s">
        <v>41</v>
      </c>
      <c r="H891" t="s">
        <v>61</v>
      </c>
      <c r="I891" t="e">
        <f ca="1">_xludf.XLOOKUP(H891,Base_Planos!$A:$A,Base_Planos!$B:$B,"Não encontrado")</f>
        <v>#NAME?</v>
      </c>
      <c r="J891" s="2">
        <f>VLOOKUP(H891,Base_Planos!$A:$G,4,FALSE)</f>
        <v>59.9</v>
      </c>
      <c r="K891" s="4">
        <v>45322</v>
      </c>
      <c r="L891" t="s">
        <v>516</v>
      </c>
      <c r="M891" t="s">
        <v>44</v>
      </c>
      <c r="N891" s="4"/>
      <c r="O891" s="10">
        <f t="shared" ca="1" si="82"/>
        <v>847</v>
      </c>
      <c r="P891" s="10" t="str">
        <f t="shared" ca="1" si="79"/>
        <v>Mais de 1 ano</v>
      </c>
      <c r="Q891">
        <f t="shared" si="84"/>
        <v>0</v>
      </c>
      <c r="R891">
        <v>2</v>
      </c>
      <c r="S891" s="11">
        <f t="shared" si="83"/>
        <v>0</v>
      </c>
      <c r="T891" s="11" t="str">
        <f t="shared" si="80"/>
        <v>Detrator</v>
      </c>
      <c r="U891" s="11" t="str">
        <f t="shared" si="81"/>
        <v>Alto risco</v>
      </c>
      <c r="V891">
        <v>0</v>
      </c>
      <c r="W891">
        <v>68</v>
      </c>
      <c r="X891" s="2">
        <v>59.45</v>
      </c>
      <c r="Y891">
        <v>28</v>
      </c>
      <c r="Z891" t="s">
        <v>35</v>
      </c>
    </row>
    <row r="892" spans="1:26">
      <c r="A892" t="s">
        <v>1470</v>
      </c>
      <c r="B892" t="s">
        <v>887</v>
      </c>
      <c r="C892" t="s">
        <v>94</v>
      </c>
      <c r="D892" t="s">
        <v>95</v>
      </c>
      <c r="E892">
        <v>36</v>
      </c>
      <c r="F892" t="s">
        <v>30</v>
      </c>
      <c r="G892" t="s">
        <v>67</v>
      </c>
      <c r="H892" t="s">
        <v>42</v>
      </c>
      <c r="I892" t="e">
        <f ca="1">_xludf.XLOOKUP(H892,Base_Planos!$A:$A,Base_Planos!$B:$B,"Não encontrado")</f>
        <v>#NAME?</v>
      </c>
      <c r="J892" s="2">
        <f>VLOOKUP(H892,Base_Planos!$A:$G,4,FALSE)</f>
        <v>29.9</v>
      </c>
      <c r="K892" s="4">
        <v>45871</v>
      </c>
      <c r="L892" t="s">
        <v>159</v>
      </c>
      <c r="M892" t="s">
        <v>44</v>
      </c>
      <c r="N892" s="4"/>
      <c r="O892" s="10">
        <f t="shared" ca="1" si="82"/>
        <v>298</v>
      </c>
      <c r="P892" s="10" t="str">
        <f t="shared" ca="1" si="79"/>
        <v>181 a 365 dias</v>
      </c>
      <c r="Q892">
        <f t="shared" si="84"/>
        <v>0</v>
      </c>
      <c r="R892">
        <v>7</v>
      </c>
      <c r="S892" s="11">
        <f t="shared" si="83"/>
        <v>0</v>
      </c>
      <c r="T892" s="11" t="str">
        <f t="shared" si="80"/>
        <v>Neutro</v>
      </c>
      <c r="U892" s="11" t="str">
        <f t="shared" si="81"/>
        <v>Médio risco</v>
      </c>
      <c r="V892">
        <v>4</v>
      </c>
      <c r="W892">
        <v>95</v>
      </c>
      <c r="X892" s="2">
        <v>31.23</v>
      </c>
      <c r="Y892">
        <v>9</v>
      </c>
      <c r="Z892" t="s">
        <v>50</v>
      </c>
    </row>
    <row r="893" spans="1:26">
      <c r="A893" t="s">
        <v>1471</v>
      </c>
      <c r="B893" t="s">
        <v>899</v>
      </c>
      <c r="C893" t="s">
        <v>48</v>
      </c>
      <c r="D893" t="s">
        <v>29</v>
      </c>
      <c r="E893">
        <v>56</v>
      </c>
      <c r="F893" t="s">
        <v>66</v>
      </c>
      <c r="G893" t="s">
        <v>96</v>
      </c>
      <c r="H893" t="s">
        <v>42</v>
      </c>
      <c r="I893" t="e">
        <f ca="1">_xludf.XLOOKUP(H893,Base_Planos!$A:$A,Base_Planos!$B:$B,"Não encontrado")</f>
        <v>#NAME?</v>
      </c>
      <c r="J893" s="2">
        <f>VLOOKUP(H893,Base_Planos!$A:$G,4,FALSE)</f>
        <v>29.9</v>
      </c>
      <c r="K893" s="4">
        <v>45070</v>
      </c>
      <c r="L893" t="s">
        <v>115</v>
      </c>
      <c r="M893" t="s">
        <v>44</v>
      </c>
      <c r="N893" s="4"/>
      <c r="O893" s="10">
        <f t="shared" ca="1" si="82"/>
        <v>1099</v>
      </c>
      <c r="P893" s="10" t="str">
        <f t="shared" ca="1" si="79"/>
        <v>Mais de 1 ano</v>
      </c>
      <c r="Q893">
        <f t="shared" si="84"/>
        <v>1</v>
      </c>
      <c r="R893">
        <v>0</v>
      </c>
      <c r="S893" s="11">
        <f t="shared" si="83"/>
        <v>29.9</v>
      </c>
      <c r="T893" s="11" t="str">
        <f t="shared" si="80"/>
        <v>Detrator</v>
      </c>
      <c r="U893" s="11" t="str">
        <f t="shared" si="81"/>
        <v>Alto risco</v>
      </c>
      <c r="V893">
        <v>0</v>
      </c>
      <c r="W893">
        <v>14</v>
      </c>
      <c r="X893" s="2">
        <v>28.23</v>
      </c>
      <c r="Y893">
        <v>36</v>
      </c>
      <c r="Z893" t="s">
        <v>45</v>
      </c>
    </row>
    <row r="894" spans="1:26">
      <c r="A894" t="s">
        <v>1472</v>
      </c>
      <c r="B894" t="s">
        <v>240</v>
      </c>
      <c r="C894" t="s">
        <v>48</v>
      </c>
      <c r="D894" t="s">
        <v>29</v>
      </c>
      <c r="E894">
        <v>44</v>
      </c>
      <c r="F894" t="s">
        <v>201</v>
      </c>
      <c r="G894" t="s">
        <v>55</v>
      </c>
      <c r="H894" t="s">
        <v>82</v>
      </c>
      <c r="I894" t="e">
        <f ca="1">_xludf.XLOOKUP(H894,Base_Planos!$A:$A,Base_Planos!$B:$B,"Não encontrado")</f>
        <v>#NAME?</v>
      </c>
      <c r="J894" s="2">
        <f>VLOOKUP(H894,Base_Planos!$A:$G,4,FALSE)</f>
        <v>149.9</v>
      </c>
      <c r="K894" s="4">
        <v>46020</v>
      </c>
      <c r="L894" t="s">
        <v>170</v>
      </c>
      <c r="M894" t="s">
        <v>44</v>
      </c>
      <c r="N894" s="4"/>
      <c r="O894" s="10">
        <f t="shared" ca="1" si="82"/>
        <v>149</v>
      </c>
      <c r="P894" s="10" t="str">
        <f t="shared" ca="1" si="79"/>
        <v>91 a 180 dias</v>
      </c>
      <c r="Q894">
        <f t="shared" si="84"/>
        <v>1</v>
      </c>
      <c r="R894">
        <v>0</v>
      </c>
      <c r="S894" s="11">
        <f t="shared" si="83"/>
        <v>149.9</v>
      </c>
      <c r="T894" s="11" t="str">
        <f t="shared" si="80"/>
        <v>Detrator</v>
      </c>
      <c r="U894" s="11" t="str">
        <f t="shared" si="81"/>
        <v>Alto risco</v>
      </c>
      <c r="V894">
        <v>0</v>
      </c>
      <c r="W894">
        <v>76</v>
      </c>
      <c r="X894" s="2">
        <v>152.25</v>
      </c>
      <c r="Y894">
        <v>4</v>
      </c>
      <c r="Z894" t="s">
        <v>35</v>
      </c>
    </row>
    <row r="895" spans="1:26">
      <c r="A895" t="s">
        <v>1473</v>
      </c>
      <c r="B895" t="s">
        <v>250</v>
      </c>
      <c r="C895" t="s">
        <v>108</v>
      </c>
      <c r="D895" t="s">
        <v>109</v>
      </c>
      <c r="E895">
        <v>43</v>
      </c>
      <c r="F895" t="s">
        <v>40</v>
      </c>
      <c r="G895" t="s">
        <v>104</v>
      </c>
      <c r="H895" t="s">
        <v>112</v>
      </c>
      <c r="I895" t="e">
        <f ca="1">_xludf.XLOOKUP(H895,Base_Planos!$A:$A,Base_Planos!$B:$B,"Não encontrado")</f>
        <v>#NAME?</v>
      </c>
      <c r="J895" s="2">
        <f>VLOOKUP(H895,Base_Planos!$A:$G,4,FALSE)</f>
        <v>79.900000000000006</v>
      </c>
      <c r="K895" s="4">
        <v>45181</v>
      </c>
      <c r="L895" t="s">
        <v>105</v>
      </c>
      <c r="M895" t="s">
        <v>44</v>
      </c>
      <c r="N895" s="4"/>
      <c r="O895" s="10">
        <f t="shared" ca="1" si="82"/>
        <v>988</v>
      </c>
      <c r="P895" s="10" t="str">
        <f t="shared" ca="1" si="79"/>
        <v>Mais de 1 ano</v>
      </c>
      <c r="Q895">
        <f t="shared" si="84"/>
        <v>0</v>
      </c>
      <c r="R895">
        <v>1</v>
      </c>
      <c r="S895" s="11">
        <f t="shared" si="83"/>
        <v>0</v>
      </c>
      <c r="T895" s="11" t="str">
        <f t="shared" si="80"/>
        <v>Detrator</v>
      </c>
      <c r="U895" s="11" t="str">
        <f t="shared" si="81"/>
        <v>Alto risco</v>
      </c>
      <c r="V895">
        <v>2</v>
      </c>
      <c r="W895">
        <v>74</v>
      </c>
      <c r="X895" s="2">
        <v>69.7</v>
      </c>
      <c r="Y895">
        <v>32</v>
      </c>
      <c r="Z895" t="s">
        <v>45</v>
      </c>
    </row>
    <row r="896" spans="1:26">
      <c r="A896" t="s">
        <v>1474</v>
      </c>
      <c r="B896" t="s">
        <v>1475</v>
      </c>
      <c r="C896" t="s">
        <v>71</v>
      </c>
      <c r="D896" t="s">
        <v>72</v>
      </c>
      <c r="E896">
        <v>60</v>
      </c>
      <c r="F896" t="s">
        <v>30</v>
      </c>
      <c r="G896" t="s">
        <v>31</v>
      </c>
      <c r="H896" t="s">
        <v>82</v>
      </c>
      <c r="I896" t="e">
        <f ca="1">_xludf.XLOOKUP(H896,Base_Planos!$A:$A,Base_Planos!$B:$B,"Não encontrado")</f>
        <v>#NAME?</v>
      </c>
      <c r="J896" s="2">
        <f>VLOOKUP(H896,Base_Planos!$A:$G,4,FALSE)</f>
        <v>149.9</v>
      </c>
      <c r="K896" s="4">
        <v>45357</v>
      </c>
      <c r="L896" t="s">
        <v>126</v>
      </c>
      <c r="M896" t="s">
        <v>44</v>
      </c>
      <c r="N896" s="4"/>
      <c r="O896" s="10">
        <f t="shared" ca="1" si="82"/>
        <v>812</v>
      </c>
      <c r="P896" s="10" t="str">
        <f t="shared" ca="1" si="79"/>
        <v>Mais de 1 ano</v>
      </c>
      <c r="Q896">
        <f t="shared" si="84"/>
        <v>0</v>
      </c>
      <c r="R896">
        <v>4</v>
      </c>
      <c r="S896" s="11">
        <f t="shared" si="83"/>
        <v>0</v>
      </c>
      <c r="T896" s="11" t="str">
        <f t="shared" si="80"/>
        <v>Detrator</v>
      </c>
      <c r="U896" s="11" t="str">
        <f t="shared" si="81"/>
        <v>Alto risco</v>
      </c>
      <c r="V896">
        <v>0</v>
      </c>
      <c r="W896">
        <v>80</v>
      </c>
      <c r="X896" s="2">
        <v>142.15</v>
      </c>
      <c r="Y896">
        <v>27</v>
      </c>
      <c r="Z896" t="s">
        <v>45</v>
      </c>
    </row>
    <row r="897" spans="1:26">
      <c r="A897" t="s">
        <v>1476</v>
      </c>
      <c r="B897" t="s">
        <v>658</v>
      </c>
      <c r="C897" t="s">
        <v>108</v>
      </c>
      <c r="D897" t="s">
        <v>109</v>
      </c>
      <c r="E897">
        <v>36</v>
      </c>
      <c r="F897" t="s">
        <v>40</v>
      </c>
      <c r="G897" t="s">
        <v>165</v>
      </c>
      <c r="H897" t="s">
        <v>82</v>
      </c>
      <c r="I897" t="e">
        <f ca="1">_xludf.XLOOKUP(H897,Base_Planos!$A:$A,Base_Planos!$B:$B,"Não encontrado")</f>
        <v>#NAME?</v>
      </c>
      <c r="J897" s="2">
        <f>VLOOKUP(H897,Base_Planos!$A:$G,4,FALSE)</f>
        <v>149.9</v>
      </c>
      <c r="K897" s="4">
        <v>45455</v>
      </c>
      <c r="L897" t="s">
        <v>145</v>
      </c>
      <c r="M897" t="s">
        <v>44</v>
      </c>
      <c r="N897" s="4"/>
      <c r="O897" s="10">
        <f t="shared" ca="1" si="82"/>
        <v>714</v>
      </c>
      <c r="P897" s="10" t="str">
        <f t="shared" ca="1" si="79"/>
        <v>Mais de 1 ano</v>
      </c>
      <c r="Q897">
        <f t="shared" si="84"/>
        <v>0</v>
      </c>
      <c r="R897">
        <v>9</v>
      </c>
      <c r="S897" s="11">
        <f t="shared" si="83"/>
        <v>0</v>
      </c>
      <c r="T897" s="11" t="str">
        <f t="shared" si="80"/>
        <v>Promotor</v>
      </c>
      <c r="U897" s="11" t="str">
        <f t="shared" si="81"/>
        <v>Baixo risco</v>
      </c>
      <c r="V897">
        <v>0</v>
      </c>
      <c r="W897">
        <v>64</v>
      </c>
      <c r="X897" s="2">
        <v>128.19</v>
      </c>
      <c r="Y897">
        <v>23</v>
      </c>
      <c r="Z897" t="s">
        <v>50</v>
      </c>
    </row>
    <row r="898" spans="1:26">
      <c r="A898" t="s">
        <v>1477</v>
      </c>
      <c r="B898" t="s">
        <v>664</v>
      </c>
      <c r="C898" t="s">
        <v>90</v>
      </c>
      <c r="D898" t="s">
        <v>29</v>
      </c>
      <c r="E898">
        <v>41</v>
      </c>
      <c r="F898" t="s">
        <v>40</v>
      </c>
      <c r="G898" t="s">
        <v>73</v>
      </c>
      <c r="H898" t="s">
        <v>166</v>
      </c>
      <c r="I898" t="e">
        <f ca="1">_xludf.XLOOKUP(H898,Base_Planos!$A:$A,Base_Planos!$B:$B,"Não encontrado")</f>
        <v>#NAME?</v>
      </c>
      <c r="J898" s="2">
        <f>VLOOKUP(H898,Base_Planos!$A:$G,4,FALSE)</f>
        <v>399.9</v>
      </c>
      <c r="K898" s="4">
        <v>45251</v>
      </c>
      <c r="L898" t="s">
        <v>79</v>
      </c>
      <c r="M898" t="s">
        <v>44</v>
      </c>
      <c r="N898" s="4"/>
      <c r="O898" s="10">
        <f t="shared" ca="1" si="82"/>
        <v>918</v>
      </c>
      <c r="P898" s="10" t="str">
        <f t="shared" ref="P898:P961" ca="1" si="85">IF(O898&lt;=30,"Até 30 dias",IF(O898&lt;=90,"31 a 90 dias",IF(O898&lt;=180,"91 a 180 dias",IF(O898&lt;=365,"181 a 365 dias","Mais de 1 ano"))))</f>
        <v>Mais de 1 ano</v>
      </c>
      <c r="Q898">
        <f t="shared" si="84"/>
        <v>1</v>
      </c>
      <c r="R898">
        <v>9</v>
      </c>
      <c r="S898" s="11">
        <f t="shared" si="83"/>
        <v>399.9</v>
      </c>
      <c r="T898" s="11" t="str">
        <f t="shared" ref="T898:T961" si="86">IF(R898&lt;=6,"Detrator",IF(R898&lt;=8,"Neutro","Promotor"))</f>
        <v>Promotor</v>
      </c>
      <c r="U898" s="11" t="str">
        <f t="shared" ref="U898:U961" si="87">IF(Q898=1,"Alto risco",IF(R898&lt;=6,"Alto risco",IF(R898&lt;=8,"Médio risco","Baixo risco")))</f>
        <v>Alto risco</v>
      </c>
      <c r="V898">
        <v>0</v>
      </c>
      <c r="W898">
        <v>33</v>
      </c>
      <c r="X898" s="2">
        <v>399.4</v>
      </c>
      <c r="Y898">
        <v>30</v>
      </c>
      <c r="Z898" t="s">
        <v>50</v>
      </c>
    </row>
    <row r="899" spans="1:26">
      <c r="A899" t="s">
        <v>1478</v>
      </c>
      <c r="B899" t="s">
        <v>1479</v>
      </c>
      <c r="C899" t="s">
        <v>94</v>
      </c>
      <c r="D899" t="s">
        <v>95</v>
      </c>
      <c r="E899">
        <v>56</v>
      </c>
      <c r="F899" t="s">
        <v>30</v>
      </c>
      <c r="G899" t="s">
        <v>41</v>
      </c>
      <c r="H899" t="s">
        <v>42</v>
      </c>
      <c r="I899" t="e">
        <f ca="1">_xludf.XLOOKUP(H899,Base_Planos!$A:$A,Base_Planos!$B:$B,"Não encontrado")</f>
        <v>#NAME?</v>
      </c>
      <c r="J899" s="2">
        <f>VLOOKUP(H899,Base_Planos!$A:$G,4,FALSE)</f>
        <v>29.9</v>
      </c>
      <c r="K899" s="4">
        <v>45393</v>
      </c>
      <c r="L899" t="s">
        <v>56</v>
      </c>
      <c r="M899" t="s">
        <v>34</v>
      </c>
      <c r="N899" s="4">
        <v>45795</v>
      </c>
      <c r="O899" s="10">
        <f t="shared" ref="O899:O962" ca="1" si="88">IF(M899="Cancelado",N899-K899,TODAY()-K899)</f>
        <v>402</v>
      </c>
      <c r="P899" s="10" t="str">
        <f t="shared" ca="1" si="85"/>
        <v>Mais de 1 ano</v>
      </c>
      <c r="Q899">
        <f t="shared" si="84"/>
        <v>0</v>
      </c>
      <c r="R899">
        <v>0</v>
      </c>
      <c r="S899" s="11">
        <f t="shared" ref="S899:S962" si="89">IF(Q899=1,J899,0)</f>
        <v>0</v>
      </c>
      <c r="T899" s="11" t="str">
        <f t="shared" si="86"/>
        <v>Detrator</v>
      </c>
      <c r="U899" s="11" t="str">
        <f t="shared" si="87"/>
        <v>Alto risco</v>
      </c>
      <c r="V899">
        <v>0</v>
      </c>
      <c r="W899">
        <v>27</v>
      </c>
      <c r="X899" s="2">
        <v>29.87</v>
      </c>
      <c r="Y899">
        <v>13</v>
      </c>
      <c r="Z899" t="s">
        <v>45</v>
      </c>
    </row>
    <row r="900" spans="1:26">
      <c r="A900" t="s">
        <v>1480</v>
      </c>
      <c r="B900" t="s">
        <v>836</v>
      </c>
      <c r="C900" t="s">
        <v>77</v>
      </c>
      <c r="D900" t="s">
        <v>78</v>
      </c>
      <c r="E900">
        <v>57</v>
      </c>
      <c r="F900" t="s">
        <v>66</v>
      </c>
      <c r="G900" t="s">
        <v>165</v>
      </c>
      <c r="H900" t="s">
        <v>61</v>
      </c>
      <c r="I900" t="e">
        <f ca="1">_xludf.XLOOKUP(H900,Base_Planos!$A:$A,Base_Planos!$B:$B,"Não encontrado")</f>
        <v>#NAME?</v>
      </c>
      <c r="J900" s="2">
        <f>VLOOKUP(H900,Base_Planos!$A:$G,4,FALSE)</f>
        <v>59.9</v>
      </c>
      <c r="K900" s="4">
        <v>46129</v>
      </c>
      <c r="L900" t="s">
        <v>43</v>
      </c>
      <c r="M900" t="s">
        <v>44</v>
      </c>
      <c r="N900" s="4"/>
      <c r="O900" s="10">
        <f t="shared" ca="1" si="88"/>
        <v>40</v>
      </c>
      <c r="P900" s="10" t="str">
        <f t="shared" ca="1" si="85"/>
        <v>31 a 90 dias</v>
      </c>
      <c r="Q900">
        <f t="shared" si="84"/>
        <v>0</v>
      </c>
      <c r="R900">
        <v>8</v>
      </c>
      <c r="S900" s="11">
        <f t="shared" si="89"/>
        <v>0</v>
      </c>
      <c r="T900" s="11" t="str">
        <f t="shared" si="86"/>
        <v>Neutro</v>
      </c>
      <c r="U900" s="11" t="str">
        <f t="shared" si="87"/>
        <v>Médio risco</v>
      </c>
      <c r="V900">
        <v>2</v>
      </c>
      <c r="W900">
        <v>81</v>
      </c>
      <c r="X900" s="2">
        <v>52.94</v>
      </c>
      <c r="Y900">
        <v>1</v>
      </c>
      <c r="Z900" t="s">
        <v>50</v>
      </c>
    </row>
    <row r="901" spans="1:26">
      <c r="A901" t="s">
        <v>1481</v>
      </c>
      <c r="B901" t="s">
        <v>1346</v>
      </c>
      <c r="C901" t="s">
        <v>94</v>
      </c>
      <c r="D901" t="s">
        <v>95</v>
      </c>
      <c r="E901">
        <v>48</v>
      </c>
      <c r="F901" t="s">
        <v>66</v>
      </c>
      <c r="G901" t="s">
        <v>67</v>
      </c>
      <c r="H901" t="s">
        <v>61</v>
      </c>
      <c r="I901" t="e">
        <f ca="1">_xludf.XLOOKUP(H901,Base_Planos!$A:$A,Base_Planos!$B:$B,"Não encontrado")</f>
        <v>#NAME?</v>
      </c>
      <c r="J901" s="2">
        <f>VLOOKUP(H901,Base_Planos!$A:$G,4,FALSE)</f>
        <v>59.9</v>
      </c>
      <c r="K901" s="4">
        <v>45059</v>
      </c>
      <c r="L901" t="s">
        <v>115</v>
      </c>
      <c r="M901" t="s">
        <v>44</v>
      </c>
      <c r="N901" s="4"/>
      <c r="O901" s="10">
        <f t="shared" ca="1" si="88"/>
        <v>1110</v>
      </c>
      <c r="P901" s="10" t="str">
        <f t="shared" ca="1" si="85"/>
        <v>Mais de 1 ano</v>
      </c>
      <c r="Q901">
        <f t="shared" si="84"/>
        <v>0</v>
      </c>
      <c r="R901">
        <v>5</v>
      </c>
      <c r="S901" s="11">
        <f t="shared" si="89"/>
        <v>0</v>
      </c>
      <c r="T901" s="11" t="str">
        <f t="shared" si="86"/>
        <v>Detrator</v>
      </c>
      <c r="U901" s="11" t="str">
        <f t="shared" si="87"/>
        <v>Alto risco</v>
      </c>
      <c r="V901">
        <v>0</v>
      </c>
      <c r="W901">
        <v>75</v>
      </c>
      <c r="X901" s="2">
        <v>59.65</v>
      </c>
      <c r="Y901">
        <v>37</v>
      </c>
      <c r="Z901" t="s">
        <v>50</v>
      </c>
    </row>
    <row r="902" spans="1:26">
      <c r="A902" t="s">
        <v>1482</v>
      </c>
      <c r="B902" t="s">
        <v>1194</v>
      </c>
      <c r="C902" t="s">
        <v>108</v>
      </c>
      <c r="D902" t="s">
        <v>109</v>
      </c>
      <c r="E902">
        <v>49</v>
      </c>
      <c r="F902" t="s">
        <v>54</v>
      </c>
      <c r="G902" t="s">
        <v>67</v>
      </c>
      <c r="H902" t="s">
        <v>82</v>
      </c>
      <c r="I902" t="e">
        <f ca="1">_xludf.XLOOKUP(H902,Base_Planos!$A:$A,Base_Planos!$B:$B,"Não encontrado")</f>
        <v>#NAME?</v>
      </c>
      <c r="J902" s="2">
        <f>VLOOKUP(H902,Base_Planos!$A:$G,4,FALSE)</f>
        <v>149.9</v>
      </c>
      <c r="K902" s="4">
        <v>46000</v>
      </c>
      <c r="L902" t="s">
        <v>170</v>
      </c>
      <c r="M902" t="s">
        <v>44</v>
      </c>
      <c r="N902" s="4"/>
      <c r="O902" s="10">
        <f t="shared" ca="1" si="88"/>
        <v>169</v>
      </c>
      <c r="P902" s="10" t="str">
        <f t="shared" ca="1" si="85"/>
        <v>91 a 180 dias</v>
      </c>
      <c r="Q902">
        <f t="shared" si="84"/>
        <v>1</v>
      </c>
      <c r="R902">
        <v>3</v>
      </c>
      <c r="S902" s="11">
        <f t="shared" si="89"/>
        <v>149.9</v>
      </c>
      <c r="T902" s="11" t="str">
        <f t="shared" si="86"/>
        <v>Detrator</v>
      </c>
      <c r="U902" s="11" t="str">
        <f t="shared" si="87"/>
        <v>Alto risco</v>
      </c>
      <c r="V902">
        <v>0</v>
      </c>
      <c r="W902">
        <v>30</v>
      </c>
      <c r="X902" s="2">
        <v>155.96</v>
      </c>
      <c r="Y902">
        <v>5</v>
      </c>
      <c r="Z902" t="s">
        <v>45</v>
      </c>
    </row>
    <row r="903" spans="1:26">
      <c r="A903" t="s">
        <v>1483</v>
      </c>
      <c r="B903" t="s">
        <v>120</v>
      </c>
      <c r="C903" t="s">
        <v>140</v>
      </c>
      <c r="D903" t="s">
        <v>141</v>
      </c>
      <c r="E903">
        <v>53</v>
      </c>
      <c r="F903" t="s">
        <v>201</v>
      </c>
      <c r="G903" t="s">
        <v>55</v>
      </c>
      <c r="H903" t="s">
        <v>166</v>
      </c>
      <c r="I903" t="e">
        <f ca="1">_xludf.XLOOKUP(H903,Base_Planos!$A:$A,Base_Planos!$B:$B,"Não encontrado")</f>
        <v>#NAME?</v>
      </c>
      <c r="J903" s="2">
        <f>VLOOKUP(H903,Base_Planos!$A:$G,4,FALSE)</f>
        <v>399.9</v>
      </c>
      <c r="K903" s="4">
        <v>45041</v>
      </c>
      <c r="L903" t="s">
        <v>118</v>
      </c>
      <c r="M903" t="s">
        <v>44</v>
      </c>
      <c r="N903" s="4"/>
      <c r="O903" s="10">
        <f t="shared" ca="1" si="88"/>
        <v>1128</v>
      </c>
      <c r="P903" s="10" t="str">
        <f t="shared" ca="1" si="85"/>
        <v>Mais de 1 ano</v>
      </c>
      <c r="Q903">
        <f t="shared" si="84"/>
        <v>0</v>
      </c>
      <c r="R903">
        <v>7</v>
      </c>
      <c r="S903" s="11">
        <f t="shared" si="89"/>
        <v>0</v>
      </c>
      <c r="T903" s="11" t="str">
        <f t="shared" si="86"/>
        <v>Neutro</v>
      </c>
      <c r="U903" s="11" t="str">
        <f t="shared" si="87"/>
        <v>Médio risco</v>
      </c>
      <c r="V903">
        <v>0</v>
      </c>
      <c r="W903">
        <v>48</v>
      </c>
      <c r="X903" s="2">
        <v>395.08</v>
      </c>
      <c r="Y903">
        <v>37</v>
      </c>
      <c r="Z903" t="s">
        <v>50</v>
      </c>
    </row>
    <row r="904" spans="1:26">
      <c r="A904" t="s">
        <v>1484</v>
      </c>
      <c r="B904" t="s">
        <v>1485</v>
      </c>
      <c r="C904" t="s">
        <v>59</v>
      </c>
      <c r="D904" t="s">
        <v>60</v>
      </c>
      <c r="E904">
        <v>62</v>
      </c>
      <c r="F904" t="s">
        <v>40</v>
      </c>
      <c r="G904" t="s">
        <v>96</v>
      </c>
      <c r="H904" t="s">
        <v>32</v>
      </c>
      <c r="I904" t="e">
        <f ca="1">_xludf.XLOOKUP(H904,Base_Planos!$A:$A,Base_Planos!$B:$B,"Não encontrado")</f>
        <v>#NAME?</v>
      </c>
      <c r="J904" s="2">
        <f>VLOOKUP(H904,Base_Planos!$A:$G,4,FALSE)</f>
        <v>39.9</v>
      </c>
      <c r="K904" s="4">
        <v>45471</v>
      </c>
      <c r="L904" t="s">
        <v>145</v>
      </c>
      <c r="M904" t="s">
        <v>44</v>
      </c>
      <c r="N904" s="4"/>
      <c r="O904" s="10">
        <f t="shared" ca="1" si="88"/>
        <v>698</v>
      </c>
      <c r="P904" s="10" t="str">
        <f t="shared" ca="1" si="85"/>
        <v>Mais de 1 ano</v>
      </c>
      <c r="Q904">
        <f t="shared" si="84"/>
        <v>0</v>
      </c>
      <c r="R904">
        <v>8</v>
      </c>
      <c r="S904" s="11">
        <f t="shared" si="89"/>
        <v>0</v>
      </c>
      <c r="T904" s="11" t="str">
        <f t="shared" si="86"/>
        <v>Neutro</v>
      </c>
      <c r="U904" s="11" t="str">
        <f t="shared" si="87"/>
        <v>Médio risco</v>
      </c>
      <c r="V904">
        <v>1</v>
      </c>
      <c r="W904">
        <v>100</v>
      </c>
      <c r="X904" s="2">
        <v>41.15</v>
      </c>
      <c r="Y904">
        <v>23</v>
      </c>
      <c r="Z904" t="s">
        <v>50</v>
      </c>
    </row>
    <row r="905" spans="1:26">
      <c r="A905" t="s">
        <v>1486</v>
      </c>
      <c r="B905" t="s">
        <v>76</v>
      </c>
      <c r="C905" t="s">
        <v>140</v>
      </c>
      <c r="D905" t="s">
        <v>141</v>
      </c>
      <c r="E905">
        <v>21</v>
      </c>
      <c r="F905" t="s">
        <v>30</v>
      </c>
      <c r="G905" t="s">
        <v>31</v>
      </c>
      <c r="H905" t="s">
        <v>61</v>
      </c>
      <c r="I905" t="e">
        <f ca="1">_xludf.XLOOKUP(H905,Base_Planos!$A:$A,Base_Planos!$B:$B,"Não encontrado")</f>
        <v>#NAME?</v>
      </c>
      <c r="J905" s="2">
        <f>VLOOKUP(H905,Base_Planos!$A:$G,4,FALSE)</f>
        <v>59.9</v>
      </c>
      <c r="K905" s="4">
        <v>46117</v>
      </c>
      <c r="L905" t="s">
        <v>43</v>
      </c>
      <c r="M905" t="s">
        <v>44</v>
      </c>
      <c r="N905" s="4"/>
      <c r="O905" s="10">
        <f t="shared" ca="1" si="88"/>
        <v>52</v>
      </c>
      <c r="P905" s="10" t="str">
        <f t="shared" ca="1" si="85"/>
        <v>31 a 90 dias</v>
      </c>
      <c r="Q905">
        <f t="shared" si="84"/>
        <v>1</v>
      </c>
      <c r="R905">
        <v>7</v>
      </c>
      <c r="S905" s="11">
        <f t="shared" si="89"/>
        <v>59.9</v>
      </c>
      <c r="T905" s="11" t="str">
        <f t="shared" si="86"/>
        <v>Neutro</v>
      </c>
      <c r="U905" s="11" t="str">
        <f t="shared" si="87"/>
        <v>Alto risco</v>
      </c>
      <c r="V905">
        <v>1</v>
      </c>
      <c r="W905">
        <v>64</v>
      </c>
      <c r="X905" s="2">
        <v>58.51</v>
      </c>
      <c r="Y905">
        <v>1</v>
      </c>
      <c r="Z905" t="s">
        <v>50</v>
      </c>
    </row>
    <row r="906" spans="1:26">
      <c r="A906" t="s">
        <v>1487</v>
      </c>
      <c r="B906" t="s">
        <v>70</v>
      </c>
      <c r="C906" t="s">
        <v>102</v>
      </c>
      <c r="D906" t="s">
        <v>103</v>
      </c>
      <c r="E906">
        <v>46</v>
      </c>
      <c r="F906" t="s">
        <v>30</v>
      </c>
      <c r="G906" t="s">
        <v>31</v>
      </c>
      <c r="H906" t="s">
        <v>32</v>
      </c>
      <c r="I906" t="e">
        <f ca="1">_xludf.XLOOKUP(H906,Base_Planos!$A:$A,Base_Planos!$B:$B,"Não encontrado")</f>
        <v>#NAME?</v>
      </c>
      <c r="J906" s="2">
        <f>VLOOKUP(H906,Base_Planos!$A:$G,4,FALSE)</f>
        <v>39.9</v>
      </c>
      <c r="K906" s="4">
        <v>46134</v>
      </c>
      <c r="L906" t="s">
        <v>43</v>
      </c>
      <c r="M906" t="s">
        <v>44</v>
      </c>
      <c r="N906" s="4"/>
      <c r="O906" s="10">
        <f t="shared" ca="1" si="88"/>
        <v>35</v>
      </c>
      <c r="P906" s="10" t="str">
        <f t="shared" ca="1" si="85"/>
        <v>31 a 90 dias</v>
      </c>
      <c r="Q906">
        <f t="shared" si="84"/>
        <v>1</v>
      </c>
      <c r="R906">
        <v>3</v>
      </c>
      <c r="S906" s="11">
        <f t="shared" si="89"/>
        <v>39.9</v>
      </c>
      <c r="T906" s="11" t="str">
        <f t="shared" si="86"/>
        <v>Detrator</v>
      </c>
      <c r="U906" s="11" t="str">
        <f t="shared" si="87"/>
        <v>Alto risco</v>
      </c>
      <c r="V906">
        <v>0</v>
      </c>
      <c r="W906">
        <v>43</v>
      </c>
      <c r="X906" s="2">
        <v>41.14</v>
      </c>
      <c r="Y906">
        <v>1</v>
      </c>
      <c r="Z906" t="s">
        <v>35</v>
      </c>
    </row>
    <row r="907" spans="1:26">
      <c r="A907" t="s">
        <v>1488</v>
      </c>
      <c r="B907" t="s">
        <v>132</v>
      </c>
      <c r="C907" t="s">
        <v>48</v>
      </c>
      <c r="D907" t="s">
        <v>29</v>
      </c>
      <c r="E907">
        <v>59</v>
      </c>
      <c r="F907" t="s">
        <v>30</v>
      </c>
      <c r="G907" t="s">
        <v>104</v>
      </c>
      <c r="H907" t="s">
        <v>166</v>
      </c>
      <c r="I907" t="e">
        <f ca="1">_xludf.XLOOKUP(H907,Base_Planos!$A:$A,Base_Planos!$B:$B,"Não encontrado")</f>
        <v>#NAME?</v>
      </c>
      <c r="J907" s="2">
        <f>VLOOKUP(H907,Base_Planos!$A:$G,4,FALSE)</f>
        <v>399.9</v>
      </c>
      <c r="K907" s="4">
        <v>45442</v>
      </c>
      <c r="L907" t="s">
        <v>130</v>
      </c>
      <c r="M907" t="s">
        <v>44</v>
      </c>
      <c r="N907" s="4"/>
      <c r="O907" s="10">
        <f t="shared" ca="1" si="88"/>
        <v>727</v>
      </c>
      <c r="P907" s="10" t="str">
        <f t="shared" ca="1" si="85"/>
        <v>Mais de 1 ano</v>
      </c>
      <c r="Q907">
        <f t="shared" si="84"/>
        <v>0</v>
      </c>
      <c r="R907">
        <v>6</v>
      </c>
      <c r="S907" s="11">
        <f t="shared" si="89"/>
        <v>0</v>
      </c>
      <c r="T907" s="11" t="str">
        <f t="shared" si="86"/>
        <v>Detrator</v>
      </c>
      <c r="U907" s="11" t="str">
        <f t="shared" si="87"/>
        <v>Alto risco</v>
      </c>
      <c r="V907">
        <v>0</v>
      </c>
      <c r="W907">
        <v>37</v>
      </c>
      <c r="X907" s="2">
        <v>381.04</v>
      </c>
      <c r="Y907">
        <v>24</v>
      </c>
      <c r="Z907" t="s">
        <v>35</v>
      </c>
    </row>
    <row r="908" spans="1:26">
      <c r="A908" t="s">
        <v>1489</v>
      </c>
      <c r="B908" t="s">
        <v>1097</v>
      </c>
      <c r="C908" t="s">
        <v>140</v>
      </c>
      <c r="D908" t="s">
        <v>141</v>
      </c>
      <c r="E908">
        <v>52</v>
      </c>
      <c r="F908" t="s">
        <v>30</v>
      </c>
      <c r="G908" t="s">
        <v>73</v>
      </c>
      <c r="H908" t="s">
        <v>61</v>
      </c>
      <c r="I908" t="e">
        <f ca="1">_xludf.XLOOKUP(H908,Base_Planos!$A:$A,Base_Planos!$B:$B,"Não encontrado")</f>
        <v>#NAME?</v>
      </c>
      <c r="J908" s="2">
        <f>VLOOKUP(H908,Base_Planos!$A:$G,4,FALSE)</f>
        <v>59.9</v>
      </c>
      <c r="K908" s="4">
        <v>45957</v>
      </c>
      <c r="L908" t="s">
        <v>196</v>
      </c>
      <c r="M908" t="s">
        <v>34</v>
      </c>
      <c r="N908" s="4">
        <v>45988</v>
      </c>
      <c r="O908" s="10">
        <f t="shared" ca="1" si="88"/>
        <v>31</v>
      </c>
      <c r="P908" s="10" t="str">
        <f t="shared" ca="1" si="85"/>
        <v>31 a 90 dias</v>
      </c>
      <c r="Q908">
        <f t="shared" si="84"/>
        <v>1</v>
      </c>
      <c r="R908">
        <v>4</v>
      </c>
      <c r="S908" s="11">
        <f t="shared" si="89"/>
        <v>59.9</v>
      </c>
      <c r="T908" s="11" t="str">
        <f t="shared" si="86"/>
        <v>Detrator</v>
      </c>
      <c r="U908" s="11" t="str">
        <f t="shared" si="87"/>
        <v>Alto risco</v>
      </c>
      <c r="V908">
        <v>1</v>
      </c>
      <c r="W908">
        <v>47</v>
      </c>
      <c r="X908" s="2">
        <v>62.59</v>
      </c>
      <c r="Y908">
        <v>1</v>
      </c>
      <c r="Z908" t="s">
        <v>35</v>
      </c>
    </row>
    <row r="909" spans="1:26">
      <c r="A909" t="s">
        <v>1490</v>
      </c>
      <c r="B909" t="s">
        <v>789</v>
      </c>
      <c r="C909" t="s">
        <v>94</v>
      </c>
      <c r="D909" t="s">
        <v>95</v>
      </c>
      <c r="E909">
        <v>29</v>
      </c>
      <c r="F909" t="s">
        <v>30</v>
      </c>
      <c r="G909" t="s">
        <v>41</v>
      </c>
      <c r="H909" t="s">
        <v>61</v>
      </c>
      <c r="I909" t="e">
        <f ca="1">_xludf.XLOOKUP(H909,Base_Planos!$A:$A,Base_Planos!$B:$B,"Não encontrado")</f>
        <v>#NAME?</v>
      </c>
      <c r="J909" s="2">
        <f>VLOOKUP(H909,Base_Planos!$A:$G,4,FALSE)</f>
        <v>59.9</v>
      </c>
      <c r="K909" s="4">
        <v>45120</v>
      </c>
      <c r="L909" t="s">
        <v>33</v>
      </c>
      <c r="M909" t="s">
        <v>34</v>
      </c>
      <c r="N909" s="4">
        <v>45261</v>
      </c>
      <c r="O909" s="10">
        <f t="shared" ca="1" si="88"/>
        <v>141</v>
      </c>
      <c r="P909" s="10" t="str">
        <f t="shared" ca="1" si="85"/>
        <v>91 a 180 dias</v>
      </c>
      <c r="Q909">
        <f t="shared" si="84"/>
        <v>0</v>
      </c>
      <c r="R909">
        <v>7</v>
      </c>
      <c r="S909" s="11">
        <f t="shared" si="89"/>
        <v>0</v>
      </c>
      <c r="T909" s="11" t="str">
        <f t="shared" si="86"/>
        <v>Neutro</v>
      </c>
      <c r="U909" s="11" t="str">
        <f t="shared" si="87"/>
        <v>Médio risco</v>
      </c>
      <c r="V909">
        <v>2</v>
      </c>
      <c r="W909">
        <v>92</v>
      </c>
      <c r="X909" s="2">
        <v>53.47</v>
      </c>
      <c r="Y909">
        <v>4</v>
      </c>
      <c r="Z909" t="s">
        <v>50</v>
      </c>
    </row>
    <row r="910" spans="1:26">
      <c r="A910" t="s">
        <v>1491</v>
      </c>
      <c r="B910" t="s">
        <v>1492</v>
      </c>
      <c r="C910" t="s">
        <v>108</v>
      </c>
      <c r="D910" t="s">
        <v>109</v>
      </c>
      <c r="E910">
        <v>51</v>
      </c>
      <c r="F910" t="s">
        <v>54</v>
      </c>
      <c r="G910" t="s">
        <v>73</v>
      </c>
      <c r="H910" t="s">
        <v>86</v>
      </c>
      <c r="I910" t="e">
        <f ca="1">_xludf.XLOOKUP(H910,Base_Planos!$A:$A,Base_Planos!$B:$B,"Não encontrado")</f>
        <v>#NAME?</v>
      </c>
      <c r="J910" s="2">
        <f>VLOOKUP(H910,Base_Planos!$A:$G,4,FALSE)</f>
        <v>119.9</v>
      </c>
      <c r="K910" s="4">
        <v>45357</v>
      </c>
      <c r="L910" t="s">
        <v>126</v>
      </c>
      <c r="M910" t="s">
        <v>44</v>
      </c>
      <c r="N910" s="4"/>
      <c r="O910" s="10">
        <f t="shared" ca="1" si="88"/>
        <v>812</v>
      </c>
      <c r="P910" s="10" t="str">
        <f t="shared" ca="1" si="85"/>
        <v>Mais de 1 ano</v>
      </c>
      <c r="Q910">
        <f t="shared" si="84"/>
        <v>1</v>
      </c>
      <c r="R910">
        <v>9</v>
      </c>
      <c r="S910" s="11">
        <f t="shared" si="89"/>
        <v>119.9</v>
      </c>
      <c r="T910" s="11" t="str">
        <f t="shared" si="86"/>
        <v>Promotor</v>
      </c>
      <c r="U910" s="11" t="str">
        <f t="shared" si="87"/>
        <v>Alto risco</v>
      </c>
      <c r="V910">
        <v>0</v>
      </c>
      <c r="W910">
        <v>35</v>
      </c>
      <c r="X910" s="2">
        <v>106.03</v>
      </c>
      <c r="Y910">
        <v>27</v>
      </c>
      <c r="Z910" t="s">
        <v>50</v>
      </c>
    </row>
    <row r="911" spans="1:26">
      <c r="A911" t="s">
        <v>1493</v>
      </c>
      <c r="B911" t="s">
        <v>299</v>
      </c>
      <c r="C911" t="s">
        <v>65</v>
      </c>
      <c r="D911" t="s">
        <v>29</v>
      </c>
      <c r="E911">
        <v>28</v>
      </c>
      <c r="F911" t="s">
        <v>30</v>
      </c>
      <c r="G911" t="s">
        <v>104</v>
      </c>
      <c r="H911" t="s">
        <v>61</v>
      </c>
      <c r="I911" t="e">
        <f ca="1">_xludf.XLOOKUP(H911,Base_Planos!$A:$A,Base_Planos!$B:$B,"Não encontrado")</f>
        <v>#NAME?</v>
      </c>
      <c r="J911" s="2">
        <f>VLOOKUP(H911,Base_Planos!$A:$G,4,FALSE)</f>
        <v>59.9</v>
      </c>
      <c r="K911" s="4">
        <v>45780</v>
      </c>
      <c r="L911" t="s">
        <v>97</v>
      </c>
      <c r="M911" t="s">
        <v>44</v>
      </c>
      <c r="N911" s="4"/>
      <c r="O911" s="10">
        <f t="shared" ca="1" si="88"/>
        <v>389</v>
      </c>
      <c r="P911" s="10" t="str">
        <f t="shared" ca="1" si="85"/>
        <v>Mais de 1 ano</v>
      </c>
      <c r="Q911">
        <f t="shared" si="84"/>
        <v>0</v>
      </c>
      <c r="R911">
        <v>4</v>
      </c>
      <c r="S911" s="11">
        <f t="shared" si="89"/>
        <v>0</v>
      </c>
      <c r="T911" s="11" t="str">
        <f t="shared" si="86"/>
        <v>Detrator</v>
      </c>
      <c r="U911" s="11" t="str">
        <f t="shared" si="87"/>
        <v>Alto risco</v>
      </c>
      <c r="V911">
        <v>3</v>
      </c>
      <c r="W911">
        <v>78</v>
      </c>
      <c r="X911" s="2">
        <v>55.36</v>
      </c>
      <c r="Y911">
        <v>12</v>
      </c>
      <c r="Z911" t="s">
        <v>45</v>
      </c>
    </row>
    <row r="912" spans="1:26">
      <c r="A912" t="s">
        <v>1494</v>
      </c>
      <c r="B912" t="s">
        <v>288</v>
      </c>
      <c r="C912" t="s">
        <v>137</v>
      </c>
      <c r="D912" t="s">
        <v>29</v>
      </c>
      <c r="E912">
        <v>40</v>
      </c>
      <c r="F912" t="s">
        <v>66</v>
      </c>
      <c r="G912" t="s">
        <v>165</v>
      </c>
      <c r="H912" t="s">
        <v>112</v>
      </c>
      <c r="I912" t="e">
        <f ca="1">_xludf.XLOOKUP(H912,Base_Planos!$A:$A,Base_Planos!$B:$B,"Não encontrado")</f>
        <v>#NAME?</v>
      </c>
      <c r="J912" s="2">
        <f>VLOOKUP(H912,Base_Planos!$A:$G,4,FALSE)</f>
        <v>79.900000000000006</v>
      </c>
      <c r="K912" s="4">
        <v>45798</v>
      </c>
      <c r="L912" t="s">
        <v>97</v>
      </c>
      <c r="M912" t="s">
        <v>44</v>
      </c>
      <c r="N912" s="4"/>
      <c r="O912" s="10">
        <f t="shared" ca="1" si="88"/>
        <v>371</v>
      </c>
      <c r="P912" s="10" t="str">
        <f t="shared" ca="1" si="85"/>
        <v>Mais de 1 ano</v>
      </c>
      <c r="Q912">
        <f t="shared" si="84"/>
        <v>0</v>
      </c>
      <c r="R912">
        <v>9</v>
      </c>
      <c r="S912" s="11">
        <f t="shared" si="89"/>
        <v>0</v>
      </c>
      <c r="T912" s="11" t="str">
        <f t="shared" si="86"/>
        <v>Promotor</v>
      </c>
      <c r="U912" s="11" t="str">
        <f t="shared" si="87"/>
        <v>Baixo risco</v>
      </c>
      <c r="V912">
        <v>1</v>
      </c>
      <c r="W912">
        <v>75</v>
      </c>
      <c r="X912" s="2">
        <v>83.39</v>
      </c>
      <c r="Y912">
        <v>12</v>
      </c>
      <c r="Z912" t="s">
        <v>50</v>
      </c>
    </row>
    <row r="913" spans="1:26">
      <c r="A913" t="s">
        <v>1495</v>
      </c>
      <c r="B913" t="s">
        <v>1496</v>
      </c>
      <c r="C913" t="s">
        <v>77</v>
      </c>
      <c r="D913" t="s">
        <v>78</v>
      </c>
      <c r="E913">
        <v>35</v>
      </c>
      <c r="F913" t="s">
        <v>30</v>
      </c>
      <c r="G913" t="s">
        <v>31</v>
      </c>
      <c r="H913" t="s">
        <v>42</v>
      </c>
      <c r="I913" t="e">
        <f ca="1">_xludf.XLOOKUP(H913,Base_Planos!$A:$A,Base_Planos!$B:$B,"Não encontrado")</f>
        <v>#NAME?</v>
      </c>
      <c r="J913" s="2">
        <f>VLOOKUP(H913,Base_Planos!$A:$G,4,FALSE)</f>
        <v>29.9</v>
      </c>
      <c r="K913" s="4">
        <v>45451</v>
      </c>
      <c r="L913" t="s">
        <v>145</v>
      </c>
      <c r="M913" t="s">
        <v>44</v>
      </c>
      <c r="N913" s="4"/>
      <c r="O913" s="10">
        <f t="shared" ca="1" si="88"/>
        <v>718</v>
      </c>
      <c r="P913" s="10" t="str">
        <f t="shared" ca="1" si="85"/>
        <v>Mais de 1 ano</v>
      </c>
      <c r="Q913">
        <f t="shared" si="84"/>
        <v>1</v>
      </c>
      <c r="R913">
        <v>4</v>
      </c>
      <c r="S913" s="11">
        <f t="shared" si="89"/>
        <v>29.9</v>
      </c>
      <c r="T913" s="11" t="str">
        <f t="shared" si="86"/>
        <v>Detrator</v>
      </c>
      <c r="U913" s="11" t="str">
        <f t="shared" si="87"/>
        <v>Alto risco</v>
      </c>
      <c r="V913">
        <v>0</v>
      </c>
      <c r="W913">
        <v>51</v>
      </c>
      <c r="X913" s="2">
        <v>28.75</v>
      </c>
      <c r="Y913">
        <v>23</v>
      </c>
      <c r="Z913" t="s">
        <v>35</v>
      </c>
    </row>
    <row r="914" spans="1:26">
      <c r="A914" t="s">
        <v>1497</v>
      </c>
      <c r="B914" t="s">
        <v>1302</v>
      </c>
      <c r="C914" t="s">
        <v>48</v>
      </c>
      <c r="D914" t="s">
        <v>29</v>
      </c>
      <c r="E914">
        <v>31</v>
      </c>
      <c r="F914" t="s">
        <v>40</v>
      </c>
      <c r="G914" t="s">
        <v>104</v>
      </c>
      <c r="H914" t="s">
        <v>86</v>
      </c>
      <c r="I914" t="e">
        <f ca="1">_xludf.XLOOKUP(H914,Base_Planos!$A:$A,Base_Planos!$B:$B,"Não encontrado")</f>
        <v>#NAME?</v>
      </c>
      <c r="J914" s="2">
        <f>VLOOKUP(H914,Base_Planos!$A:$G,4,FALSE)</f>
        <v>119.9</v>
      </c>
      <c r="K914" s="4">
        <v>45145</v>
      </c>
      <c r="L914" t="s">
        <v>162</v>
      </c>
      <c r="M914" t="s">
        <v>44</v>
      </c>
      <c r="N914" s="4"/>
      <c r="O914" s="10">
        <f t="shared" ca="1" si="88"/>
        <v>1024</v>
      </c>
      <c r="P914" s="10" t="str">
        <f t="shared" ca="1" si="85"/>
        <v>Mais de 1 ano</v>
      </c>
      <c r="Q914">
        <f t="shared" si="84"/>
        <v>1</v>
      </c>
      <c r="R914">
        <v>1</v>
      </c>
      <c r="S914" s="11">
        <f t="shared" si="89"/>
        <v>119.9</v>
      </c>
      <c r="T914" s="11" t="str">
        <f t="shared" si="86"/>
        <v>Detrator</v>
      </c>
      <c r="U914" s="11" t="str">
        <f t="shared" si="87"/>
        <v>Alto risco</v>
      </c>
      <c r="V914">
        <v>0</v>
      </c>
      <c r="W914">
        <v>81</v>
      </c>
      <c r="X914" s="2">
        <v>113.18</v>
      </c>
      <c r="Y914">
        <v>34</v>
      </c>
      <c r="Z914" t="s">
        <v>35</v>
      </c>
    </row>
    <row r="915" spans="1:26">
      <c r="A915" t="s">
        <v>1498</v>
      </c>
      <c r="B915" t="s">
        <v>411</v>
      </c>
      <c r="C915" t="s">
        <v>137</v>
      </c>
      <c r="D915" t="s">
        <v>29</v>
      </c>
      <c r="E915">
        <v>63</v>
      </c>
      <c r="F915" t="s">
        <v>54</v>
      </c>
      <c r="G915" t="s">
        <v>73</v>
      </c>
      <c r="H915" t="s">
        <v>166</v>
      </c>
      <c r="I915" t="e">
        <f ca="1">_xludf.XLOOKUP(H915,Base_Planos!$A:$A,Base_Planos!$B:$B,"Não encontrado")</f>
        <v>#NAME?</v>
      </c>
      <c r="J915" s="2">
        <f>VLOOKUP(H915,Base_Planos!$A:$G,4,FALSE)</f>
        <v>399.9</v>
      </c>
      <c r="K915" s="4">
        <v>46127</v>
      </c>
      <c r="L915" t="s">
        <v>43</v>
      </c>
      <c r="M915" t="s">
        <v>44</v>
      </c>
      <c r="N915" s="4"/>
      <c r="O915" s="10">
        <f t="shared" ca="1" si="88"/>
        <v>42</v>
      </c>
      <c r="P915" s="10" t="str">
        <f t="shared" ca="1" si="85"/>
        <v>31 a 90 dias</v>
      </c>
      <c r="Q915">
        <f t="shared" si="84"/>
        <v>0</v>
      </c>
      <c r="R915">
        <v>6</v>
      </c>
      <c r="S915" s="11">
        <f t="shared" si="89"/>
        <v>0</v>
      </c>
      <c r="T915" s="11" t="str">
        <f t="shared" si="86"/>
        <v>Detrator</v>
      </c>
      <c r="U915" s="11" t="str">
        <f t="shared" si="87"/>
        <v>Alto risco</v>
      </c>
      <c r="V915">
        <v>0</v>
      </c>
      <c r="W915">
        <v>60</v>
      </c>
      <c r="X915" s="2">
        <v>374.96</v>
      </c>
      <c r="Y915">
        <v>1</v>
      </c>
      <c r="Z915" t="s">
        <v>50</v>
      </c>
    </row>
    <row r="916" spans="1:26">
      <c r="A916" t="s">
        <v>1499</v>
      </c>
      <c r="B916" t="s">
        <v>473</v>
      </c>
      <c r="C916" t="s">
        <v>77</v>
      </c>
      <c r="D916" t="s">
        <v>78</v>
      </c>
      <c r="E916">
        <v>26</v>
      </c>
      <c r="F916" t="s">
        <v>66</v>
      </c>
      <c r="G916" t="s">
        <v>55</v>
      </c>
      <c r="H916" t="s">
        <v>42</v>
      </c>
      <c r="I916" t="e">
        <f ca="1">_xludf.XLOOKUP(H916,Base_Planos!$A:$A,Base_Planos!$B:$B,"Não encontrado")</f>
        <v>#NAME?</v>
      </c>
      <c r="J916" s="2">
        <f>VLOOKUP(H916,Base_Planos!$A:$G,4,FALSE)</f>
        <v>29.9</v>
      </c>
      <c r="K916" s="4">
        <v>45774</v>
      </c>
      <c r="L916" t="s">
        <v>222</v>
      </c>
      <c r="M916" t="s">
        <v>44</v>
      </c>
      <c r="N916" s="4"/>
      <c r="O916" s="10">
        <f t="shared" ca="1" si="88"/>
        <v>395</v>
      </c>
      <c r="P916" s="10" t="str">
        <f t="shared" ca="1" si="85"/>
        <v>Mais de 1 ano</v>
      </c>
      <c r="Q916">
        <f t="shared" si="84"/>
        <v>0</v>
      </c>
      <c r="R916">
        <v>2</v>
      </c>
      <c r="S916" s="11">
        <f t="shared" si="89"/>
        <v>0</v>
      </c>
      <c r="T916" s="11" t="str">
        <f t="shared" si="86"/>
        <v>Detrator</v>
      </c>
      <c r="U916" s="11" t="str">
        <f t="shared" si="87"/>
        <v>Alto risco</v>
      </c>
      <c r="V916">
        <v>0</v>
      </c>
      <c r="W916">
        <v>30</v>
      </c>
      <c r="X916" s="2">
        <v>28.04</v>
      </c>
      <c r="Y916">
        <v>13</v>
      </c>
      <c r="Z916" t="s">
        <v>45</v>
      </c>
    </row>
    <row r="917" spans="1:26">
      <c r="A917" t="s">
        <v>1500</v>
      </c>
      <c r="B917" t="s">
        <v>1095</v>
      </c>
      <c r="C917" t="s">
        <v>38</v>
      </c>
      <c r="D917" t="s">
        <v>39</v>
      </c>
      <c r="E917">
        <v>60</v>
      </c>
      <c r="F917" t="s">
        <v>30</v>
      </c>
      <c r="G917" t="s">
        <v>73</v>
      </c>
      <c r="H917" t="s">
        <v>61</v>
      </c>
      <c r="I917" t="e">
        <f ca="1">_xludf.XLOOKUP(H917,Base_Planos!$A:$A,Base_Planos!$B:$B,"Não encontrado")</f>
        <v>#NAME?</v>
      </c>
      <c r="J917" s="2">
        <f>VLOOKUP(H917,Base_Planos!$A:$G,4,FALSE)</f>
        <v>59.9</v>
      </c>
      <c r="K917" s="4">
        <v>45214</v>
      </c>
      <c r="L917" t="s">
        <v>215</v>
      </c>
      <c r="M917" t="s">
        <v>44</v>
      </c>
      <c r="N917" s="4"/>
      <c r="O917" s="10">
        <f t="shared" ca="1" si="88"/>
        <v>955</v>
      </c>
      <c r="P917" s="10" t="str">
        <f t="shared" ca="1" si="85"/>
        <v>Mais de 1 ano</v>
      </c>
      <c r="Q917">
        <f t="shared" si="84"/>
        <v>1</v>
      </c>
      <c r="R917">
        <v>1</v>
      </c>
      <c r="S917" s="11">
        <f t="shared" si="89"/>
        <v>59.9</v>
      </c>
      <c r="T917" s="11" t="str">
        <f t="shared" si="86"/>
        <v>Detrator</v>
      </c>
      <c r="U917" s="11" t="str">
        <f t="shared" si="87"/>
        <v>Alto risco</v>
      </c>
      <c r="V917">
        <v>1</v>
      </c>
      <c r="W917">
        <v>25</v>
      </c>
      <c r="X917" s="2">
        <v>55.24</v>
      </c>
      <c r="Y917">
        <v>31</v>
      </c>
      <c r="Z917" t="s">
        <v>45</v>
      </c>
    </row>
    <row r="918" spans="1:26">
      <c r="A918" t="s">
        <v>1501</v>
      </c>
      <c r="B918" t="s">
        <v>333</v>
      </c>
      <c r="C918" t="s">
        <v>137</v>
      </c>
      <c r="D918" t="s">
        <v>29</v>
      </c>
      <c r="E918">
        <v>31</v>
      </c>
      <c r="F918" t="s">
        <v>30</v>
      </c>
      <c r="G918" t="s">
        <v>104</v>
      </c>
      <c r="H918" t="s">
        <v>42</v>
      </c>
      <c r="I918" t="e">
        <f ca="1">_xludf.XLOOKUP(H918,Base_Planos!$A:$A,Base_Planos!$B:$B,"Não encontrado")</f>
        <v>#NAME?</v>
      </c>
      <c r="J918" s="2">
        <f>VLOOKUP(H918,Base_Planos!$A:$G,4,FALSE)</f>
        <v>29.9</v>
      </c>
      <c r="K918" s="4">
        <v>45668</v>
      </c>
      <c r="L918" t="s">
        <v>261</v>
      </c>
      <c r="M918" t="s">
        <v>44</v>
      </c>
      <c r="N918" s="4"/>
      <c r="O918" s="10">
        <f t="shared" ca="1" si="88"/>
        <v>501</v>
      </c>
      <c r="P918" s="10" t="str">
        <f t="shared" ca="1" si="85"/>
        <v>Mais de 1 ano</v>
      </c>
      <c r="Q918">
        <f t="shared" ref="Q918:Q981" si="90">IF(M695="Cancelado",1,0)</f>
        <v>0</v>
      </c>
      <c r="R918">
        <v>5</v>
      </c>
      <c r="S918" s="11">
        <f t="shared" si="89"/>
        <v>0</v>
      </c>
      <c r="T918" s="11" t="str">
        <f t="shared" si="86"/>
        <v>Detrator</v>
      </c>
      <c r="U918" s="11" t="str">
        <f t="shared" si="87"/>
        <v>Alto risco</v>
      </c>
      <c r="V918">
        <v>0</v>
      </c>
      <c r="W918">
        <v>100</v>
      </c>
      <c r="X918" s="2">
        <v>30.99</v>
      </c>
      <c r="Y918">
        <v>16</v>
      </c>
      <c r="Z918" t="s">
        <v>50</v>
      </c>
    </row>
    <row r="919" spans="1:26">
      <c r="A919" t="s">
        <v>1502</v>
      </c>
      <c r="B919" t="s">
        <v>635</v>
      </c>
      <c r="C919" t="s">
        <v>65</v>
      </c>
      <c r="D919" t="s">
        <v>29</v>
      </c>
      <c r="E919">
        <v>44</v>
      </c>
      <c r="F919" t="s">
        <v>54</v>
      </c>
      <c r="G919" t="s">
        <v>104</v>
      </c>
      <c r="H919" t="s">
        <v>82</v>
      </c>
      <c r="I919" t="e">
        <f ca="1">_xludf.XLOOKUP(H919,Base_Planos!$A:$A,Base_Planos!$B:$B,"Não encontrado")</f>
        <v>#NAME?</v>
      </c>
      <c r="J919" s="2">
        <f>VLOOKUP(H919,Base_Planos!$A:$G,4,FALSE)</f>
        <v>149.9</v>
      </c>
      <c r="K919" s="4">
        <v>46009</v>
      </c>
      <c r="L919" t="s">
        <v>170</v>
      </c>
      <c r="M919" t="s">
        <v>34</v>
      </c>
      <c r="N919" s="4">
        <v>46047</v>
      </c>
      <c r="O919" s="10">
        <f t="shared" ca="1" si="88"/>
        <v>38</v>
      </c>
      <c r="P919" s="10" t="str">
        <f t="shared" ca="1" si="85"/>
        <v>31 a 90 dias</v>
      </c>
      <c r="Q919">
        <f t="shared" si="90"/>
        <v>0</v>
      </c>
      <c r="R919">
        <v>0</v>
      </c>
      <c r="S919" s="11">
        <f t="shared" si="89"/>
        <v>0</v>
      </c>
      <c r="T919" s="11" t="str">
        <f t="shared" si="86"/>
        <v>Detrator</v>
      </c>
      <c r="U919" s="11" t="str">
        <f t="shared" si="87"/>
        <v>Alto risco</v>
      </c>
      <c r="V919">
        <v>0</v>
      </c>
      <c r="W919">
        <v>39</v>
      </c>
      <c r="X919" s="2">
        <v>153.59</v>
      </c>
      <c r="Y919">
        <v>1</v>
      </c>
      <c r="Z919" t="s">
        <v>45</v>
      </c>
    </row>
    <row r="920" spans="1:26">
      <c r="A920" t="s">
        <v>1503</v>
      </c>
      <c r="B920" t="s">
        <v>172</v>
      </c>
      <c r="C920" t="s">
        <v>77</v>
      </c>
      <c r="D920" t="s">
        <v>78</v>
      </c>
      <c r="E920">
        <v>36</v>
      </c>
      <c r="F920" t="s">
        <v>54</v>
      </c>
      <c r="G920" t="s">
        <v>55</v>
      </c>
      <c r="H920" t="s">
        <v>82</v>
      </c>
      <c r="I920" t="e">
        <f ca="1">_xludf.XLOOKUP(H920,Base_Planos!$A:$A,Base_Planos!$B:$B,"Não encontrado")</f>
        <v>#NAME?</v>
      </c>
      <c r="J920" s="2">
        <f>VLOOKUP(H920,Base_Planos!$A:$G,4,FALSE)</f>
        <v>149.9</v>
      </c>
      <c r="K920" s="4">
        <v>46084</v>
      </c>
      <c r="L920" t="s">
        <v>292</v>
      </c>
      <c r="M920" t="s">
        <v>44</v>
      </c>
      <c r="N920" s="4"/>
      <c r="O920" s="10">
        <f t="shared" ca="1" si="88"/>
        <v>85</v>
      </c>
      <c r="P920" s="10" t="str">
        <f t="shared" ca="1" si="85"/>
        <v>31 a 90 dias</v>
      </c>
      <c r="Q920">
        <f t="shared" si="90"/>
        <v>0</v>
      </c>
      <c r="R920">
        <v>1</v>
      </c>
      <c r="S920" s="11">
        <f t="shared" si="89"/>
        <v>0</v>
      </c>
      <c r="T920" s="11" t="str">
        <f t="shared" si="86"/>
        <v>Detrator</v>
      </c>
      <c r="U920" s="11" t="str">
        <f t="shared" si="87"/>
        <v>Alto risco</v>
      </c>
      <c r="V920">
        <v>0</v>
      </c>
      <c r="W920">
        <v>49</v>
      </c>
      <c r="X920" s="2">
        <v>152.79</v>
      </c>
      <c r="Y920">
        <v>2</v>
      </c>
      <c r="Z920" t="s">
        <v>45</v>
      </c>
    </row>
    <row r="921" spans="1:26">
      <c r="A921" t="s">
        <v>1504</v>
      </c>
      <c r="B921" t="s">
        <v>1505</v>
      </c>
      <c r="C921" t="s">
        <v>77</v>
      </c>
      <c r="D921" t="s">
        <v>78</v>
      </c>
      <c r="E921">
        <v>57</v>
      </c>
      <c r="F921" t="s">
        <v>40</v>
      </c>
      <c r="G921" t="s">
        <v>31</v>
      </c>
      <c r="H921" t="s">
        <v>82</v>
      </c>
      <c r="I921" t="e">
        <f ca="1">_xludf.XLOOKUP(H921,Base_Planos!$A:$A,Base_Planos!$B:$B,"Não encontrado")</f>
        <v>#NAME?</v>
      </c>
      <c r="J921" s="2">
        <f>VLOOKUP(H921,Base_Planos!$A:$G,4,FALSE)</f>
        <v>149.9</v>
      </c>
      <c r="K921" s="4">
        <v>45809</v>
      </c>
      <c r="L921" t="s">
        <v>167</v>
      </c>
      <c r="M921" t="s">
        <v>34</v>
      </c>
      <c r="N921" s="4">
        <v>46008</v>
      </c>
      <c r="O921" s="10">
        <f t="shared" ca="1" si="88"/>
        <v>199</v>
      </c>
      <c r="P921" s="10" t="str">
        <f t="shared" ca="1" si="85"/>
        <v>181 a 365 dias</v>
      </c>
      <c r="Q921">
        <f t="shared" si="90"/>
        <v>1</v>
      </c>
      <c r="R921">
        <v>4</v>
      </c>
      <c r="S921" s="11">
        <f t="shared" si="89"/>
        <v>149.9</v>
      </c>
      <c r="T921" s="11" t="str">
        <f t="shared" si="86"/>
        <v>Detrator</v>
      </c>
      <c r="U921" s="11" t="str">
        <f t="shared" si="87"/>
        <v>Alto risco</v>
      </c>
      <c r="V921">
        <v>4</v>
      </c>
      <c r="W921">
        <v>69</v>
      </c>
      <c r="X921" s="2">
        <v>146.84</v>
      </c>
      <c r="Y921">
        <v>6</v>
      </c>
      <c r="Z921" t="s">
        <v>35</v>
      </c>
    </row>
    <row r="922" spans="1:26">
      <c r="A922" t="s">
        <v>1506</v>
      </c>
      <c r="B922" t="s">
        <v>1312</v>
      </c>
      <c r="C922" t="s">
        <v>38</v>
      </c>
      <c r="D922" t="s">
        <v>39</v>
      </c>
      <c r="E922">
        <v>62</v>
      </c>
      <c r="F922" t="s">
        <v>40</v>
      </c>
      <c r="G922" t="s">
        <v>41</v>
      </c>
      <c r="H922" t="s">
        <v>86</v>
      </c>
      <c r="I922" t="e">
        <f ca="1">_xludf.XLOOKUP(H922,Base_Planos!$A:$A,Base_Planos!$B:$B,"Não encontrado")</f>
        <v>#NAME?</v>
      </c>
      <c r="J922" s="2">
        <f>VLOOKUP(H922,Base_Planos!$A:$G,4,FALSE)</f>
        <v>119.9</v>
      </c>
      <c r="K922" s="4">
        <v>45749</v>
      </c>
      <c r="L922" t="s">
        <v>222</v>
      </c>
      <c r="M922" t="s">
        <v>34</v>
      </c>
      <c r="N922" s="4">
        <v>45944</v>
      </c>
      <c r="O922" s="10">
        <f t="shared" ca="1" si="88"/>
        <v>195</v>
      </c>
      <c r="P922" s="10" t="str">
        <f t="shared" ca="1" si="85"/>
        <v>181 a 365 dias</v>
      </c>
      <c r="Q922">
        <f t="shared" si="90"/>
        <v>0</v>
      </c>
      <c r="R922">
        <v>9</v>
      </c>
      <c r="S922" s="11">
        <f t="shared" si="89"/>
        <v>0</v>
      </c>
      <c r="T922" s="11" t="str">
        <f t="shared" si="86"/>
        <v>Promotor</v>
      </c>
      <c r="U922" s="11" t="str">
        <f t="shared" si="87"/>
        <v>Baixo risco</v>
      </c>
      <c r="V922">
        <v>0</v>
      </c>
      <c r="W922">
        <v>94</v>
      </c>
      <c r="X922" s="2">
        <v>105.52</v>
      </c>
      <c r="Y922">
        <v>6</v>
      </c>
      <c r="Z922" t="s">
        <v>50</v>
      </c>
    </row>
    <row r="923" spans="1:26">
      <c r="A923" t="s">
        <v>1507</v>
      </c>
      <c r="B923" t="s">
        <v>114</v>
      </c>
      <c r="C923" t="s">
        <v>90</v>
      </c>
      <c r="D923" t="s">
        <v>29</v>
      </c>
      <c r="E923">
        <v>61</v>
      </c>
      <c r="F923" t="s">
        <v>40</v>
      </c>
      <c r="G923" t="s">
        <v>104</v>
      </c>
      <c r="H923" t="s">
        <v>61</v>
      </c>
      <c r="I923" t="e">
        <f ca="1">_xludf.XLOOKUP(H923,Base_Planos!$A:$A,Base_Planos!$B:$B,"Não encontrado")</f>
        <v>#NAME?</v>
      </c>
      <c r="J923" s="2">
        <f>VLOOKUP(H923,Base_Planos!$A:$G,4,FALSE)</f>
        <v>59.9</v>
      </c>
      <c r="K923" s="4">
        <v>45337</v>
      </c>
      <c r="L923" t="s">
        <v>297</v>
      </c>
      <c r="M923" t="s">
        <v>44</v>
      </c>
      <c r="N923" s="4"/>
      <c r="O923" s="10">
        <f t="shared" ca="1" si="88"/>
        <v>832</v>
      </c>
      <c r="P923" s="10" t="str">
        <f t="shared" ca="1" si="85"/>
        <v>Mais de 1 ano</v>
      </c>
      <c r="Q923">
        <f t="shared" si="90"/>
        <v>0</v>
      </c>
      <c r="R923">
        <v>9</v>
      </c>
      <c r="S923" s="11">
        <f t="shared" si="89"/>
        <v>0</v>
      </c>
      <c r="T923" s="11" t="str">
        <f t="shared" si="86"/>
        <v>Promotor</v>
      </c>
      <c r="U923" s="11" t="str">
        <f t="shared" si="87"/>
        <v>Baixo risco</v>
      </c>
      <c r="V923">
        <v>1</v>
      </c>
      <c r="W923">
        <v>30</v>
      </c>
      <c r="X923" s="2">
        <v>53.18</v>
      </c>
      <c r="Y923">
        <v>27</v>
      </c>
      <c r="Z923" t="s">
        <v>35</v>
      </c>
    </row>
    <row r="924" spans="1:26">
      <c r="A924" t="s">
        <v>1508</v>
      </c>
      <c r="B924" t="s">
        <v>47</v>
      </c>
      <c r="C924" t="s">
        <v>140</v>
      </c>
      <c r="D924" t="s">
        <v>141</v>
      </c>
      <c r="E924">
        <v>29</v>
      </c>
      <c r="F924" t="s">
        <v>30</v>
      </c>
      <c r="G924" t="s">
        <v>67</v>
      </c>
      <c r="H924" t="s">
        <v>82</v>
      </c>
      <c r="I924" t="e">
        <f ca="1">_xludf.XLOOKUP(H924,Base_Planos!$A:$A,Base_Planos!$B:$B,"Não encontrado")</f>
        <v>#NAME?</v>
      </c>
      <c r="J924" s="2">
        <f>VLOOKUP(H924,Base_Planos!$A:$G,4,FALSE)</f>
        <v>149.9</v>
      </c>
      <c r="K924" s="4">
        <v>46033</v>
      </c>
      <c r="L924" t="s">
        <v>148</v>
      </c>
      <c r="M924" t="s">
        <v>44</v>
      </c>
      <c r="N924" s="4"/>
      <c r="O924" s="10">
        <f t="shared" ca="1" si="88"/>
        <v>136</v>
      </c>
      <c r="P924" s="10" t="str">
        <f t="shared" ca="1" si="85"/>
        <v>91 a 180 dias</v>
      </c>
      <c r="Q924">
        <f t="shared" si="90"/>
        <v>0</v>
      </c>
      <c r="R924">
        <v>5</v>
      </c>
      <c r="S924" s="11">
        <f t="shared" si="89"/>
        <v>0</v>
      </c>
      <c r="T924" s="11" t="str">
        <f t="shared" si="86"/>
        <v>Detrator</v>
      </c>
      <c r="U924" s="11" t="str">
        <f t="shared" si="87"/>
        <v>Alto risco</v>
      </c>
      <c r="V924">
        <v>0</v>
      </c>
      <c r="W924">
        <v>49</v>
      </c>
      <c r="X924" s="2">
        <v>133.68</v>
      </c>
      <c r="Y924">
        <v>4</v>
      </c>
      <c r="Z924" t="s">
        <v>50</v>
      </c>
    </row>
    <row r="925" spans="1:26">
      <c r="A925" t="s">
        <v>1509</v>
      </c>
      <c r="B925" t="s">
        <v>509</v>
      </c>
      <c r="C925" t="s">
        <v>71</v>
      </c>
      <c r="D925" t="s">
        <v>72</v>
      </c>
      <c r="E925">
        <v>35</v>
      </c>
      <c r="F925" t="s">
        <v>30</v>
      </c>
      <c r="G925" t="s">
        <v>31</v>
      </c>
      <c r="H925" t="s">
        <v>82</v>
      </c>
      <c r="I925" t="e">
        <f ca="1">_xludf.XLOOKUP(H925,Base_Planos!$A:$A,Base_Planos!$B:$B,"Não encontrado")</f>
        <v>#NAME?</v>
      </c>
      <c r="J925" s="2">
        <f>VLOOKUP(H925,Base_Planos!$A:$G,4,FALSE)</f>
        <v>149.9</v>
      </c>
      <c r="K925" s="4">
        <v>44982</v>
      </c>
      <c r="L925" t="s">
        <v>425</v>
      </c>
      <c r="M925" t="s">
        <v>44</v>
      </c>
      <c r="N925" s="4"/>
      <c r="O925" s="10">
        <f t="shared" ca="1" si="88"/>
        <v>1187</v>
      </c>
      <c r="P925" s="10" t="str">
        <f t="shared" ca="1" si="85"/>
        <v>Mais de 1 ano</v>
      </c>
      <c r="Q925">
        <f t="shared" si="90"/>
        <v>0</v>
      </c>
      <c r="R925">
        <v>2</v>
      </c>
      <c r="S925" s="11">
        <f t="shared" si="89"/>
        <v>0</v>
      </c>
      <c r="T925" s="11" t="str">
        <f t="shared" si="86"/>
        <v>Detrator</v>
      </c>
      <c r="U925" s="11" t="str">
        <f t="shared" si="87"/>
        <v>Alto risco</v>
      </c>
      <c r="V925">
        <v>0</v>
      </c>
      <c r="W925">
        <v>10</v>
      </c>
      <c r="X925" s="2">
        <v>128.18</v>
      </c>
      <c r="Y925">
        <v>39</v>
      </c>
      <c r="Z925" t="s">
        <v>45</v>
      </c>
    </row>
    <row r="926" spans="1:26">
      <c r="A926" t="s">
        <v>1510</v>
      </c>
      <c r="B926" t="s">
        <v>1511</v>
      </c>
      <c r="C926" t="s">
        <v>71</v>
      </c>
      <c r="D926" t="s">
        <v>72</v>
      </c>
      <c r="E926">
        <v>21</v>
      </c>
      <c r="F926" t="s">
        <v>54</v>
      </c>
      <c r="G926" t="s">
        <v>41</v>
      </c>
      <c r="H926" t="s">
        <v>42</v>
      </c>
      <c r="I926" t="e">
        <f ca="1">_xludf.XLOOKUP(H926,Base_Planos!$A:$A,Base_Planos!$B:$B,"Não encontrado")</f>
        <v>#NAME?</v>
      </c>
      <c r="J926" s="2">
        <f>VLOOKUP(H926,Base_Planos!$A:$G,4,FALSE)</f>
        <v>29.9</v>
      </c>
      <c r="K926" s="4">
        <v>45706</v>
      </c>
      <c r="L926" t="s">
        <v>289</v>
      </c>
      <c r="M926" t="s">
        <v>44</v>
      </c>
      <c r="N926" s="4"/>
      <c r="O926" s="10">
        <f t="shared" ca="1" si="88"/>
        <v>463</v>
      </c>
      <c r="P926" s="10" t="str">
        <f t="shared" ca="1" si="85"/>
        <v>Mais de 1 ano</v>
      </c>
      <c r="Q926">
        <f t="shared" si="90"/>
        <v>0</v>
      </c>
      <c r="R926">
        <v>9</v>
      </c>
      <c r="S926" s="11">
        <f t="shared" si="89"/>
        <v>0</v>
      </c>
      <c r="T926" s="11" t="str">
        <f t="shared" si="86"/>
        <v>Promotor</v>
      </c>
      <c r="U926" s="11" t="str">
        <f t="shared" si="87"/>
        <v>Baixo risco</v>
      </c>
      <c r="V926">
        <v>0</v>
      </c>
      <c r="W926">
        <v>45</v>
      </c>
      <c r="X926" s="2">
        <v>29.75</v>
      </c>
      <c r="Y926">
        <v>15</v>
      </c>
      <c r="Z926" t="s">
        <v>50</v>
      </c>
    </row>
    <row r="927" spans="1:26">
      <c r="A927" t="s">
        <v>1512</v>
      </c>
      <c r="B927" t="s">
        <v>654</v>
      </c>
      <c r="C927" t="s">
        <v>48</v>
      </c>
      <c r="D927" t="s">
        <v>29</v>
      </c>
      <c r="E927">
        <v>31</v>
      </c>
      <c r="F927" t="s">
        <v>30</v>
      </c>
      <c r="G927" t="s">
        <v>104</v>
      </c>
      <c r="H927" t="s">
        <v>82</v>
      </c>
      <c r="I927" t="e">
        <f ca="1">_xludf.XLOOKUP(H927,Base_Planos!$A:$A,Base_Planos!$B:$B,"Não encontrado")</f>
        <v>#NAME?</v>
      </c>
      <c r="J927" s="2">
        <f>VLOOKUP(H927,Base_Planos!$A:$G,4,FALSE)</f>
        <v>149.9</v>
      </c>
      <c r="K927" s="4">
        <v>45660</v>
      </c>
      <c r="L927" t="s">
        <v>261</v>
      </c>
      <c r="M927" t="s">
        <v>44</v>
      </c>
      <c r="N927" s="4"/>
      <c r="O927" s="10">
        <f t="shared" ca="1" si="88"/>
        <v>509</v>
      </c>
      <c r="P927" s="10" t="str">
        <f t="shared" ca="1" si="85"/>
        <v>Mais de 1 ano</v>
      </c>
      <c r="Q927">
        <f t="shared" si="90"/>
        <v>0</v>
      </c>
      <c r="R927">
        <v>5</v>
      </c>
      <c r="S927" s="11">
        <f t="shared" si="89"/>
        <v>0</v>
      </c>
      <c r="T927" s="11" t="str">
        <f t="shared" si="86"/>
        <v>Detrator</v>
      </c>
      <c r="U927" s="11" t="str">
        <f t="shared" si="87"/>
        <v>Alto risco</v>
      </c>
      <c r="V927">
        <v>0</v>
      </c>
      <c r="W927">
        <v>66</v>
      </c>
      <c r="X927" s="2">
        <v>141.74</v>
      </c>
      <c r="Y927">
        <v>16</v>
      </c>
      <c r="Z927" t="s">
        <v>50</v>
      </c>
    </row>
    <row r="928" spans="1:26">
      <c r="A928" t="s">
        <v>1513</v>
      </c>
      <c r="B928" t="s">
        <v>899</v>
      </c>
      <c r="C928" t="s">
        <v>77</v>
      </c>
      <c r="D928" t="s">
        <v>78</v>
      </c>
      <c r="E928">
        <v>19</v>
      </c>
      <c r="F928" t="s">
        <v>30</v>
      </c>
      <c r="G928" t="s">
        <v>41</v>
      </c>
      <c r="H928" t="s">
        <v>112</v>
      </c>
      <c r="I928" t="e">
        <f ca="1">_xludf.XLOOKUP(H928,Base_Planos!$A:$A,Base_Planos!$B:$B,"Não encontrado")</f>
        <v>#NAME?</v>
      </c>
      <c r="J928" s="2">
        <f>VLOOKUP(H928,Base_Planos!$A:$G,4,FALSE)</f>
        <v>79.900000000000006</v>
      </c>
      <c r="K928" s="4">
        <v>45131</v>
      </c>
      <c r="L928" t="s">
        <v>33</v>
      </c>
      <c r="M928" t="s">
        <v>44</v>
      </c>
      <c r="N928" s="4"/>
      <c r="O928" s="10">
        <f t="shared" ca="1" si="88"/>
        <v>1038</v>
      </c>
      <c r="P928" s="10" t="str">
        <f t="shared" ca="1" si="85"/>
        <v>Mais de 1 ano</v>
      </c>
      <c r="Q928">
        <f t="shared" si="90"/>
        <v>0</v>
      </c>
      <c r="R928">
        <v>5</v>
      </c>
      <c r="S928" s="11">
        <f t="shared" si="89"/>
        <v>0</v>
      </c>
      <c r="T928" s="11" t="str">
        <f t="shared" si="86"/>
        <v>Detrator</v>
      </c>
      <c r="U928" s="11" t="str">
        <f t="shared" si="87"/>
        <v>Alto risco</v>
      </c>
      <c r="V928">
        <v>0</v>
      </c>
      <c r="W928">
        <v>75</v>
      </c>
      <c r="X928" s="2">
        <v>78.33</v>
      </c>
      <c r="Y928">
        <v>34</v>
      </c>
      <c r="Z928" t="s">
        <v>50</v>
      </c>
    </row>
    <row r="929" spans="1:26">
      <c r="A929" t="s">
        <v>1514</v>
      </c>
      <c r="B929" t="s">
        <v>1223</v>
      </c>
      <c r="C929" t="s">
        <v>65</v>
      </c>
      <c r="D929" t="s">
        <v>29</v>
      </c>
      <c r="E929">
        <v>59</v>
      </c>
      <c r="F929" t="s">
        <v>40</v>
      </c>
      <c r="G929" t="s">
        <v>104</v>
      </c>
      <c r="H929" t="s">
        <v>32</v>
      </c>
      <c r="I929" t="e">
        <f ca="1">_xludf.XLOOKUP(H929,Base_Planos!$A:$A,Base_Planos!$B:$B,"Não encontrado")</f>
        <v>#NAME?</v>
      </c>
      <c r="J929" s="2">
        <f>VLOOKUP(H929,Base_Planos!$A:$G,4,FALSE)</f>
        <v>39.9</v>
      </c>
      <c r="K929" s="4">
        <v>45489</v>
      </c>
      <c r="L929" t="s">
        <v>142</v>
      </c>
      <c r="M929" t="s">
        <v>34</v>
      </c>
      <c r="N929" s="4">
        <v>45528</v>
      </c>
      <c r="O929" s="10">
        <f t="shared" ca="1" si="88"/>
        <v>39</v>
      </c>
      <c r="P929" s="10" t="str">
        <f t="shared" ca="1" si="85"/>
        <v>31 a 90 dias</v>
      </c>
      <c r="Q929">
        <f t="shared" si="90"/>
        <v>0</v>
      </c>
      <c r="R929">
        <v>10</v>
      </c>
      <c r="S929" s="11">
        <f t="shared" si="89"/>
        <v>0</v>
      </c>
      <c r="T929" s="11" t="str">
        <f t="shared" si="86"/>
        <v>Promotor</v>
      </c>
      <c r="U929" s="11" t="str">
        <f t="shared" si="87"/>
        <v>Baixo risco</v>
      </c>
      <c r="V929">
        <v>2</v>
      </c>
      <c r="W929">
        <v>51</v>
      </c>
      <c r="X929" s="2">
        <v>38.049999999999997</v>
      </c>
      <c r="Y929">
        <v>1</v>
      </c>
      <c r="Z929" t="s">
        <v>50</v>
      </c>
    </row>
    <row r="930" spans="1:26">
      <c r="A930" t="s">
        <v>1515</v>
      </c>
      <c r="B930" t="s">
        <v>1516</v>
      </c>
      <c r="C930" t="s">
        <v>48</v>
      </c>
      <c r="D930" t="s">
        <v>29</v>
      </c>
      <c r="E930">
        <v>20</v>
      </c>
      <c r="F930" t="s">
        <v>30</v>
      </c>
      <c r="G930" t="s">
        <v>31</v>
      </c>
      <c r="H930" t="s">
        <v>86</v>
      </c>
      <c r="I930" t="e">
        <f ca="1">_xludf.XLOOKUP(H930,Base_Planos!$A:$A,Base_Planos!$B:$B,"Não encontrado")</f>
        <v>#NAME?</v>
      </c>
      <c r="J930" s="2">
        <f>VLOOKUP(H930,Base_Planos!$A:$G,4,FALSE)</f>
        <v>119.9</v>
      </c>
      <c r="K930" s="4">
        <v>45527</v>
      </c>
      <c r="L930" t="s">
        <v>156</v>
      </c>
      <c r="M930" t="s">
        <v>44</v>
      </c>
      <c r="N930" s="4"/>
      <c r="O930" s="10">
        <f t="shared" ca="1" si="88"/>
        <v>642</v>
      </c>
      <c r="P930" s="10" t="str">
        <f t="shared" ca="1" si="85"/>
        <v>Mais de 1 ano</v>
      </c>
      <c r="Q930">
        <f t="shared" si="90"/>
        <v>0</v>
      </c>
      <c r="R930">
        <v>5</v>
      </c>
      <c r="S930" s="11">
        <f t="shared" si="89"/>
        <v>0</v>
      </c>
      <c r="T930" s="11" t="str">
        <f t="shared" si="86"/>
        <v>Detrator</v>
      </c>
      <c r="U930" s="11" t="str">
        <f t="shared" si="87"/>
        <v>Alto risco</v>
      </c>
      <c r="V930">
        <v>0</v>
      </c>
      <c r="W930">
        <v>21</v>
      </c>
      <c r="X930" s="2">
        <v>114.35</v>
      </c>
      <c r="Y930">
        <v>21</v>
      </c>
      <c r="Z930" t="s">
        <v>35</v>
      </c>
    </row>
    <row r="931" spans="1:26">
      <c r="A931" t="s">
        <v>1517</v>
      </c>
      <c r="B931" t="s">
        <v>1518</v>
      </c>
      <c r="C931" t="s">
        <v>108</v>
      </c>
      <c r="D931" t="s">
        <v>109</v>
      </c>
      <c r="E931">
        <v>25</v>
      </c>
      <c r="F931" t="s">
        <v>40</v>
      </c>
      <c r="G931" t="s">
        <v>67</v>
      </c>
      <c r="H931" t="s">
        <v>112</v>
      </c>
      <c r="I931" t="e">
        <f ca="1">_xludf.XLOOKUP(H931,Base_Planos!$A:$A,Base_Planos!$B:$B,"Não encontrado")</f>
        <v>#NAME?</v>
      </c>
      <c r="J931" s="2">
        <f>VLOOKUP(H931,Base_Planos!$A:$G,4,FALSE)</f>
        <v>79.900000000000006</v>
      </c>
      <c r="K931" s="4">
        <v>45553</v>
      </c>
      <c r="L931" t="s">
        <v>91</v>
      </c>
      <c r="M931" t="s">
        <v>34</v>
      </c>
      <c r="N931" s="4">
        <v>45609</v>
      </c>
      <c r="O931" s="10">
        <f t="shared" ca="1" si="88"/>
        <v>56</v>
      </c>
      <c r="P931" s="10" t="str">
        <f t="shared" ca="1" si="85"/>
        <v>31 a 90 dias</v>
      </c>
      <c r="Q931">
        <f t="shared" si="90"/>
        <v>1</v>
      </c>
      <c r="R931">
        <v>6</v>
      </c>
      <c r="S931" s="11">
        <f t="shared" si="89"/>
        <v>79.900000000000006</v>
      </c>
      <c r="T931" s="11" t="str">
        <f t="shared" si="86"/>
        <v>Detrator</v>
      </c>
      <c r="U931" s="11" t="str">
        <f t="shared" si="87"/>
        <v>Alto risco</v>
      </c>
      <c r="V931">
        <v>0</v>
      </c>
      <c r="W931">
        <v>13</v>
      </c>
      <c r="X931" s="2">
        <v>82.12</v>
      </c>
      <c r="Y931">
        <v>1</v>
      </c>
      <c r="Z931" t="s">
        <v>35</v>
      </c>
    </row>
    <row r="932" spans="1:26">
      <c r="A932" t="s">
        <v>1519</v>
      </c>
      <c r="B932" t="s">
        <v>1520</v>
      </c>
      <c r="C932" t="s">
        <v>71</v>
      </c>
      <c r="D932" t="s">
        <v>72</v>
      </c>
      <c r="E932">
        <v>20</v>
      </c>
      <c r="F932" t="s">
        <v>54</v>
      </c>
      <c r="G932" t="s">
        <v>96</v>
      </c>
      <c r="H932" t="s">
        <v>32</v>
      </c>
      <c r="I932" t="e">
        <f ca="1">_xludf.XLOOKUP(H932,Base_Planos!$A:$A,Base_Planos!$B:$B,"Não encontrado")</f>
        <v>#NAME?</v>
      </c>
      <c r="J932" s="2">
        <f>VLOOKUP(H932,Base_Planos!$A:$G,4,FALSE)</f>
        <v>39.9</v>
      </c>
      <c r="K932" s="4">
        <v>44957</v>
      </c>
      <c r="L932" t="s">
        <v>153</v>
      </c>
      <c r="M932" t="s">
        <v>34</v>
      </c>
      <c r="N932" s="4">
        <v>45961</v>
      </c>
      <c r="O932" s="10">
        <f t="shared" ca="1" si="88"/>
        <v>1004</v>
      </c>
      <c r="P932" s="10" t="str">
        <f t="shared" ca="1" si="85"/>
        <v>Mais de 1 ano</v>
      </c>
      <c r="Q932">
        <f t="shared" si="90"/>
        <v>1</v>
      </c>
      <c r="R932">
        <v>5</v>
      </c>
      <c r="S932" s="11">
        <f t="shared" si="89"/>
        <v>39.9</v>
      </c>
      <c r="T932" s="11" t="str">
        <f t="shared" si="86"/>
        <v>Detrator</v>
      </c>
      <c r="U932" s="11" t="str">
        <f t="shared" si="87"/>
        <v>Alto risco</v>
      </c>
      <c r="V932">
        <v>4</v>
      </c>
      <c r="W932">
        <v>49</v>
      </c>
      <c r="X932" s="2">
        <v>41.76</v>
      </c>
      <c r="Y932">
        <v>33</v>
      </c>
      <c r="Z932" t="s">
        <v>35</v>
      </c>
    </row>
    <row r="933" spans="1:26">
      <c r="A933" t="s">
        <v>1521</v>
      </c>
      <c r="B933" t="s">
        <v>280</v>
      </c>
      <c r="C933" t="s">
        <v>77</v>
      </c>
      <c r="D933" t="s">
        <v>78</v>
      </c>
      <c r="E933">
        <v>26</v>
      </c>
      <c r="F933" t="s">
        <v>66</v>
      </c>
      <c r="G933" t="s">
        <v>67</v>
      </c>
      <c r="H933" t="s">
        <v>42</v>
      </c>
      <c r="I933" t="e">
        <f ca="1">_xludf.XLOOKUP(H933,Base_Planos!$A:$A,Base_Planos!$B:$B,"Não encontrado")</f>
        <v>#NAME?</v>
      </c>
      <c r="J933" s="2">
        <f>VLOOKUP(H933,Base_Planos!$A:$G,4,FALSE)</f>
        <v>29.9</v>
      </c>
      <c r="K933" s="4">
        <v>45888</v>
      </c>
      <c r="L933" t="s">
        <v>159</v>
      </c>
      <c r="M933" t="s">
        <v>44</v>
      </c>
      <c r="N933" s="4"/>
      <c r="O933" s="10">
        <f t="shared" ca="1" si="88"/>
        <v>281</v>
      </c>
      <c r="P933" s="10" t="str">
        <f t="shared" ca="1" si="85"/>
        <v>181 a 365 dias</v>
      </c>
      <c r="Q933">
        <f t="shared" si="90"/>
        <v>1</v>
      </c>
      <c r="R933">
        <v>4</v>
      </c>
      <c r="S933" s="11">
        <f t="shared" si="89"/>
        <v>29.9</v>
      </c>
      <c r="T933" s="11" t="str">
        <f t="shared" si="86"/>
        <v>Detrator</v>
      </c>
      <c r="U933" s="11" t="str">
        <f t="shared" si="87"/>
        <v>Alto risco</v>
      </c>
      <c r="V933">
        <v>0</v>
      </c>
      <c r="W933">
        <v>86</v>
      </c>
      <c r="X933" s="2">
        <v>29.7</v>
      </c>
      <c r="Y933">
        <v>9</v>
      </c>
      <c r="Z933" t="s">
        <v>45</v>
      </c>
    </row>
    <row r="934" spans="1:26">
      <c r="A934" t="s">
        <v>1522</v>
      </c>
      <c r="B934" t="s">
        <v>789</v>
      </c>
      <c r="C934" t="s">
        <v>137</v>
      </c>
      <c r="D934" t="s">
        <v>29</v>
      </c>
      <c r="E934">
        <v>54</v>
      </c>
      <c r="F934" t="s">
        <v>30</v>
      </c>
      <c r="G934" t="s">
        <v>31</v>
      </c>
      <c r="H934" t="s">
        <v>112</v>
      </c>
      <c r="I934" t="e">
        <f ca="1">_xludf.XLOOKUP(H934,Base_Planos!$A:$A,Base_Planos!$B:$B,"Não encontrado")</f>
        <v>#NAME?</v>
      </c>
      <c r="J934" s="2">
        <f>VLOOKUP(H934,Base_Planos!$A:$G,4,FALSE)</f>
        <v>79.900000000000006</v>
      </c>
      <c r="K934" s="4">
        <v>45219</v>
      </c>
      <c r="L934" t="s">
        <v>215</v>
      </c>
      <c r="M934" t="s">
        <v>34</v>
      </c>
      <c r="N934" s="4">
        <v>45878</v>
      </c>
      <c r="O934" s="10">
        <f t="shared" ca="1" si="88"/>
        <v>659</v>
      </c>
      <c r="P934" s="10" t="str">
        <f t="shared" ca="1" si="85"/>
        <v>Mais de 1 ano</v>
      </c>
      <c r="Q934">
        <f t="shared" si="90"/>
        <v>0</v>
      </c>
      <c r="R934">
        <v>3</v>
      </c>
      <c r="S934" s="11">
        <f t="shared" si="89"/>
        <v>0</v>
      </c>
      <c r="T934" s="11" t="str">
        <f t="shared" si="86"/>
        <v>Detrator</v>
      </c>
      <c r="U934" s="11" t="str">
        <f t="shared" si="87"/>
        <v>Alto risco</v>
      </c>
      <c r="V934">
        <v>1</v>
      </c>
      <c r="W934">
        <v>18</v>
      </c>
      <c r="X934" s="2">
        <v>71.53</v>
      </c>
      <c r="Y934">
        <v>21</v>
      </c>
      <c r="Z934" t="s">
        <v>45</v>
      </c>
    </row>
    <row r="935" spans="1:26">
      <c r="A935" t="s">
        <v>1523</v>
      </c>
      <c r="B935" t="s">
        <v>1282</v>
      </c>
      <c r="C935" t="s">
        <v>108</v>
      </c>
      <c r="D935" t="s">
        <v>109</v>
      </c>
      <c r="E935">
        <v>63</v>
      </c>
      <c r="F935" t="s">
        <v>201</v>
      </c>
      <c r="G935" t="s">
        <v>73</v>
      </c>
      <c r="H935" t="s">
        <v>82</v>
      </c>
      <c r="I935" t="e">
        <f ca="1">_xludf.XLOOKUP(H935,Base_Planos!$A:$A,Base_Planos!$B:$B,"Não encontrado")</f>
        <v>#NAME?</v>
      </c>
      <c r="J935" s="2">
        <f>VLOOKUP(H935,Base_Planos!$A:$G,4,FALSE)</f>
        <v>149.9</v>
      </c>
      <c r="K935" s="4">
        <v>45196</v>
      </c>
      <c r="L935" t="s">
        <v>105</v>
      </c>
      <c r="M935" t="s">
        <v>44</v>
      </c>
      <c r="N935" s="4"/>
      <c r="O935" s="10">
        <f t="shared" ca="1" si="88"/>
        <v>973</v>
      </c>
      <c r="P935" s="10" t="str">
        <f t="shared" ca="1" si="85"/>
        <v>Mais de 1 ano</v>
      </c>
      <c r="Q935">
        <f t="shared" si="90"/>
        <v>0</v>
      </c>
      <c r="R935">
        <v>5</v>
      </c>
      <c r="S935" s="11">
        <f t="shared" si="89"/>
        <v>0</v>
      </c>
      <c r="T935" s="11" t="str">
        <f t="shared" si="86"/>
        <v>Detrator</v>
      </c>
      <c r="U935" s="11" t="str">
        <f t="shared" si="87"/>
        <v>Alto risco</v>
      </c>
      <c r="V935">
        <v>0</v>
      </c>
      <c r="W935">
        <v>76</v>
      </c>
      <c r="X935" s="2">
        <v>128.44</v>
      </c>
      <c r="Y935">
        <v>32</v>
      </c>
      <c r="Z935" t="s">
        <v>50</v>
      </c>
    </row>
    <row r="936" spans="1:26">
      <c r="A936" t="s">
        <v>1524</v>
      </c>
      <c r="B936" t="s">
        <v>970</v>
      </c>
      <c r="C936" t="s">
        <v>65</v>
      </c>
      <c r="D936" t="s">
        <v>29</v>
      </c>
      <c r="E936">
        <v>21</v>
      </c>
      <c r="F936" t="s">
        <v>40</v>
      </c>
      <c r="G936" t="s">
        <v>96</v>
      </c>
      <c r="H936" t="s">
        <v>32</v>
      </c>
      <c r="I936" t="e">
        <f ca="1">_xludf.XLOOKUP(H936,Base_Planos!$A:$A,Base_Planos!$B:$B,"Não encontrado")</f>
        <v>#NAME?</v>
      </c>
      <c r="J936" s="2">
        <f>VLOOKUP(H936,Base_Planos!$A:$G,4,FALSE)</f>
        <v>39.9</v>
      </c>
      <c r="K936" s="4">
        <v>44996</v>
      </c>
      <c r="L936" t="s">
        <v>68</v>
      </c>
      <c r="M936" t="s">
        <v>44</v>
      </c>
      <c r="N936" s="4"/>
      <c r="O936" s="10">
        <f t="shared" ca="1" si="88"/>
        <v>1173</v>
      </c>
      <c r="P936" s="10" t="str">
        <f t="shared" ca="1" si="85"/>
        <v>Mais de 1 ano</v>
      </c>
      <c r="Q936">
        <f t="shared" si="90"/>
        <v>0</v>
      </c>
      <c r="R936">
        <v>3</v>
      </c>
      <c r="S936" s="11">
        <f t="shared" si="89"/>
        <v>0</v>
      </c>
      <c r="T936" s="11" t="str">
        <f t="shared" si="86"/>
        <v>Detrator</v>
      </c>
      <c r="U936" s="11" t="str">
        <f t="shared" si="87"/>
        <v>Alto risco</v>
      </c>
      <c r="V936">
        <v>0</v>
      </c>
      <c r="W936">
        <v>78</v>
      </c>
      <c r="X936" s="2">
        <v>36.659999999999997</v>
      </c>
      <c r="Y936">
        <v>39</v>
      </c>
      <c r="Z936" t="s">
        <v>35</v>
      </c>
    </row>
    <row r="937" spans="1:26">
      <c r="A937" t="s">
        <v>1525</v>
      </c>
      <c r="B937" t="s">
        <v>1075</v>
      </c>
      <c r="C937" t="s">
        <v>71</v>
      </c>
      <c r="D937" t="s">
        <v>72</v>
      </c>
      <c r="E937">
        <v>46</v>
      </c>
      <c r="F937" t="s">
        <v>201</v>
      </c>
      <c r="G937" t="s">
        <v>104</v>
      </c>
      <c r="H937" t="s">
        <v>61</v>
      </c>
      <c r="I937" t="e">
        <f ca="1">_xludf.XLOOKUP(H937,Base_Planos!$A:$A,Base_Planos!$B:$B,"Não encontrado")</f>
        <v>#NAME?</v>
      </c>
      <c r="J937" s="2">
        <f>VLOOKUP(H937,Base_Planos!$A:$G,4,FALSE)</f>
        <v>59.9</v>
      </c>
      <c r="K937" s="4">
        <v>46044</v>
      </c>
      <c r="L937" t="s">
        <v>148</v>
      </c>
      <c r="M937" t="s">
        <v>44</v>
      </c>
      <c r="N937" s="4"/>
      <c r="O937" s="10">
        <f t="shared" ca="1" si="88"/>
        <v>125</v>
      </c>
      <c r="P937" s="10" t="str">
        <f t="shared" ca="1" si="85"/>
        <v>91 a 180 dias</v>
      </c>
      <c r="Q937">
        <f t="shared" si="90"/>
        <v>1</v>
      </c>
      <c r="R937">
        <v>7</v>
      </c>
      <c r="S937" s="11">
        <f t="shared" si="89"/>
        <v>59.9</v>
      </c>
      <c r="T937" s="11" t="str">
        <f t="shared" si="86"/>
        <v>Neutro</v>
      </c>
      <c r="U937" s="11" t="str">
        <f t="shared" si="87"/>
        <v>Alto risco</v>
      </c>
      <c r="V937">
        <v>1</v>
      </c>
      <c r="W937">
        <v>72</v>
      </c>
      <c r="X937" s="2">
        <v>54.96</v>
      </c>
      <c r="Y937">
        <v>4</v>
      </c>
      <c r="Z937" t="s">
        <v>50</v>
      </c>
    </row>
    <row r="938" spans="1:26">
      <c r="A938" t="s">
        <v>1526</v>
      </c>
      <c r="B938" t="s">
        <v>1527</v>
      </c>
      <c r="C938" t="s">
        <v>140</v>
      </c>
      <c r="D938" t="s">
        <v>141</v>
      </c>
      <c r="E938">
        <v>39</v>
      </c>
      <c r="F938" t="s">
        <v>40</v>
      </c>
      <c r="G938" t="s">
        <v>104</v>
      </c>
      <c r="H938" t="s">
        <v>82</v>
      </c>
      <c r="I938" t="e">
        <f ca="1">_xludf.XLOOKUP(H938,Base_Planos!$A:$A,Base_Planos!$B:$B,"Não encontrado")</f>
        <v>#NAME?</v>
      </c>
      <c r="J938" s="2">
        <f>VLOOKUP(H938,Base_Planos!$A:$G,4,FALSE)</f>
        <v>149.9</v>
      </c>
      <c r="K938" s="4">
        <v>45861</v>
      </c>
      <c r="L938" t="s">
        <v>212</v>
      </c>
      <c r="M938" t="s">
        <v>34</v>
      </c>
      <c r="N938" s="4">
        <v>46078</v>
      </c>
      <c r="O938" s="10">
        <f t="shared" ca="1" si="88"/>
        <v>217</v>
      </c>
      <c r="P938" s="10" t="str">
        <f t="shared" ca="1" si="85"/>
        <v>181 a 365 dias</v>
      </c>
      <c r="Q938">
        <f t="shared" si="90"/>
        <v>0</v>
      </c>
      <c r="R938">
        <v>10</v>
      </c>
      <c r="S938" s="11">
        <f t="shared" si="89"/>
        <v>0</v>
      </c>
      <c r="T938" s="11" t="str">
        <f t="shared" si="86"/>
        <v>Promotor</v>
      </c>
      <c r="U938" s="11" t="str">
        <f t="shared" si="87"/>
        <v>Baixo risco</v>
      </c>
      <c r="V938">
        <v>1</v>
      </c>
      <c r="W938">
        <v>88</v>
      </c>
      <c r="X938" s="2">
        <v>146.66999999999999</v>
      </c>
      <c r="Y938">
        <v>7</v>
      </c>
      <c r="Z938" t="s">
        <v>35</v>
      </c>
    </row>
    <row r="939" spans="1:26">
      <c r="A939" t="s">
        <v>1528</v>
      </c>
      <c r="B939" t="s">
        <v>93</v>
      </c>
      <c r="C939" t="s">
        <v>102</v>
      </c>
      <c r="D939" t="s">
        <v>103</v>
      </c>
      <c r="E939">
        <v>32</v>
      </c>
      <c r="F939" t="s">
        <v>201</v>
      </c>
      <c r="G939" t="s">
        <v>55</v>
      </c>
      <c r="H939" t="s">
        <v>32</v>
      </c>
      <c r="I939" t="e">
        <f ca="1">_xludf.XLOOKUP(H939,Base_Planos!$A:$A,Base_Planos!$B:$B,"Não encontrado")</f>
        <v>#NAME?</v>
      </c>
      <c r="J939" s="2">
        <f>VLOOKUP(H939,Base_Planos!$A:$G,4,FALSE)</f>
        <v>39.9</v>
      </c>
      <c r="K939" s="4">
        <v>45532</v>
      </c>
      <c r="L939" t="s">
        <v>156</v>
      </c>
      <c r="M939" t="s">
        <v>44</v>
      </c>
      <c r="N939" s="4"/>
      <c r="O939" s="10">
        <f t="shared" ca="1" si="88"/>
        <v>637</v>
      </c>
      <c r="P939" s="10" t="str">
        <f t="shared" ca="1" si="85"/>
        <v>Mais de 1 ano</v>
      </c>
      <c r="Q939">
        <f t="shared" si="90"/>
        <v>0</v>
      </c>
      <c r="R939">
        <v>2</v>
      </c>
      <c r="S939" s="11">
        <f t="shared" si="89"/>
        <v>0</v>
      </c>
      <c r="T939" s="11" t="str">
        <f t="shared" si="86"/>
        <v>Detrator</v>
      </c>
      <c r="U939" s="11" t="str">
        <f t="shared" si="87"/>
        <v>Alto risco</v>
      </c>
      <c r="V939">
        <v>0</v>
      </c>
      <c r="W939">
        <v>39</v>
      </c>
      <c r="X939" s="2">
        <v>34.58</v>
      </c>
      <c r="Y939">
        <v>21</v>
      </c>
      <c r="Z939" t="s">
        <v>45</v>
      </c>
    </row>
    <row r="940" spans="1:26">
      <c r="A940" t="s">
        <v>1529</v>
      </c>
      <c r="B940" t="s">
        <v>390</v>
      </c>
      <c r="C940" t="s">
        <v>94</v>
      </c>
      <c r="D940" t="s">
        <v>95</v>
      </c>
      <c r="E940">
        <v>43</v>
      </c>
      <c r="F940" t="s">
        <v>66</v>
      </c>
      <c r="G940" t="s">
        <v>31</v>
      </c>
      <c r="H940" t="s">
        <v>32</v>
      </c>
      <c r="I940" t="e">
        <f ca="1">_xludf.XLOOKUP(H940,Base_Planos!$A:$A,Base_Planos!$B:$B,"Não encontrado")</f>
        <v>#NAME?</v>
      </c>
      <c r="J940" s="2">
        <f>VLOOKUP(H940,Base_Planos!$A:$G,4,FALSE)</f>
        <v>39.9</v>
      </c>
      <c r="K940" s="4">
        <v>45381</v>
      </c>
      <c r="L940" t="s">
        <v>126</v>
      </c>
      <c r="M940" t="s">
        <v>44</v>
      </c>
      <c r="N940" s="4"/>
      <c r="O940" s="10">
        <f t="shared" ca="1" si="88"/>
        <v>788</v>
      </c>
      <c r="P940" s="10" t="str">
        <f t="shared" ca="1" si="85"/>
        <v>Mais de 1 ano</v>
      </c>
      <c r="Q940">
        <f t="shared" si="90"/>
        <v>0</v>
      </c>
      <c r="R940">
        <v>0</v>
      </c>
      <c r="S940" s="11">
        <f t="shared" si="89"/>
        <v>0</v>
      </c>
      <c r="T940" s="11" t="str">
        <f t="shared" si="86"/>
        <v>Detrator</v>
      </c>
      <c r="U940" s="11" t="str">
        <f t="shared" si="87"/>
        <v>Alto risco</v>
      </c>
      <c r="V940">
        <v>0</v>
      </c>
      <c r="W940">
        <v>100</v>
      </c>
      <c r="X940" s="2">
        <v>38.409999999999997</v>
      </c>
      <c r="Y940">
        <v>26</v>
      </c>
      <c r="Z940" t="s">
        <v>35</v>
      </c>
    </row>
    <row r="941" spans="1:26">
      <c r="A941" t="s">
        <v>1530</v>
      </c>
      <c r="B941" t="s">
        <v>318</v>
      </c>
      <c r="C941" t="s">
        <v>28</v>
      </c>
      <c r="D941" t="s">
        <v>29</v>
      </c>
      <c r="E941">
        <v>52</v>
      </c>
      <c r="F941" t="s">
        <v>54</v>
      </c>
      <c r="G941" t="s">
        <v>31</v>
      </c>
      <c r="H941" t="s">
        <v>61</v>
      </c>
      <c r="I941" t="e">
        <f ca="1">_xludf.XLOOKUP(H941,Base_Planos!$A:$A,Base_Planos!$B:$B,"Não encontrado")</f>
        <v>#NAME?</v>
      </c>
      <c r="J941" s="2">
        <f>VLOOKUP(H941,Base_Planos!$A:$G,4,FALSE)</f>
        <v>59.9</v>
      </c>
      <c r="K941" s="4">
        <v>46014</v>
      </c>
      <c r="L941" t="s">
        <v>170</v>
      </c>
      <c r="M941" t="s">
        <v>44</v>
      </c>
      <c r="N941" s="4"/>
      <c r="O941" s="10">
        <f t="shared" ca="1" si="88"/>
        <v>155</v>
      </c>
      <c r="P941" s="10" t="str">
        <f t="shared" ca="1" si="85"/>
        <v>91 a 180 dias</v>
      </c>
      <c r="Q941">
        <f t="shared" si="90"/>
        <v>0</v>
      </c>
      <c r="R941">
        <v>2</v>
      </c>
      <c r="S941" s="11">
        <f t="shared" si="89"/>
        <v>0</v>
      </c>
      <c r="T941" s="11" t="str">
        <f t="shared" si="86"/>
        <v>Detrator</v>
      </c>
      <c r="U941" s="11" t="str">
        <f t="shared" si="87"/>
        <v>Alto risco</v>
      </c>
      <c r="V941">
        <v>0</v>
      </c>
      <c r="W941">
        <v>66</v>
      </c>
      <c r="X941" s="2">
        <v>58.32</v>
      </c>
      <c r="Y941">
        <v>5</v>
      </c>
      <c r="Z941" t="s">
        <v>35</v>
      </c>
    </row>
    <row r="942" spans="1:26">
      <c r="A942" t="s">
        <v>1531</v>
      </c>
      <c r="B942" t="s">
        <v>699</v>
      </c>
      <c r="C942" t="s">
        <v>38</v>
      </c>
      <c r="D942" t="s">
        <v>39</v>
      </c>
      <c r="E942">
        <v>57</v>
      </c>
      <c r="F942" t="s">
        <v>54</v>
      </c>
      <c r="G942" t="s">
        <v>31</v>
      </c>
      <c r="H942" t="s">
        <v>42</v>
      </c>
      <c r="I942" t="e">
        <f ca="1">_xludf.XLOOKUP(H942,Base_Planos!$A:$A,Base_Planos!$B:$B,"Não encontrado")</f>
        <v>#NAME?</v>
      </c>
      <c r="J942" s="2">
        <f>VLOOKUP(H942,Base_Planos!$A:$G,4,FALSE)</f>
        <v>29.9</v>
      </c>
      <c r="K942" s="4">
        <v>45747</v>
      </c>
      <c r="L942" t="s">
        <v>454</v>
      </c>
      <c r="M942" t="s">
        <v>44</v>
      </c>
      <c r="N942" s="4"/>
      <c r="O942" s="10">
        <f t="shared" ca="1" si="88"/>
        <v>422</v>
      </c>
      <c r="P942" s="10" t="str">
        <f t="shared" ca="1" si="85"/>
        <v>Mais de 1 ano</v>
      </c>
      <c r="Q942">
        <f t="shared" si="90"/>
        <v>0</v>
      </c>
      <c r="R942">
        <v>4</v>
      </c>
      <c r="S942" s="11">
        <f t="shared" si="89"/>
        <v>0</v>
      </c>
      <c r="T942" s="11" t="str">
        <f t="shared" si="86"/>
        <v>Detrator</v>
      </c>
      <c r="U942" s="11" t="str">
        <f t="shared" si="87"/>
        <v>Alto risco</v>
      </c>
      <c r="V942">
        <v>0</v>
      </c>
      <c r="W942">
        <v>78</v>
      </c>
      <c r="X942" s="2">
        <v>27.34</v>
      </c>
      <c r="Y942">
        <v>14</v>
      </c>
      <c r="Z942" t="s">
        <v>35</v>
      </c>
    </row>
    <row r="943" spans="1:26">
      <c r="A943" t="s">
        <v>1532</v>
      </c>
      <c r="B943" t="s">
        <v>1533</v>
      </c>
      <c r="C943" t="s">
        <v>28</v>
      </c>
      <c r="D943" t="s">
        <v>29</v>
      </c>
      <c r="E943">
        <v>22</v>
      </c>
      <c r="F943" t="s">
        <v>30</v>
      </c>
      <c r="G943" t="s">
        <v>73</v>
      </c>
      <c r="H943" t="s">
        <v>42</v>
      </c>
      <c r="I943" t="e">
        <f ca="1">_xludf.XLOOKUP(H943,Base_Planos!$A:$A,Base_Planos!$B:$B,"Não encontrado")</f>
        <v>#NAME?</v>
      </c>
      <c r="J943" s="2">
        <f>VLOOKUP(H943,Base_Planos!$A:$G,4,FALSE)</f>
        <v>29.9</v>
      </c>
      <c r="K943" s="4">
        <v>45063</v>
      </c>
      <c r="L943" t="s">
        <v>115</v>
      </c>
      <c r="M943" t="s">
        <v>34</v>
      </c>
      <c r="N943" s="4">
        <v>45589</v>
      </c>
      <c r="O943" s="10">
        <f t="shared" ca="1" si="88"/>
        <v>526</v>
      </c>
      <c r="P943" s="10" t="str">
        <f t="shared" ca="1" si="85"/>
        <v>Mais de 1 ano</v>
      </c>
      <c r="Q943">
        <f t="shared" si="90"/>
        <v>1</v>
      </c>
      <c r="R943">
        <v>0</v>
      </c>
      <c r="S943" s="11">
        <f t="shared" si="89"/>
        <v>29.9</v>
      </c>
      <c r="T943" s="11" t="str">
        <f t="shared" si="86"/>
        <v>Detrator</v>
      </c>
      <c r="U943" s="11" t="str">
        <f t="shared" si="87"/>
        <v>Alto risco</v>
      </c>
      <c r="V943">
        <v>0</v>
      </c>
      <c r="W943">
        <v>41</v>
      </c>
      <c r="X943" s="2">
        <v>26.37</v>
      </c>
      <c r="Y943">
        <v>17</v>
      </c>
      <c r="Z943" t="s">
        <v>45</v>
      </c>
    </row>
    <row r="944" spans="1:26">
      <c r="A944" t="s">
        <v>1534</v>
      </c>
      <c r="B944" t="s">
        <v>152</v>
      </c>
      <c r="C944" t="s">
        <v>90</v>
      </c>
      <c r="D944" t="s">
        <v>29</v>
      </c>
      <c r="E944">
        <v>30</v>
      </c>
      <c r="F944" t="s">
        <v>30</v>
      </c>
      <c r="G944" t="s">
        <v>165</v>
      </c>
      <c r="H944" t="s">
        <v>32</v>
      </c>
      <c r="I944" t="e">
        <f ca="1">_xludf.XLOOKUP(H944,Base_Planos!$A:$A,Base_Planos!$B:$B,"Não encontrado")</f>
        <v>#NAME?</v>
      </c>
      <c r="J944" s="2">
        <f>VLOOKUP(H944,Base_Planos!$A:$G,4,FALSE)</f>
        <v>39.9</v>
      </c>
      <c r="K944" s="4">
        <v>45492</v>
      </c>
      <c r="L944" t="s">
        <v>142</v>
      </c>
      <c r="M944" t="s">
        <v>44</v>
      </c>
      <c r="N944" s="4"/>
      <c r="O944" s="10">
        <f t="shared" ca="1" si="88"/>
        <v>677</v>
      </c>
      <c r="P944" s="10" t="str">
        <f t="shared" ca="1" si="85"/>
        <v>Mais de 1 ano</v>
      </c>
      <c r="Q944">
        <f t="shared" si="90"/>
        <v>1</v>
      </c>
      <c r="R944">
        <v>2</v>
      </c>
      <c r="S944" s="11">
        <f t="shared" si="89"/>
        <v>39.9</v>
      </c>
      <c r="T944" s="11" t="str">
        <f t="shared" si="86"/>
        <v>Detrator</v>
      </c>
      <c r="U944" s="11" t="str">
        <f t="shared" si="87"/>
        <v>Alto risco</v>
      </c>
      <c r="V944">
        <v>1</v>
      </c>
      <c r="W944">
        <v>48</v>
      </c>
      <c r="X944" s="2">
        <v>35.130000000000003</v>
      </c>
      <c r="Y944">
        <v>22</v>
      </c>
      <c r="Z944" t="s">
        <v>35</v>
      </c>
    </row>
    <row r="945" spans="1:26">
      <c r="A945" t="s">
        <v>1535</v>
      </c>
      <c r="B945" t="s">
        <v>1137</v>
      </c>
      <c r="C945" t="s">
        <v>65</v>
      </c>
      <c r="D945" t="s">
        <v>29</v>
      </c>
      <c r="E945">
        <v>35</v>
      </c>
      <c r="F945" t="s">
        <v>40</v>
      </c>
      <c r="G945" t="s">
        <v>67</v>
      </c>
      <c r="H945" t="s">
        <v>61</v>
      </c>
      <c r="I945" t="e">
        <f ca="1">_xludf.XLOOKUP(H945,Base_Planos!$A:$A,Base_Planos!$B:$B,"Não encontrado")</f>
        <v>#NAME?</v>
      </c>
      <c r="J945" s="2">
        <f>VLOOKUP(H945,Base_Planos!$A:$G,4,FALSE)</f>
        <v>59.9</v>
      </c>
      <c r="K945" s="4">
        <v>45993</v>
      </c>
      <c r="L945" t="s">
        <v>170</v>
      </c>
      <c r="M945" t="s">
        <v>34</v>
      </c>
      <c r="N945" s="4">
        <v>46135</v>
      </c>
      <c r="O945" s="10">
        <f t="shared" ca="1" si="88"/>
        <v>142</v>
      </c>
      <c r="P945" s="10" t="str">
        <f t="shared" ca="1" si="85"/>
        <v>91 a 180 dias</v>
      </c>
      <c r="Q945">
        <f t="shared" si="90"/>
        <v>0</v>
      </c>
      <c r="R945">
        <v>4</v>
      </c>
      <c r="S945" s="11">
        <f t="shared" si="89"/>
        <v>0</v>
      </c>
      <c r="T945" s="11" t="str">
        <f t="shared" si="86"/>
        <v>Detrator</v>
      </c>
      <c r="U945" s="11" t="str">
        <f t="shared" si="87"/>
        <v>Alto risco</v>
      </c>
      <c r="V945">
        <v>1</v>
      </c>
      <c r="W945">
        <v>49</v>
      </c>
      <c r="X945" s="2">
        <v>52.41</v>
      </c>
      <c r="Y945">
        <v>4</v>
      </c>
      <c r="Z945" t="s">
        <v>35</v>
      </c>
    </row>
    <row r="946" spans="1:26">
      <c r="A946" t="s">
        <v>1536</v>
      </c>
      <c r="B946" t="s">
        <v>500</v>
      </c>
      <c r="C946" t="s">
        <v>77</v>
      </c>
      <c r="D946" t="s">
        <v>78</v>
      </c>
      <c r="E946">
        <v>27</v>
      </c>
      <c r="F946" t="s">
        <v>30</v>
      </c>
      <c r="G946" t="s">
        <v>165</v>
      </c>
      <c r="H946" t="s">
        <v>86</v>
      </c>
      <c r="I946" t="e">
        <f ca="1">_xludf.XLOOKUP(H946,Base_Planos!$A:$A,Base_Planos!$B:$B,"Não encontrado")</f>
        <v>#NAME?</v>
      </c>
      <c r="J946" s="2">
        <f>VLOOKUP(H946,Base_Planos!$A:$G,4,FALSE)</f>
        <v>119.9</v>
      </c>
      <c r="K946" s="4">
        <v>45010</v>
      </c>
      <c r="L946" t="s">
        <v>68</v>
      </c>
      <c r="M946" t="s">
        <v>44</v>
      </c>
      <c r="N946" s="4"/>
      <c r="O946" s="10">
        <f t="shared" ca="1" si="88"/>
        <v>1159</v>
      </c>
      <c r="P946" s="10" t="str">
        <f t="shared" ca="1" si="85"/>
        <v>Mais de 1 ano</v>
      </c>
      <c r="Q946">
        <f t="shared" si="90"/>
        <v>0</v>
      </c>
      <c r="R946">
        <v>6</v>
      </c>
      <c r="S946" s="11">
        <f t="shared" si="89"/>
        <v>0</v>
      </c>
      <c r="T946" s="11" t="str">
        <f t="shared" si="86"/>
        <v>Detrator</v>
      </c>
      <c r="U946" s="11" t="str">
        <f t="shared" si="87"/>
        <v>Alto risco</v>
      </c>
      <c r="V946">
        <v>1</v>
      </c>
      <c r="W946">
        <v>38</v>
      </c>
      <c r="X946" s="2">
        <v>105.95</v>
      </c>
      <c r="Y946">
        <v>38</v>
      </c>
      <c r="Z946" t="s">
        <v>35</v>
      </c>
    </row>
    <row r="947" spans="1:26">
      <c r="A947" t="s">
        <v>1537</v>
      </c>
      <c r="B947" t="s">
        <v>324</v>
      </c>
      <c r="C947" t="s">
        <v>48</v>
      </c>
      <c r="D947" t="s">
        <v>29</v>
      </c>
      <c r="E947">
        <v>36</v>
      </c>
      <c r="F947" t="s">
        <v>30</v>
      </c>
      <c r="G947" t="s">
        <v>55</v>
      </c>
      <c r="H947" t="s">
        <v>32</v>
      </c>
      <c r="I947" t="e">
        <f ca="1">_xludf.XLOOKUP(H947,Base_Planos!$A:$A,Base_Planos!$B:$B,"Não encontrado")</f>
        <v>#NAME?</v>
      </c>
      <c r="J947" s="2">
        <f>VLOOKUP(H947,Base_Planos!$A:$G,4,FALSE)</f>
        <v>39.9</v>
      </c>
      <c r="K947" s="4">
        <v>45669</v>
      </c>
      <c r="L947" t="s">
        <v>261</v>
      </c>
      <c r="M947" t="s">
        <v>44</v>
      </c>
      <c r="N947" s="4"/>
      <c r="O947" s="10">
        <f t="shared" ca="1" si="88"/>
        <v>500</v>
      </c>
      <c r="P947" s="10" t="str">
        <f t="shared" ca="1" si="85"/>
        <v>Mais de 1 ano</v>
      </c>
      <c r="Q947">
        <f t="shared" si="90"/>
        <v>0</v>
      </c>
      <c r="R947">
        <v>3</v>
      </c>
      <c r="S947" s="11">
        <f t="shared" si="89"/>
        <v>0</v>
      </c>
      <c r="T947" s="11" t="str">
        <f t="shared" si="86"/>
        <v>Detrator</v>
      </c>
      <c r="U947" s="11" t="str">
        <f t="shared" si="87"/>
        <v>Alto risco</v>
      </c>
      <c r="V947">
        <v>2</v>
      </c>
      <c r="W947">
        <v>26</v>
      </c>
      <c r="X947" s="2">
        <v>37.28</v>
      </c>
      <c r="Y947">
        <v>16</v>
      </c>
      <c r="Z947" t="s">
        <v>45</v>
      </c>
    </row>
    <row r="948" spans="1:26">
      <c r="A948" t="s">
        <v>1538</v>
      </c>
      <c r="B948" t="s">
        <v>27</v>
      </c>
      <c r="C948" t="s">
        <v>53</v>
      </c>
      <c r="D948" t="s">
        <v>29</v>
      </c>
      <c r="E948">
        <v>35</v>
      </c>
      <c r="F948" t="s">
        <v>66</v>
      </c>
      <c r="G948" t="s">
        <v>73</v>
      </c>
      <c r="H948" t="s">
        <v>86</v>
      </c>
      <c r="I948" t="e">
        <f ca="1">_xludf.XLOOKUP(H948,Base_Planos!$A:$A,Base_Planos!$B:$B,"Não encontrado")</f>
        <v>#NAME?</v>
      </c>
      <c r="J948" s="2">
        <f>VLOOKUP(H948,Base_Planos!$A:$G,4,FALSE)</f>
        <v>119.9</v>
      </c>
      <c r="K948" s="4">
        <v>45967</v>
      </c>
      <c r="L948" t="s">
        <v>87</v>
      </c>
      <c r="M948" t="s">
        <v>34</v>
      </c>
      <c r="N948" s="4">
        <v>46022</v>
      </c>
      <c r="O948" s="10">
        <f t="shared" ca="1" si="88"/>
        <v>55</v>
      </c>
      <c r="P948" s="10" t="str">
        <f t="shared" ca="1" si="85"/>
        <v>31 a 90 dias</v>
      </c>
      <c r="Q948">
        <f t="shared" si="90"/>
        <v>0</v>
      </c>
      <c r="R948">
        <v>5</v>
      </c>
      <c r="S948" s="11">
        <f t="shared" si="89"/>
        <v>0</v>
      </c>
      <c r="T948" s="11" t="str">
        <f t="shared" si="86"/>
        <v>Detrator</v>
      </c>
      <c r="U948" s="11" t="str">
        <f t="shared" si="87"/>
        <v>Alto risco</v>
      </c>
      <c r="V948">
        <v>4</v>
      </c>
      <c r="W948">
        <v>82</v>
      </c>
      <c r="X948" s="2">
        <v>107.74</v>
      </c>
      <c r="Y948">
        <v>1</v>
      </c>
      <c r="Z948" t="s">
        <v>35</v>
      </c>
    </row>
    <row r="949" spans="1:26">
      <c r="A949" t="s">
        <v>1539</v>
      </c>
      <c r="B949" t="s">
        <v>692</v>
      </c>
      <c r="C949" t="s">
        <v>90</v>
      </c>
      <c r="D949" t="s">
        <v>29</v>
      </c>
      <c r="E949">
        <v>45</v>
      </c>
      <c r="F949" t="s">
        <v>40</v>
      </c>
      <c r="G949" t="s">
        <v>55</v>
      </c>
      <c r="H949" t="s">
        <v>166</v>
      </c>
      <c r="I949" t="e">
        <f ca="1">_xludf.XLOOKUP(H949,Base_Planos!$A:$A,Base_Planos!$B:$B,"Não encontrado")</f>
        <v>#NAME?</v>
      </c>
      <c r="J949" s="2">
        <f>VLOOKUP(H949,Base_Planos!$A:$G,4,FALSE)</f>
        <v>399.9</v>
      </c>
      <c r="K949" s="4">
        <v>45926</v>
      </c>
      <c r="L949" t="s">
        <v>189</v>
      </c>
      <c r="M949" t="s">
        <v>44</v>
      </c>
      <c r="N949" s="4"/>
      <c r="O949" s="10">
        <f t="shared" ca="1" si="88"/>
        <v>243</v>
      </c>
      <c r="P949" s="10" t="str">
        <f t="shared" ca="1" si="85"/>
        <v>181 a 365 dias</v>
      </c>
      <c r="Q949">
        <f t="shared" si="90"/>
        <v>1</v>
      </c>
      <c r="R949">
        <v>8</v>
      </c>
      <c r="S949" s="11">
        <f t="shared" si="89"/>
        <v>399.9</v>
      </c>
      <c r="T949" s="11" t="str">
        <f t="shared" si="86"/>
        <v>Neutro</v>
      </c>
      <c r="U949" s="11" t="str">
        <f t="shared" si="87"/>
        <v>Alto risco</v>
      </c>
      <c r="V949">
        <v>1</v>
      </c>
      <c r="W949">
        <v>34</v>
      </c>
      <c r="X949" s="2">
        <v>393.31</v>
      </c>
      <c r="Y949">
        <v>8</v>
      </c>
      <c r="Z949" t="s">
        <v>50</v>
      </c>
    </row>
    <row r="950" spans="1:26">
      <c r="A950" t="s">
        <v>1540</v>
      </c>
      <c r="B950" t="s">
        <v>1228</v>
      </c>
      <c r="C950" t="s">
        <v>102</v>
      </c>
      <c r="D950" t="s">
        <v>103</v>
      </c>
      <c r="E950">
        <v>55</v>
      </c>
      <c r="F950" t="s">
        <v>66</v>
      </c>
      <c r="G950" t="s">
        <v>55</v>
      </c>
      <c r="H950" t="s">
        <v>61</v>
      </c>
      <c r="I950" t="e">
        <f ca="1">_xludf.XLOOKUP(H950,Base_Planos!$A:$A,Base_Planos!$B:$B,"Não encontrado")</f>
        <v>#NAME?</v>
      </c>
      <c r="J950" s="2">
        <f>VLOOKUP(H950,Base_Planos!$A:$G,4,FALSE)</f>
        <v>59.9</v>
      </c>
      <c r="K950" s="4">
        <v>45167</v>
      </c>
      <c r="L950" t="s">
        <v>162</v>
      </c>
      <c r="M950" t="s">
        <v>34</v>
      </c>
      <c r="N950" s="4">
        <v>45600</v>
      </c>
      <c r="O950" s="10">
        <f t="shared" ca="1" si="88"/>
        <v>433</v>
      </c>
      <c r="P950" s="10" t="str">
        <f t="shared" ca="1" si="85"/>
        <v>Mais de 1 ano</v>
      </c>
      <c r="Q950">
        <f t="shared" si="90"/>
        <v>0</v>
      </c>
      <c r="R950">
        <v>3</v>
      </c>
      <c r="S950" s="11">
        <f t="shared" si="89"/>
        <v>0</v>
      </c>
      <c r="T950" s="11" t="str">
        <f t="shared" si="86"/>
        <v>Detrator</v>
      </c>
      <c r="U950" s="11" t="str">
        <f t="shared" si="87"/>
        <v>Alto risco</v>
      </c>
      <c r="V950">
        <v>3</v>
      </c>
      <c r="W950">
        <v>89</v>
      </c>
      <c r="X950" s="2">
        <v>51.39</v>
      </c>
      <c r="Y950">
        <v>14</v>
      </c>
      <c r="Z950" t="s">
        <v>35</v>
      </c>
    </row>
    <row r="951" spans="1:26">
      <c r="A951" t="s">
        <v>1541</v>
      </c>
      <c r="B951" t="s">
        <v>737</v>
      </c>
      <c r="C951" t="s">
        <v>53</v>
      </c>
      <c r="D951" t="s">
        <v>29</v>
      </c>
      <c r="E951">
        <v>47</v>
      </c>
      <c r="F951" t="s">
        <v>54</v>
      </c>
      <c r="G951" t="s">
        <v>67</v>
      </c>
      <c r="H951" t="s">
        <v>166</v>
      </c>
      <c r="I951" t="e">
        <f ca="1">_xludf.XLOOKUP(H951,Base_Planos!$A:$A,Base_Planos!$B:$B,"Não encontrado")</f>
        <v>#NAME?</v>
      </c>
      <c r="J951" s="2">
        <f>VLOOKUP(H951,Base_Planos!$A:$G,4,FALSE)</f>
        <v>399.9</v>
      </c>
      <c r="K951" s="4">
        <v>45811</v>
      </c>
      <c r="L951" t="s">
        <v>167</v>
      </c>
      <c r="M951" t="s">
        <v>44</v>
      </c>
      <c r="N951" s="4"/>
      <c r="O951" s="10">
        <f t="shared" ca="1" si="88"/>
        <v>358</v>
      </c>
      <c r="P951" s="10" t="str">
        <f t="shared" ca="1" si="85"/>
        <v>181 a 365 dias</v>
      </c>
      <c r="Q951">
        <f t="shared" si="90"/>
        <v>0</v>
      </c>
      <c r="R951">
        <v>10</v>
      </c>
      <c r="S951" s="11">
        <f t="shared" si="89"/>
        <v>0</v>
      </c>
      <c r="T951" s="11" t="str">
        <f t="shared" si="86"/>
        <v>Promotor</v>
      </c>
      <c r="U951" s="11" t="str">
        <f t="shared" si="87"/>
        <v>Baixo risco</v>
      </c>
      <c r="V951">
        <v>0</v>
      </c>
      <c r="W951">
        <v>46</v>
      </c>
      <c r="X951" s="2">
        <v>366.23</v>
      </c>
      <c r="Y951">
        <v>11</v>
      </c>
      <c r="Z951" t="s">
        <v>50</v>
      </c>
    </row>
    <row r="952" spans="1:26">
      <c r="A952" t="s">
        <v>1542</v>
      </c>
      <c r="B952" t="s">
        <v>1450</v>
      </c>
      <c r="C952" t="s">
        <v>48</v>
      </c>
      <c r="D952" t="s">
        <v>29</v>
      </c>
      <c r="E952">
        <v>19</v>
      </c>
      <c r="F952" t="s">
        <v>40</v>
      </c>
      <c r="G952" t="s">
        <v>73</v>
      </c>
      <c r="H952" t="s">
        <v>112</v>
      </c>
      <c r="I952" t="e">
        <f ca="1">_xludf.XLOOKUP(H952,Base_Planos!$A:$A,Base_Planos!$B:$B,"Não encontrado")</f>
        <v>#NAME?</v>
      </c>
      <c r="J952" s="2">
        <f>VLOOKUP(H952,Base_Planos!$A:$G,4,FALSE)</f>
        <v>79.900000000000006</v>
      </c>
      <c r="K952" s="4">
        <v>45631</v>
      </c>
      <c r="L952" t="s">
        <v>49</v>
      </c>
      <c r="M952" t="s">
        <v>34</v>
      </c>
      <c r="N952" s="4">
        <v>45895</v>
      </c>
      <c r="O952" s="10">
        <f t="shared" ca="1" si="88"/>
        <v>264</v>
      </c>
      <c r="P952" s="10" t="str">
        <f t="shared" ca="1" si="85"/>
        <v>181 a 365 dias</v>
      </c>
      <c r="Q952">
        <f t="shared" si="90"/>
        <v>0</v>
      </c>
      <c r="R952">
        <v>5</v>
      </c>
      <c r="S952" s="11">
        <f t="shared" si="89"/>
        <v>0</v>
      </c>
      <c r="T952" s="11" t="str">
        <f t="shared" si="86"/>
        <v>Detrator</v>
      </c>
      <c r="U952" s="11" t="str">
        <f t="shared" si="87"/>
        <v>Alto risco</v>
      </c>
      <c r="V952">
        <v>0</v>
      </c>
      <c r="W952">
        <v>53</v>
      </c>
      <c r="X952" s="2">
        <v>80.2</v>
      </c>
      <c r="Y952">
        <v>8</v>
      </c>
      <c r="Z952" t="s">
        <v>50</v>
      </c>
    </row>
    <row r="953" spans="1:26">
      <c r="A953" t="s">
        <v>1543</v>
      </c>
      <c r="B953" t="s">
        <v>570</v>
      </c>
      <c r="C953" t="s">
        <v>38</v>
      </c>
      <c r="D953" t="s">
        <v>39</v>
      </c>
      <c r="E953">
        <v>53</v>
      </c>
      <c r="F953" t="s">
        <v>40</v>
      </c>
      <c r="G953" t="s">
        <v>41</v>
      </c>
      <c r="H953" t="s">
        <v>82</v>
      </c>
      <c r="I953" t="e">
        <f ca="1">_xludf.XLOOKUP(H953,Base_Planos!$A:$A,Base_Planos!$B:$B,"Não encontrado")</f>
        <v>#NAME?</v>
      </c>
      <c r="J953" s="2">
        <f>VLOOKUP(H953,Base_Planos!$A:$G,4,FALSE)</f>
        <v>149.9</v>
      </c>
      <c r="K953" s="4">
        <v>45279</v>
      </c>
      <c r="L953" t="s">
        <v>62</v>
      </c>
      <c r="M953" t="s">
        <v>44</v>
      </c>
      <c r="N953" s="4"/>
      <c r="O953" s="10">
        <f t="shared" ca="1" si="88"/>
        <v>890</v>
      </c>
      <c r="P953" s="10" t="str">
        <f t="shared" ca="1" si="85"/>
        <v>Mais de 1 ano</v>
      </c>
      <c r="Q953">
        <f t="shared" si="90"/>
        <v>0</v>
      </c>
      <c r="R953">
        <v>7</v>
      </c>
      <c r="S953" s="11">
        <f t="shared" si="89"/>
        <v>0</v>
      </c>
      <c r="T953" s="11" t="str">
        <f t="shared" si="86"/>
        <v>Neutro</v>
      </c>
      <c r="U953" s="11" t="str">
        <f t="shared" si="87"/>
        <v>Médio risco</v>
      </c>
      <c r="V953">
        <v>1</v>
      </c>
      <c r="W953">
        <v>37</v>
      </c>
      <c r="X953" s="2">
        <v>152.49</v>
      </c>
      <c r="Y953">
        <v>29</v>
      </c>
      <c r="Z953" t="s">
        <v>35</v>
      </c>
    </row>
    <row r="954" spans="1:26">
      <c r="A954" t="s">
        <v>1544</v>
      </c>
      <c r="B954" t="s">
        <v>296</v>
      </c>
      <c r="C954" t="s">
        <v>53</v>
      </c>
      <c r="D954" t="s">
        <v>29</v>
      </c>
      <c r="E954">
        <v>37</v>
      </c>
      <c r="F954" t="s">
        <v>30</v>
      </c>
      <c r="G954" t="s">
        <v>55</v>
      </c>
      <c r="H954" t="s">
        <v>61</v>
      </c>
      <c r="I954" t="e">
        <f ca="1">_xludf.XLOOKUP(H954,Base_Planos!$A:$A,Base_Planos!$B:$B,"Não encontrado")</f>
        <v>#NAME?</v>
      </c>
      <c r="J954" s="2">
        <f>VLOOKUP(H954,Base_Planos!$A:$G,4,FALSE)</f>
        <v>59.9</v>
      </c>
      <c r="K954" s="4">
        <v>45567</v>
      </c>
      <c r="L954" t="s">
        <v>123</v>
      </c>
      <c r="M954" t="s">
        <v>44</v>
      </c>
      <c r="N954" s="4"/>
      <c r="O954" s="10">
        <f t="shared" ca="1" si="88"/>
        <v>602</v>
      </c>
      <c r="P954" s="10" t="str">
        <f t="shared" ca="1" si="85"/>
        <v>Mais de 1 ano</v>
      </c>
      <c r="Q954">
        <f t="shared" si="90"/>
        <v>1</v>
      </c>
      <c r="R954">
        <v>9</v>
      </c>
      <c r="S954" s="11">
        <f t="shared" si="89"/>
        <v>59.9</v>
      </c>
      <c r="T954" s="11" t="str">
        <f t="shared" si="86"/>
        <v>Promotor</v>
      </c>
      <c r="U954" s="11" t="str">
        <f t="shared" si="87"/>
        <v>Alto risco</v>
      </c>
      <c r="V954">
        <v>0</v>
      </c>
      <c r="W954">
        <v>57</v>
      </c>
      <c r="X954" s="2">
        <v>59.39</v>
      </c>
      <c r="Y954">
        <v>20</v>
      </c>
      <c r="Z954" t="s">
        <v>50</v>
      </c>
    </row>
    <row r="955" spans="1:26">
      <c r="A955" t="s">
        <v>1545</v>
      </c>
      <c r="B955" t="s">
        <v>615</v>
      </c>
      <c r="C955" t="s">
        <v>48</v>
      </c>
      <c r="D955" t="s">
        <v>29</v>
      </c>
      <c r="E955">
        <v>46</v>
      </c>
      <c r="F955" t="s">
        <v>66</v>
      </c>
      <c r="G955" t="s">
        <v>96</v>
      </c>
      <c r="H955" t="s">
        <v>166</v>
      </c>
      <c r="I955" t="e">
        <f ca="1">_xludf.XLOOKUP(H955,Base_Planos!$A:$A,Base_Planos!$B:$B,"Não encontrado")</f>
        <v>#NAME?</v>
      </c>
      <c r="J955" s="2">
        <f>VLOOKUP(H955,Base_Planos!$A:$G,4,FALSE)</f>
        <v>399.9</v>
      </c>
      <c r="K955" s="4">
        <v>45588</v>
      </c>
      <c r="L955" t="s">
        <v>123</v>
      </c>
      <c r="M955" t="s">
        <v>44</v>
      </c>
      <c r="N955" s="4"/>
      <c r="O955" s="10">
        <f t="shared" ca="1" si="88"/>
        <v>581</v>
      </c>
      <c r="P955" s="10" t="str">
        <f t="shared" ca="1" si="85"/>
        <v>Mais de 1 ano</v>
      </c>
      <c r="Q955">
        <f t="shared" si="90"/>
        <v>0</v>
      </c>
      <c r="R955">
        <v>0</v>
      </c>
      <c r="S955" s="11">
        <f t="shared" si="89"/>
        <v>0</v>
      </c>
      <c r="T955" s="11" t="str">
        <f t="shared" si="86"/>
        <v>Detrator</v>
      </c>
      <c r="U955" s="11" t="str">
        <f t="shared" si="87"/>
        <v>Alto risco</v>
      </c>
      <c r="V955">
        <v>3</v>
      </c>
      <c r="W955">
        <v>80</v>
      </c>
      <c r="X955" s="2">
        <v>384.74</v>
      </c>
      <c r="Y955">
        <v>19</v>
      </c>
      <c r="Z955" t="s">
        <v>45</v>
      </c>
    </row>
    <row r="956" spans="1:26">
      <c r="A956" t="s">
        <v>1546</v>
      </c>
      <c r="B956" t="s">
        <v>1547</v>
      </c>
      <c r="C956" t="s">
        <v>38</v>
      </c>
      <c r="D956" t="s">
        <v>39</v>
      </c>
      <c r="E956">
        <v>29</v>
      </c>
      <c r="F956" t="s">
        <v>54</v>
      </c>
      <c r="G956" t="s">
        <v>55</v>
      </c>
      <c r="H956" t="s">
        <v>42</v>
      </c>
      <c r="I956" t="e">
        <f ca="1">_xludf.XLOOKUP(H956,Base_Planos!$A:$A,Base_Planos!$B:$B,"Não encontrado")</f>
        <v>#NAME?</v>
      </c>
      <c r="J956" s="2">
        <f>VLOOKUP(H956,Base_Planos!$A:$G,4,FALSE)</f>
        <v>29.9</v>
      </c>
      <c r="K956" s="4">
        <v>45112</v>
      </c>
      <c r="L956" t="s">
        <v>33</v>
      </c>
      <c r="M956" t="s">
        <v>34</v>
      </c>
      <c r="N956" s="4">
        <v>45838</v>
      </c>
      <c r="O956" s="10">
        <f t="shared" ca="1" si="88"/>
        <v>726</v>
      </c>
      <c r="P956" s="10" t="str">
        <f t="shared" ca="1" si="85"/>
        <v>Mais de 1 ano</v>
      </c>
      <c r="Q956">
        <f t="shared" si="90"/>
        <v>1</v>
      </c>
      <c r="R956">
        <v>9</v>
      </c>
      <c r="S956" s="11">
        <f t="shared" si="89"/>
        <v>29.9</v>
      </c>
      <c r="T956" s="11" t="str">
        <f t="shared" si="86"/>
        <v>Promotor</v>
      </c>
      <c r="U956" s="11" t="str">
        <f t="shared" si="87"/>
        <v>Alto risco</v>
      </c>
      <c r="V956">
        <v>2</v>
      </c>
      <c r="W956">
        <v>35</v>
      </c>
      <c r="X956" s="2">
        <v>27.79</v>
      </c>
      <c r="Y956">
        <v>24</v>
      </c>
      <c r="Z956" t="s">
        <v>35</v>
      </c>
    </row>
    <row r="957" spans="1:26">
      <c r="A957" t="s">
        <v>1548</v>
      </c>
      <c r="B957" t="s">
        <v>631</v>
      </c>
      <c r="C957" t="s">
        <v>102</v>
      </c>
      <c r="D957" t="s">
        <v>103</v>
      </c>
      <c r="E957">
        <v>65</v>
      </c>
      <c r="F957" t="s">
        <v>40</v>
      </c>
      <c r="G957" t="s">
        <v>73</v>
      </c>
      <c r="H957" t="s">
        <v>61</v>
      </c>
      <c r="I957" t="e">
        <f ca="1">_xludf.XLOOKUP(H957,Base_Planos!$A:$A,Base_Planos!$B:$B,"Não encontrado")</f>
        <v>#NAME?</v>
      </c>
      <c r="J957" s="2">
        <f>VLOOKUP(H957,Base_Planos!$A:$G,4,FALSE)</f>
        <v>59.9</v>
      </c>
      <c r="K957" s="4">
        <v>45095</v>
      </c>
      <c r="L957" t="s">
        <v>328</v>
      </c>
      <c r="M957" t="s">
        <v>44</v>
      </c>
      <c r="N957" s="4"/>
      <c r="O957" s="10">
        <f t="shared" ca="1" si="88"/>
        <v>1074</v>
      </c>
      <c r="P957" s="10" t="str">
        <f t="shared" ca="1" si="85"/>
        <v>Mais de 1 ano</v>
      </c>
      <c r="Q957">
        <f t="shared" si="90"/>
        <v>0</v>
      </c>
      <c r="R957">
        <v>5</v>
      </c>
      <c r="S957" s="11">
        <f t="shared" si="89"/>
        <v>0</v>
      </c>
      <c r="T957" s="11" t="str">
        <f t="shared" si="86"/>
        <v>Detrator</v>
      </c>
      <c r="U957" s="11" t="str">
        <f t="shared" si="87"/>
        <v>Alto risco</v>
      </c>
      <c r="V957">
        <v>0</v>
      </c>
      <c r="W957">
        <v>56</v>
      </c>
      <c r="X957" s="2">
        <v>58.91</v>
      </c>
      <c r="Y957">
        <v>35</v>
      </c>
      <c r="Z957" t="s">
        <v>35</v>
      </c>
    </row>
    <row r="958" spans="1:26">
      <c r="A958" t="s">
        <v>1549</v>
      </c>
      <c r="B958" t="s">
        <v>219</v>
      </c>
      <c r="C958" t="s">
        <v>77</v>
      </c>
      <c r="D958" t="s">
        <v>78</v>
      </c>
      <c r="E958">
        <v>32</v>
      </c>
      <c r="F958" t="s">
        <v>66</v>
      </c>
      <c r="G958" t="s">
        <v>31</v>
      </c>
      <c r="H958" t="s">
        <v>42</v>
      </c>
      <c r="I958" t="e">
        <f ca="1">_xludf.XLOOKUP(H958,Base_Planos!$A:$A,Base_Planos!$B:$B,"Não encontrado")</f>
        <v>#NAME?</v>
      </c>
      <c r="J958" s="2">
        <f>VLOOKUP(H958,Base_Planos!$A:$G,4,FALSE)</f>
        <v>29.9</v>
      </c>
      <c r="K958" s="4">
        <v>45389</v>
      </c>
      <c r="L958" t="s">
        <v>56</v>
      </c>
      <c r="M958" t="s">
        <v>44</v>
      </c>
      <c r="N958" s="4"/>
      <c r="O958" s="10">
        <f t="shared" ca="1" si="88"/>
        <v>780</v>
      </c>
      <c r="P958" s="10" t="str">
        <f t="shared" ca="1" si="85"/>
        <v>Mais de 1 ano</v>
      </c>
      <c r="Q958">
        <f t="shared" si="90"/>
        <v>0</v>
      </c>
      <c r="R958">
        <v>7</v>
      </c>
      <c r="S958" s="11">
        <f t="shared" si="89"/>
        <v>0</v>
      </c>
      <c r="T958" s="11" t="str">
        <f t="shared" si="86"/>
        <v>Neutro</v>
      </c>
      <c r="U958" s="11" t="str">
        <f t="shared" si="87"/>
        <v>Médio risco</v>
      </c>
      <c r="V958">
        <v>0</v>
      </c>
      <c r="W958">
        <v>41</v>
      </c>
      <c r="X958" s="2">
        <v>25.54</v>
      </c>
      <c r="Y958">
        <v>26</v>
      </c>
      <c r="Z958" t="s">
        <v>50</v>
      </c>
    </row>
    <row r="959" spans="1:26">
      <c r="A959" t="s">
        <v>1550</v>
      </c>
      <c r="B959" t="s">
        <v>560</v>
      </c>
      <c r="C959" t="s">
        <v>53</v>
      </c>
      <c r="D959" t="s">
        <v>29</v>
      </c>
      <c r="E959">
        <v>46</v>
      </c>
      <c r="F959" t="s">
        <v>54</v>
      </c>
      <c r="G959" t="s">
        <v>31</v>
      </c>
      <c r="H959" t="s">
        <v>112</v>
      </c>
      <c r="I959" t="e">
        <f ca="1">_xludf.XLOOKUP(H959,Base_Planos!$A:$A,Base_Planos!$B:$B,"Não encontrado")</f>
        <v>#NAME?</v>
      </c>
      <c r="J959" s="2">
        <f>VLOOKUP(H959,Base_Planos!$A:$G,4,FALSE)</f>
        <v>79.900000000000006</v>
      </c>
      <c r="K959" s="4">
        <v>45989</v>
      </c>
      <c r="L959" t="s">
        <v>87</v>
      </c>
      <c r="M959" t="s">
        <v>44</v>
      </c>
      <c r="N959" s="4"/>
      <c r="O959" s="10">
        <f t="shared" ca="1" si="88"/>
        <v>180</v>
      </c>
      <c r="P959" s="10" t="str">
        <f t="shared" ca="1" si="85"/>
        <v>91 a 180 dias</v>
      </c>
      <c r="Q959">
        <f t="shared" si="90"/>
        <v>1</v>
      </c>
      <c r="R959">
        <v>9</v>
      </c>
      <c r="S959" s="11">
        <f t="shared" si="89"/>
        <v>79.900000000000006</v>
      </c>
      <c r="T959" s="11" t="str">
        <f t="shared" si="86"/>
        <v>Promotor</v>
      </c>
      <c r="U959" s="11" t="str">
        <f t="shared" si="87"/>
        <v>Alto risco</v>
      </c>
      <c r="V959">
        <v>3</v>
      </c>
      <c r="W959">
        <v>78</v>
      </c>
      <c r="X959" s="2">
        <v>72.09</v>
      </c>
      <c r="Y959">
        <v>6</v>
      </c>
      <c r="Z959" t="s">
        <v>50</v>
      </c>
    </row>
    <row r="960" spans="1:26">
      <c r="A960" t="s">
        <v>1551</v>
      </c>
      <c r="B960" t="s">
        <v>813</v>
      </c>
      <c r="C960" t="s">
        <v>48</v>
      </c>
      <c r="D960" t="s">
        <v>29</v>
      </c>
      <c r="E960">
        <v>34</v>
      </c>
      <c r="F960" t="s">
        <v>54</v>
      </c>
      <c r="G960" t="s">
        <v>165</v>
      </c>
      <c r="H960" t="s">
        <v>86</v>
      </c>
      <c r="I960" t="e">
        <f ca="1">_xludf.XLOOKUP(H960,Base_Planos!$A:$A,Base_Planos!$B:$B,"Não encontrado")</f>
        <v>#NAME?</v>
      </c>
      <c r="J960" s="2">
        <f>VLOOKUP(H960,Base_Planos!$A:$G,4,FALSE)</f>
        <v>119.9</v>
      </c>
      <c r="K960" s="4">
        <v>45407</v>
      </c>
      <c r="L960" t="s">
        <v>56</v>
      </c>
      <c r="M960" t="s">
        <v>44</v>
      </c>
      <c r="N960" s="4"/>
      <c r="O960" s="10">
        <f t="shared" ca="1" si="88"/>
        <v>762</v>
      </c>
      <c r="P960" s="10" t="str">
        <f t="shared" ca="1" si="85"/>
        <v>Mais de 1 ano</v>
      </c>
      <c r="Q960">
        <f t="shared" si="90"/>
        <v>1</v>
      </c>
      <c r="R960">
        <v>5</v>
      </c>
      <c r="S960" s="11">
        <f t="shared" si="89"/>
        <v>119.9</v>
      </c>
      <c r="T960" s="11" t="str">
        <f t="shared" si="86"/>
        <v>Detrator</v>
      </c>
      <c r="U960" s="11" t="str">
        <f t="shared" si="87"/>
        <v>Alto risco</v>
      </c>
      <c r="V960">
        <v>1</v>
      </c>
      <c r="W960">
        <v>54</v>
      </c>
      <c r="X960" s="2">
        <v>121.76</v>
      </c>
      <c r="Y960">
        <v>25</v>
      </c>
      <c r="Z960" t="s">
        <v>50</v>
      </c>
    </row>
    <row r="961" spans="1:26">
      <c r="A961" t="s">
        <v>1552</v>
      </c>
      <c r="B961" t="s">
        <v>709</v>
      </c>
      <c r="C961" t="s">
        <v>48</v>
      </c>
      <c r="D961" t="s">
        <v>29</v>
      </c>
      <c r="E961">
        <v>52</v>
      </c>
      <c r="F961" t="s">
        <v>54</v>
      </c>
      <c r="G961" t="s">
        <v>55</v>
      </c>
      <c r="H961" t="s">
        <v>166</v>
      </c>
      <c r="I961" t="e">
        <f ca="1">_xludf.XLOOKUP(H961,Base_Planos!$A:$A,Base_Planos!$B:$B,"Não encontrado")</f>
        <v>#NAME?</v>
      </c>
      <c r="J961" s="2">
        <f>VLOOKUP(H961,Base_Planos!$A:$G,4,FALSE)</f>
        <v>399.9</v>
      </c>
      <c r="K961" s="4">
        <v>45966</v>
      </c>
      <c r="L961" t="s">
        <v>87</v>
      </c>
      <c r="M961" t="s">
        <v>34</v>
      </c>
      <c r="N961" s="4">
        <v>46085</v>
      </c>
      <c r="O961" s="10">
        <f t="shared" ca="1" si="88"/>
        <v>119</v>
      </c>
      <c r="P961" s="10" t="str">
        <f t="shared" ca="1" si="85"/>
        <v>91 a 180 dias</v>
      </c>
      <c r="Q961">
        <f t="shared" si="90"/>
        <v>0</v>
      </c>
      <c r="R961">
        <v>7</v>
      </c>
      <c r="S961" s="11">
        <f t="shared" si="89"/>
        <v>0</v>
      </c>
      <c r="T961" s="11" t="str">
        <f t="shared" si="86"/>
        <v>Neutro</v>
      </c>
      <c r="U961" s="11" t="str">
        <f t="shared" si="87"/>
        <v>Médio risco</v>
      </c>
      <c r="V961">
        <v>2</v>
      </c>
      <c r="W961">
        <v>54</v>
      </c>
      <c r="X961" s="2">
        <v>377.13</v>
      </c>
      <c r="Y961">
        <v>3</v>
      </c>
      <c r="Z961" t="s">
        <v>50</v>
      </c>
    </row>
    <row r="962" spans="1:26">
      <c r="A962" t="s">
        <v>1553</v>
      </c>
      <c r="B962" t="s">
        <v>660</v>
      </c>
      <c r="C962" t="s">
        <v>77</v>
      </c>
      <c r="D962" t="s">
        <v>78</v>
      </c>
      <c r="E962">
        <v>57</v>
      </c>
      <c r="F962" t="s">
        <v>54</v>
      </c>
      <c r="G962" t="s">
        <v>41</v>
      </c>
      <c r="H962" t="s">
        <v>32</v>
      </c>
      <c r="I962" t="e">
        <f ca="1">_xludf.XLOOKUP(H962,Base_Planos!$A:$A,Base_Planos!$B:$B,"Não encontrado")</f>
        <v>#NAME?</v>
      </c>
      <c r="J962" s="2">
        <f>VLOOKUP(H962,Base_Planos!$A:$G,4,FALSE)</f>
        <v>39.9</v>
      </c>
      <c r="K962" s="4">
        <v>45277</v>
      </c>
      <c r="L962" t="s">
        <v>62</v>
      </c>
      <c r="M962" t="s">
        <v>34</v>
      </c>
      <c r="N962" s="4">
        <v>46030</v>
      </c>
      <c r="O962" s="10">
        <f t="shared" ca="1" si="88"/>
        <v>753</v>
      </c>
      <c r="P962" s="10" t="str">
        <f t="shared" ref="P962:P1025" ca="1" si="91">IF(O962&lt;=30,"Até 30 dias",IF(O962&lt;=90,"31 a 90 dias",IF(O962&lt;=180,"91 a 180 dias",IF(O962&lt;=365,"181 a 365 dias","Mais de 1 ano"))))</f>
        <v>Mais de 1 ano</v>
      </c>
      <c r="Q962">
        <f t="shared" si="90"/>
        <v>1</v>
      </c>
      <c r="R962">
        <v>0</v>
      </c>
      <c r="S962" s="11">
        <f t="shared" si="89"/>
        <v>39.9</v>
      </c>
      <c r="T962" s="11" t="str">
        <f t="shared" ref="T962:T1001" si="92">IF(R962&lt;=6,"Detrator",IF(R962&lt;=8,"Neutro","Promotor"))</f>
        <v>Detrator</v>
      </c>
      <c r="U962" s="11" t="str">
        <f t="shared" ref="U962:U1001" si="93">IF(Q962=1,"Alto risco",IF(R962&lt;=6,"Alto risco",IF(R962&lt;=8,"Médio risco","Baixo risco")))</f>
        <v>Alto risco</v>
      </c>
      <c r="V962">
        <v>0</v>
      </c>
      <c r="W962">
        <v>43</v>
      </c>
      <c r="X962" s="2">
        <v>39.36</v>
      </c>
      <c r="Y962">
        <v>25</v>
      </c>
      <c r="Z962" t="s">
        <v>35</v>
      </c>
    </row>
    <row r="963" spans="1:26">
      <c r="A963" t="s">
        <v>1554</v>
      </c>
      <c r="B963" t="s">
        <v>1305</v>
      </c>
      <c r="C963" t="s">
        <v>90</v>
      </c>
      <c r="D963" t="s">
        <v>29</v>
      </c>
      <c r="E963">
        <v>34</v>
      </c>
      <c r="F963" t="s">
        <v>66</v>
      </c>
      <c r="G963" t="s">
        <v>67</v>
      </c>
      <c r="H963" t="s">
        <v>82</v>
      </c>
      <c r="I963" t="e">
        <f ca="1">_xludf.XLOOKUP(H963,Base_Planos!$A:$A,Base_Planos!$B:$B,"Não encontrado")</f>
        <v>#NAME?</v>
      </c>
      <c r="J963" s="2">
        <f>VLOOKUP(H963,Base_Planos!$A:$G,4,FALSE)</f>
        <v>149.9</v>
      </c>
      <c r="K963" s="4">
        <v>45932</v>
      </c>
      <c r="L963" t="s">
        <v>196</v>
      </c>
      <c r="M963" t="s">
        <v>34</v>
      </c>
      <c r="N963" s="4">
        <v>46077</v>
      </c>
      <c r="O963" s="10">
        <f t="shared" ref="O963:O1001" ca="1" si="94">IF(M963="Cancelado",N963-K963,TODAY()-K963)</f>
        <v>145</v>
      </c>
      <c r="P963" s="10" t="str">
        <f t="shared" ca="1" si="91"/>
        <v>91 a 180 dias</v>
      </c>
      <c r="Q963">
        <f t="shared" si="90"/>
        <v>1</v>
      </c>
      <c r="R963">
        <v>6</v>
      </c>
      <c r="S963" s="11">
        <f t="shared" ref="S963:S1001" si="95">IF(Q963=1,J963,0)</f>
        <v>149.9</v>
      </c>
      <c r="T963" s="11" t="str">
        <f t="shared" si="92"/>
        <v>Detrator</v>
      </c>
      <c r="U963" s="11" t="str">
        <f t="shared" si="93"/>
        <v>Alto risco</v>
      </c>
      <c r="V963">
        <v>4</v>
      </c>
      <c r="W963">
        <v>0</v>
      </c>
      <c r="X963" s="2">
        <v>148.32</v>
      </c>
      <c r="Y963">
        <v>4</v>
      </c>
      <c r="Z963" t="s">
        <v>45</v>
      </c>
    </row>
    <row r="964" spans="1:26">
      <c r="A964" t="s">
        <v>1555</v>
      </c>
      <c r="B964" t="s">
        <v>288</v>
      </c>
      <c r="C964" t="s">
        <v>59</v>
      </c>
      <c r="D964" t="s">
        <v>60</v>
      </c>
      <c r="E964">
        <v>54</v>
      </c>
      <c r="F964" t="s">
        <v>40</v>
      </c>
      <c r="G964" t="s">
        <v>41</v>
      </c>
      <c r="H964" t="s">
        <v>32</v>
      </c>
      <c r="I964" t="e">
        <f ca="1">_xludf.XLOOKUP(H964,Base_Planos!$A:$A,Base_Planos!$B:$B,"Não encontrado")</f>
        <v>#NAME?</v>
      </c>
      <c r="J964" s="2">
        <f>VLOOKUP(H964,Base_Planos!$A:$G,4,FALSE)</f>
        <v>39.9</v>
      </c>
      <c r="K964" s="4">
        <v>46032</v>
      </c>
      <c r="L964" t="s">
        <v>148</v>
      </c>
      <c r="M964" t="s">
        <v>34</v>
      </c>
      <c r="N964" s="4">
        <v>46158</v>
      </c>
      <c r="O964" s="10">
        <f t="shared" ca="1" si="94"/>
        <v>126</v>
      </c>
      <c r="P964" s="10" t="str">
        <f t="shared" ca="1" si="91"/>
        <v>91 a 180 dias</v>
      </c>
      <c r="Q964">
        <f t="shared" si="90"/>
        <v>0</v>
      </c>
      <c r="R964">
        <v>10</v>
      </c>
      <c r="S964" s="11">
        <f t="shared" si="95"/>
        <v>0</v>
      </c>
      <c r="T964" s="11" t="str">
        <f t="shared" si="92"/>
        <v>Promotor</v>
      </c>
      <c r="U964" s="11" t="str">
        <f t="shared" si="93"/>
        <v>Baixo risco</v>
      </c>
      <c r="V964">
        <v>4</v>
      </c>
      <c r="W964">
        <v>28</v>
      </c>
      <c r="X964" s="2">
        <v>38.6</v>
      </c>
      <c r="Y964">
        <v>4</v>
      </c>
      <c r="Z964" t="s">
        <v>35</v>
      </c>
    </row>
    <row r="965" spans="1:26">
      <c r="A965" t="s">
        <v>1556</v>
      </c>
      <c r="B965" t="s">
        <v>863</v>
      </c>
      <c r="C965" t="s">
        <v>90</v>
      </c>
      <c r="D965" t="s">
        <v>29</v>
      </c>
      <c r="E965">
        <v>22</v>
      </c>
      <c r="F965" t="s">
        <v>54</v>
      </c>
      <c r="G965" t="s">
        <v>96</v>
      </c>
      <c r="H965" t="s">
        <v>82</v>
      </c>
      <c r="I965" t="e">
        <f ca="1">_xludf.XLOOKUP(H965,Base_Planos!$A:$A,Base_Planos!$B:$B,"Não encontrado")</f>
        <v>#NAME?</v>
      </c>
      <c r="J965" s="2">
        <f>VLOOKUP(H965,Base_Planos!$A:$G,4,FALSE)</f>
        <v>149.9</v>
      </c>
      <c r="K965" s="4">
        <v>45436</v>
      </c>
      <c r="L965" t="s">
        <v>130</v>
      </c>
      <c r="M965" t="s">
        <v>34</v>
      </c>
      <c r="N965" s="4">
        <v>45972</v>
      </c>
      <c r="O965" s="10">
        <f t="shared" ca="1" si="94"/>
        <v>536</v>
      </c>
      <c r="P965" s="10" t="str">
        <f t="shared" ca="1" si="91"/>
        <v>Mais de 1 ano</v>
      </c>
      <c r="Q965">
        <f t="shared" si="90"/>
        <v>0</v>
      </c>
      <c r="R965">
        <v>9</v>
      </c>
      <c r="S965" s="11">
        <f t="shared" si="95"/>
        <v>0</v>
      </c>
      <c r="T965" s="11" t="str">
        <f t="shared" si="92"/>
        <v>Promotor</v>
      </c>
      <c r="U965" s="11" t="str">
        <f t="shared" si="93"/>
        <v>Baixo risco</v>
      </c>
      <c r="V965">
        <v>2</v>
      </c>
      <c r="W965">
        <v>0</v>
      </c>
      <c r="X965" s="2">
        <v>137.36000000000001</v>
      </c>
      <c r="Y965">
        <v>17</v>
      </c>
      <c r="Z965" t="s">
        <v>35</v>
      </c>
    </row>
    <row r="966" spans="1:26">
      <c r="A966" t="s">
        <v>1557</v>
      </c>
      <c r="B966" t="s">
        <v>646</v>
      </c>
      <c r="C966" t="s">
        <v>90</v>
      </c>
      <c r="D966" t="s">
        <v>29</v>
      </c>
      <c r="E966">
        <v>62</v>
      </c>
      <c r="F966" t="s">
        <v>66</v>
      </c>
      <c r="G966" t="s">
        <v>41</v>
      </c>
      <c r="H966" t="s">
        <v>82</v>
      </c>
      <c r="I966" t="e">
        <f ca="1">_xludf.XLOOKUP(H966,Base_Planos!$A:$A,Base_Planos!$B:$B,"Não encontrado")</f>
        <v>#NAME?</v>
      </c>
      <c r="J966" s="2">
        <f>VLOOKUP(H966,Base_Planos!$A:$G,4,FALSE)</f>
        <v>149.9</v>
      </c>
      <c r="K966" s="4">
        <v>45707</v>
      </c>
      <c r="L966" t="s">
        <v>289</v>
      </c>
      <c r="M966" t="s">
        <v>44</v>
      </c>
      <c r="N966" s="4"/>
      <c r="O966" s="10">
        <f t="shared" ca="1" si="94"/>
        <v>462</v>
      </c>
      <c r="P966" s="10" t="str">
        <f t="shared" ca="1" si="91"/>
        <v>Mais de 1 ano</v>
      </c>
      <c r="Q966">
        <f t="shared" si="90"/>
        <v>0</v>
      </c>
      <c r="R966">
        <v>7</v>
      </c>
      <c r="S966" s="11">
        <f t="shared" si="95"/>
        <v>0</v>
      </c>
      <c r="T966" s="11" t="str">
        <f t="shared" si="92"/>
        <v>Neutro</v>
      </c>
      <c r="U966" s="11" t="str">
        <f t="shared" si="93"/>
        <v>Médio risco</v>
      </c>
      <c r="V966">
        <v>0</v>
      </c>
      <c r="W966">
        <v>76</v>
      </c>
      <c r="X966" s="2">
        <v>148.62</v>
      </c>
      <c r="Y966">
        <v>15</v>
      </c>
      <c r="Z966" t="s">
        <v>50</v>
      </c>
    </row>
    <row r="967" spans="1:26">
      <c r="A967" t="s">
        <v>1558</v>
      </c>
      <c r="B967" t="s">
        <v>1216</v>
      </c>
      <c r="C967" t="s">
        <v>77</v>
      </c>
      <c r="D967" t="s">
        <v>78</v>
      </c>
      <c r="E967">
        <v>23</v>
      </c>
      <c r="F967" t="s">
        <v>30</v>
      </c>
      <c r="G967" t="s">
        <v>41</v>
      </c>
      <c r="H967" t="s">
        <v>42</v>
      </c>
      <c r="I967" t="e">
        <f ca="1">_xludf.XLOOKUP(H967,Base_Planos!$A:$A,Base_Planos!$B:$B,"Não encontrado")</f>
        <v>#NAME?</v>
      </c>
      <c r="J967" s="2">
        <f>VLOOKUP(H967,Base_Planos!$A:$G,4,FALSE)</f>
        <v>29.9</v>
      </c>
      <c r="K967" s="4">
        <v>45646</v>
      </c>
      <c r="L967" t="s">
        <v>49</v>
      </c>
      <c r="M967" t="s">
        <v>44</v>
      </c>
      <c r="N967" s="4"/>
      <c r="O967" s="10">
        <f t="shared" ca="1" si="94"/>
        <v>523</v>
      </c>
      <c r="P967" s="10" t="str">
        <f t="shared" ca="1" si="91"/>
        <v>Mais de 1 ano</v>
      </c>
      <c r="Q967">
        <f t="shared" si="90"/>
        <v>0</v>
      </c>
      <c r="R967">
        <v>10</v>
      </c>
      <c r="S967" s="11">
        <f t="shared" si="95"/>
        <v>0</v>
      </c>
      <c r="T967" s="11" t="str">
        <f t="shared" si="92"/>
        <v>Promotor</v>
      </c>
      <c r="U967" s="11" t="str">
        <f t="shared" si="93"/>
        <v>Baixo risco</v>
      </c>
      <c r="V967">
        <v>1</v>
      </c>
      <c r="W967">
        <v>38</v>
      </c>
      <c r="X967" s="2">
        <v>25.54</v>
      </c>
      <c r="Y967">
        <v>17</v>
      </c>
      <c r="Z967" t="s">
        <v>50</v>
      </c>
    </row>
    <row r="968" spans="1:26">
      <c r="A968" t="s">
        <v>1559</v>
      </c>
      <c r="B968" t="s">
        <v>624</v>
      </c>
      <c r="C968" t="s">
        <v>38</v>
      </c>
      <c r="D968" t="s">
        <v>39</v>
      </c>
      <c r="E968">
        <v>21</v>
      </c>
      <c r="F968" t="s">
        <v>40</v>
      </c>
      <c r="G968" t="s">
        <v>55</v>
      </c>
      <c r="H968" t="s">
        <v>32</v>
      </c>
      <c r="I968" t="e">
        <f ca="1">_xludf.XLOOKUP(H968,Base_Planos!$A:$A,Base_Planos!$B:$B,"Não encontrado")</f>
        <v>#NAME?</v>
      </c>
      <c r="J968" s="2">
        <f>VLOOKUP(H968,Base_Planos!$A:$G,4,FALSE)</f>
        <v>39.9</v>
      </c>
      <c r="K968" s="4">
        <v>46010</v>
      </c>
      <c r="L968" t="s">
        <v>170</v>
      </c>
      <c r="M968" t="s">
        <v>44</v>
      </c>
      <c r="N968" s="4"/>
      <c r="O968" s="10">
        <f t="shared" ca="1" si="94"/>
        <v>159</v>
      </c>
      <c r="P968" s="10" t="str">
        <f t="shared" ca="1" si="91"/>
        <v>91 a 180 dias</v>
      </c>
      <c r="Q968">
        <f t="shared" si="90"/>
        <v>0</v>
      </c>
      <c r="R968">
        <v>0</v>
      </c>
      <c r="S968" s="11">
        <f t="shared" si="95"/>
        <v>0</v>
      </c>
      <c r="T968" s="11" t="str">
        <f t="shared" si="92"/>
        <v>Detrator</v>
      </c>
      <c r="U968" s="11" t="str">
        <f t="shared" si="93"/>
        <v>Alto risco</v>
      </c>
      <c r="V968">
        <v>0</v>
      </c>
      <c r="W968">
        <v>57</v>
      </c>
      <c r="X968" s="2">
        <v>38.409999999999997</v>
      </c>
      <c r="Y968">
        <v>5</v>
      </c>
      <c r="Z968" t="s">
        <v>35</v>
      </c>
    </row>
    <row r="969" spans="1:26">
      <c r="A969" t="s">
        <v>1560</v>
      </c>
      <c r="B969" t="s">
        <v>1342</v>
      </c>
      <c r="C969" t="s">
        <v>94</v>
      </c>
      <c r="D969" t="s">
        <v>95</v>
      </c>
      <c r="E969">
        <v>30</v>
      </c>
      <c r="F969" t="s">
        <v>40</v>
      </c>
      <c r="G969" t="s">
        <v>104</v>
      </c>
      <c r="H969" t="s">
        <v>42</v>
      </c>
      <c r="I969" t="e">
        <f ca="1">_xludf.XLOOKUP(H969,Base_Planos!$A:$A,Base_Planos!$B:$B,"Não encontrado")</f>
        <v>#NAME?</v>
      </c>
      <c r="J969" s="2">
        <f>VLOOKUP(H969,Base_Planos!$A:$G,4,FALSE)</f>
        <v>29.9</v>
      </c>
      <c r="K969" s="4">
        <v>45374</v>
      </c>
      <c r="L969" t="s">
        <v>126</v>
      </c>
      <c r="M969" t="s">
        <v>44</v>
      </c>
      <c r="N969" s="4"/>
      <c r="O969" s="10">
        <f t="shared" ca="1" si="94"/>
        <v>795</v>
      </c>
      <c r="P969" s="10" t="str">
        <f t="shared" ca="1" si="91"/>
        <v>Mais de 1 ano</v>
      </c>
      <c r="Q969">
        <f t="shared" si="90"/>
        <v>0</v>
      </c>
      <c r="R969">
        <v>5</v>
      </c>
      <c r="S969" s="11">
        <f t="shared" si="95"/>
        <v>0</v>
      </c>
      <c r="T969" s="11" t="str">
        <f t="shared" si="92"/>
        <v>Detrator</v>
      </c>
      <c r="U969" s="11" t="str">
        <f t="shared" si="93"/>
        <v>Alto risco</v>
      </c>
      <c r="V969">
        <v>0</v>
      </c>
      <c r="W969">
        <v>81</v>
      </c>
      <c r="X969" s="2">
        <v>26.47</v>
      </c>
      <c r="Y969">
        <v>26</v>
      </c>
      <c r="Z969" t="s">
        <v>35</v>
      </c>
    </row>
    <row r="970" spans="1:26">
      <c r="A970" t="s">
        <v>1561</v>
      </c>
      <c r="B970" t="s">
        <v>1082</v>
      </c>
      <c r="C970" t="s">
        <v>38</v>
      </c>
      <c r="D970" t="s">
        <v>39</v>
      </c>
      <c r="E970">
        <v>27</v>
      </c>
      <c r="F970" t="s">
        <v>40</v>
      </c>
      <c r="G970" t="s">
        <v>104</v>
      </c>
      <c r="H970" t="s">
        <v>32</v>
      </c>
      <c r="I970" t="e">
        <f ca="1">_xludf.XLOOKUP(H970,Base_Planos!$A:$A,Base_Planos!$B:$B,"Não encontrado")</f>
        <v>#NAME?</v>
      </c>
      <c r="J970" s="2">
        <f>VLOOKUP(H970,Base_Planos!$A:$G,4,FALSE)</f>
        <v>39.9</v>
      </c>
      <c r="K970" s="4">
        <v>45006</v>
      </c>
      <c r="L970" t="s">
        <v>68</v>
      </c>
      <c r="M970" t="s">
        <v>44</v>
      </c>
      <c r="N970" s="4"/>
      <c r="O970" s="10">
        <f t="shared" ca="1" si="94"/>
        <v>1163</v>
      </c>
      <c r="P970" s="10" t="str">
        <f t="shared" ca="1" si="91"/>
        <v>Mais de 1 ano</v>
      </c>
      <c r="Q970">
        <f t="shared" si="90"/>
        <v>0</v>
      </c>
      <c r="R970">
        <v>8</v>
      </c>
      <c r="S970" s="11">
        <f t="shared" si="95"/>
        <v>0</v>
      </c>
      <c r="T970" s="11" t="str">
        <f t="shared" si="92"/>
        <v>Neutro</v>
      </c>
      <c r="U970" s="11" t="str">
        <f t="shared" si="93"/>
        <v>Médio risco</v>
      </c>
      <c r="V970">
        <v>0</v>
      </c>
      <c r="W970">
        <v>24</v>
      </c>
      <c r="X970" s="2">
        <v>41.38</v>
      </c>
      <c r="Y970">
        <v>38</v>
      </c>
      <c r="Z970" t="s">
        <v>35</v>
      </c>
    </row>
    <row r="971" spans="1:26">
      <c r="A971" t="s">
        <v>1562</v>
      </c>
      <c r="B971" t="s">
        <v>286</v>
      </c>
      <c r="C971" t="s">
        <v>65</v>
      </c>
      <c r="D971" t="s">
        <v>29</v>
      </c>
      <c r="E971">
        <v>29</v>
      </c>
      <c r="F971" t="s">
        <v>54</v>
      </c>
      <c r="G971" t="s">
        <v>96</v>
      </c>
      <c r="H971" t="s">
        <v>86</v>
      </c>
      <c r="I971" t="e">
        <f ca="1">_xludf.XLOOKUP(H971,Base_Planos!$A:$A,Base_Planos!$B:$B,"Não encontrado")</f>
        <v>#NAME?</v>
      </c>
      <c r="J971" s="2">
        <f>VLOOKUP(H971,Base_Planos!$A:$G,4,FALSE)</f>
        <v>119.9</v>
      </c>
      <c r="K971" s="4">
        <v>45946</v>
      </c>
      <c r="L971" t="s">
        <v>196</v>
      </c>
      <c r="M971" t="s">
        <v>44</v>
      </c>
      <c r="N971" s="4"/>
      <c r="O971" s="10">
        <f t="shared" ca="1" si="94"/>
        <v>223</v>
      </c>
      <c r="P971" s="10" t="str">
        <f t="shared" ca="1" si="91"/>
        <v>181 a 365 dias</v>
      </c>
      <c r="Q971">
        <f t="shared" si="90"/>
        <v>1</v>
      </c>
      <c r="R971">
        <v>3</v>
      </c>
      <c r="S971" s="11">
        <f t="shared" si="95"/>
        <v>119.9</v>
      </c>
      <c r="T971" s="11" t="str">
        <f t="shared" si="92"/>
        <v>Detrator</v>
      </c>
      <c r="U971" s="11" t="str">
        <f t="shared" si="93"/>
        <v>Alto risco</v>
      </c>
      <c r="V971">
        <v>3</v>
      </c>
      <c r="W971">
        <v>0</v>
      </c>
      <c r="X971" s="2">
        <v>124.18</v>
      </c>
      <c r="Y971">
        <v>7</v>
      </c>
      <c r="Z971" t="s">
        <v>45</v>
      </c>
    </row>
    <row r="972" spans="1:26">
      <c r="A972" t="s">
        <v>1563</v>
      </c>
      <c r="B972" t="s">
        <v>565</v>
      </c>
      <c r="C972" t="s">
        <v>48</v>
      </c>
      <c r="D972" t="s">
        <v>29</v>
      </c>
      <c r="E972">
        <v>46</v>
      </c>
      <c r="F972" t="s">
        <v>66</v>
      </c>
      <c r="G972" t="s">
        <v>55</v>
      </c>
      <c r="H972" t="s">
        <v>42</v>
      </c>
      <c r="I972" t="e">
        <f ca="1">_xludf.XLOOKUP(H972,Base_Planos!$A:$A,Base_Planos!$B:$B,"Não encontrado")</f>
        <v>#NAME?</v>
      </c>
      <c r="J972" s="2">
        <f>VLOOKUP(H972,Base_Planos!$A:$G,4,FALSE)</f>
        <v>29.9</v>
      </c>
      <c r="K972" s="4">
        <v>45675</v>
      </c>
      <c r="L972" t="s">
        <v>261</v>
      </c>
      <c r="M972" t="s">
        <v>44</v>
      </c>
      <c r="N972" s="4"/>
      <c r="O972" s="10">
        <f t="shared" ca="1" si="94"/>
        <v>494</v>
      </c>
      <c r="P972" s="10" t="str">
        <f t="shared" ca="1" si="91"/>
        <v>Mais de 1 ano</v>
      </c>
      <c r="Q972">
        <f t="shared" si="90"/>
        <v>0</v>
      </c>
      <c r="R972">
        <v>2</v>
      </c>
      <c r="S972" s="11">
        <f t="shared" si="95"/>
        <v>0</v>
      </c>
      <c r="T972" s="11" t="str">
        <f t="shared" si="92"/>
        <v>Detrator</v>
      </c>
      <c r="U972" s="11" t="str">
        <f t="shared" si="93"/>
        <v>Alto risco</v>
      </c>
      <c r="V972">
        <v>0</v>
      </c>
      <c r="W972">
        <v>100</v>
      </c>
      <c r="X972" s="2">
        <v>27.56</v>
      </c>
      <c r="Y972">
        <v>16</v>
      </c>
      <c r="Z972" t="s">
        <v>35</v>
      </c>
    </row>
    <row r="973" spans="1:26">
      <c r="A973" t="s">
        <v>1564</v>
      </c>
      <c r="B973" t="s">
        <v>1152</v>
      </c>
      <c r="C973" t="s">
        <v>48</v>
      </c>
      <c r="D973" t="s">
        <v>29</v>
      </c>
      <c r="E973">
        <v>60</v>
      </c>
      <c r="F973" t="s">
        <v>40</v>
      </c>
      <c r="G973" t="s">
        <v>55</v>
      </c>
      <c r="H973" t="s">
        <v>86</v>
      </c>
      <c r="I973" t="e">
        <f ca="1">_xludf.XLOOKUP(H973,Base_Planos!$A:$A,Base_Planos!$B:$B,"Não encontrado")</f>
        <v>#NAME?</v>
      </c>
      <c r="J973" s="2">
        <f>VLOOKUP(H973,Base_Planos!$A:$G,4,FALSE)</f>
        <v>119.9</v>
      </c>
      <c r="K973" s="4">
        <v>45113</v>
      </c>
      <c r="L973" t="s">
        <v>33</v>
      </c>
      <c r="M973" t="s">
        <v>44</v>
      </c>
      <c r="N973" s="4"/>
      <c r="O973" s="10">
        <f t="shared" ca="1" si="94"/>
        <v>1056</v>
      </c>
      <c r="P973" s="10" t="str">
        <f t="shared" ca="1" si="91"/>
        <v>Mais de 1 ano</v>
      </c>
      <c r="Q973">
        <f t="shared" si="90"/>
        <v>1</v>
      </c>
      <c r="R973">
        <v>10</v>
      </c>
      <c r="S973" s="11">
        <f t="shared" si="95"/>
        <v>119.9</v>
      </c>
      <c r="T973" s="11" t="str">
        <f t="shared" si="92"/>
        <v>Promotor</v>
      </c>
      <c r="U973" s="11" t="str">
        <f t="shared" si="93"/>
        <v>Alto risco</v>
      </c>
      <c r="V973">
        <v>0</v>
      </c>
      <c r="W973">
        <v>6</v>
      </c>
      <c r="X973" s="2">
        <v>114.42</v>
      </c>
      <c r="Y973">
        <v>35</v>
      </c>
      <c r="Z973" t="s">
        <v>35</v>
      </c>
    </row>
    <row r="974" spans="1:26">
      <c r="A974" t="s">
        <v>1565</v>
      </c>
      <c r="B974" t="s">
        <v>1547</v>
      </c>
      <c r="C974" t="s">
        <v>65</v>
      </c>
      <c r="D974" t="s">
        <v>29</v>
      </c>
      <c r="E974">
        <v>30</v>
      </c>
      <c r="F974" t="s">
        <v>30</v>
      </c>
      <c r="G974" t="s">
        <v>96</v>
      </c>
      <c r="H974" t="s">
        <v>112</v>
      </c>
      <c r="I974" t="e">
        <f ca="1">_xludf.XLOOKUP(H974,Base_Planos!$A:$A,Base_Planos!$B:$B,"Não encontrado")</f>
        <v>#NAME?</v>
      </c>
      <c r="J974" s="2">
        <f>VLOOKUP(H974,Base_Planos!$A:$G,4,FALSE)</f>
        <v>79.900000000000006</v>
      </c>
      <c r="K974" s="4">
        <v>45332</v>
      </c>
      <c r="L974" t="s">
        <v>297</v>
      </c>
      <c r="M974" t="s">
        <v>34</v>
      </c>
      <c r="N974" s="4">
        <v>45386</v>
      </c>
      <c r="O974" s="10">
        <f t="shared" ca="1" si="94"/>
        <v>54</v>
      </c>
      <c r="P974" s="10" t="str">
        <f t="shared" ca="1" si="91"/>
        <v>31 a 90 dias</v>
      </c>
      <c r="Q974">
        <f t="shared" si="90"/>
        <v>0</v>
      </c>
      <c r="R974">
        <v>4</v>
      </c>
      <c r="S974" s="11">
        <f t="shared" si="95"/>
        <v>0</v>
      </c>
      <c r="T974" s="11" t="str">
        <f t="shared" si="92"/>
        <v>Detrator</v>
      </c>
      <c r="U974" s="11" t="str">
        <f t="shared" si="93"/>
        <v>Alto risco</v>
      </c>
      <c r="V974">
        <v>0</v>
      </c>
      <c r="W974">
        <v>46</v>
      </c>
      <c r="X974" s="2">
        <v>73.05</v>
      </c>
      <c r="Y974">
        <v>1</v>
      </c>
      <c r="Z974" t="s">
        <v>35</v>
      </c>
    </row>
    <row r="975" spans="1:26">
      <c r="A975" t="s">
        <v>1566</v>
      </c>
      <c r="B975" t="s">
        <v>872</v>
      </c>
      <c r="C975" t="s">
        <v>71</v>
      </c>
      <c r="D975" t="s">
        <v>72</v>
      </c>
      <c r="E975">
        <v>37</v>
      </c>
      <c r="F975" t="s">
        <v>54</v>
      </c>
      <c r="G975" t="s">
        <v>73</v>
      </c>
      <c r="H975" t="s">
        <v>82</v>
      </c>
      <c r="I975" t="e">
        <f ca="1">_xludf.XLOOKUP(H975,Base_Planos!$A:$A,Base_Planos!$B:$B,"Não encontrado")</f>
        <v>#NAME?</v>
      </c>
      <c r="J975" s="2">
        <f>VLOOKUP(H975,Base_Planos!$A:$G,4,FALSE)</f>
        <v>149.9</v>
      </c>
      <c r="K975" s="4">
        <v>45039</v>
      </c>
      <c r="L975" t="s">
        <v>118</v>
      </c>
      <c r="M975" t="s">
        <v>44</v>
      </c>
      <c r="N975" s="4"/>
      <c r="O975" s="10">
        <f t="shared" ca="1" si="94"/>
        <v>1130</v>
      </c>
      <c r="P975" s="10" t="str">
        <f t="shared" ca="1" si="91"/>
        <v>Mais de 1 ano</v>
      </c>
      <c r="Q975">
        <f t="shared" si="90"/>
        <v>1</v>
      </c>
      <c r="R975">
        <v>8</v>
      </c>
      <c r="S975" s="11">
        <f t="shared" si="95"/>
        <v>149.9</v>
      </c>
      <c r="T975" s="11" t="str">
        <f t="shared" si="92"/>
        <v>Neutro</v>
      </c>
      <c r="U975" s="11" t="str">
        <f t="shared" si="93"/>
        <v>Alto risco</v>
      </c>
      <c r="V975">
        <v>0</v>
      </c>
      <c r="W975">
        <v>41</v>
      </c>
      <c r="X975" s="2">
        <v>149.84</v>
      </c>
      <c r="Y975">
        <v>37</v>
      </c>
      <c r="Z975" t="s">
        <v>50</v>
      </c>
    </row>
    <row r="976" spans="1:26">
      <c r="A976" t="s">
        <v>1567</v>
      </c>
      <c r="B976" t="s">
        <v>1378</v>
      </c>
      <c r="C976" t="s">
        <v>94</v>
      </c>
      <c r="D976" t="s">
        <v>95</v>
      </c>
      <c r="E976">
        <v>59</v>
      </c>
      <c r="F976" t="s">
        <v>30</v>
      </c>
      <c r="G976" t="s">
        <v>67</v>
      </c>
      <c r="H976" t="s">
        <v>112</v>
      </c>
      <c r="I976" t="e">
        <f ca="1">_xludf.XLOOKUP(H976,Base_Planos!$A:$A,Base_Planos!$B:$B,"Não encontrado")</f>
        <v>#NAME?</v>
      </c>
      <c r="J976" s="2">
        <f>VLOOKUP(H976,Base_Planos!$A:$G,4,FALSE)</f>
        <v>79.900000000000006</v>
      </c>
      <c r="K976" s="4">
        <v>45023</v>
      </c>
      <c r="L976" t="s">
        <v>118</v>
      </c>
      <c r="M976" t="s">
        <v>44</v>
      </c>
      <c r="N976" s="4"/>
      <c r="O976" s="10">
        <f t="shared" ca="1" si="94"/>
        <v>1146</v>
      </c>
      <c r="P976" s="10" t="str">
        <f t="shared" ca="1" si="91"/>
        <v>Mais de 1 ano</v>
      </c>
      <c r="Q976">
        <f t="shared" si="90"/>
        <v>1</v>
      </c>
      <c r="R976">
        <v>4</v>
      </c>
      <c r="S976" s="11">
        <f t="shared" si="95"/>
        <v>79.900000000000006</v>
      </c>
      <c r="T976" s="11" t="str">
        <f t="shared" si="92"/>
        <v>Detrator</v>
      </c>
      <c r="U976" s="11" t="str">
        <f t="shared" si="93"/>
        <v>Alto risco</v>
      </c>
      <c r="V976">
        <v>0</v>
      </c>
      <c r="W976">
        <v>74</v>
      </c>
      <c r="X976" s="2">
        <v>78.849999999999994</v>
      </c>
      <c r="Y976">
        <v>38</v>
      </c>
      <c r="Z976" t="s">
        <v>35</v>
      </c>
    </row>
    <row r="977" spans="1:26">
      <c r="A977" t="s">
        <v>1568</v>
      </c>
      <c r="B977" t="s">
        <v>706</v>
      </c>
      <c r="C977" t="s">
        <v>38</v>
      </c>
      <c r="D977" t="s">
        <v>39</v>
      </c>
      <c r="E977">
        <v>29</v>
      </c>
      <c r="F977" t="s">
        <v>54</v>
      </c>
      <c r="G977" t="s">
        <v>67</v>
      </c>
      <c r="H977" t="s">
        <v>86</v>
      </c>
      <c r="I977" t="e">
        <f ca="1">_xludf.XLOOKUP(H977,Base_Planos!$A:$A,Base_Planos!$B:$B,"Não encontrado")</f>
        <v>#NAME?</v>
      </c>
      <c r="J977" s="2">
        <f>VLOOKUP(H977,Base_Planos!$A:$G,4,FALSE)</f>
        <v>119.9</v>
      </c>
      <c r="K977" s="4">
        <v>45129</v>
      </c>
      <c r="L977" t="s">
        <v>33</v>
      </c>
      <c r="M977" t="s">
        <v>34</v>
      </c>
      <c r="N977" s="4">
        <v>45367</v>
      </c>
      <c r="O977" s="10">
        <f t="shared" ca="1" si="94"/>
        <v>238</v>
      </c>
      <c r="P977" s="10" t="str">
        <f t="shared" ca="1" si="91"/>
        <v>181 a 365 dias</v>
      </c>
      <c r="Q977">
        <f t="shared" si="90"/>
        <v>1</v>
      </c>
      <c r="R977">
        <v>7</v>
      </c>
      <c r="S977" s="11">
        <f t="shared" si="95"/>
        <v>119.9</v>
      </c>
      <c r="T977" s="11" t="str">
        <f t="shared" si="92"/>
        <v>Neutro</v>
      </c>
      <c r="U977" s="11" t="str">
        <f t="shared" si="93"/>
        <v>Alto risco</v>
      </c>
      <c r="V977">
        <v>1</v>
      </c>
      <c r="W977">
        <v>38</v>
      </c>
      <c r="X977" s="2">
        <v>106.87</v>
      </c>
      <c r="Y977">
        <v>7</v>
      </c>
      <c r="Z977" t="s">
        <v>35</v>
      </c>
    </row>
    <row r="978" spans="1:26">
      <c r="A978" t="s">
        <v>1569</v>
      </c>
      <c r="B978" t="s">
        <v>648</v>
      </c>
      <c r="C978" t="s">
        <v>28</v>
      </c>
      <c r="D978" t="s">
        <v>29</v>
      </c>
      <c r="E978">
        <v>20</v>
      </c>
      <c r="F978" t="s">
        <v>66</v>
      </c>
      <c r="G978" t="s">
        <v>31</v>
      </c>
      <c r="H978" t="s">
        <v>86</v>
      </c>
      <c r="I978" t="e">
        <f ca="1">_xludf.XLOOKUP(H978,Base_Planos!$A:$A,Base_Planos!$B:$B,"Não encontrado")</f>
        <v>#NAME?</v>
      </c>
      <c r="J978" s="2">
        <f>VLOOKUP(H978,Base_Planos!$A:$G,4,FALSE)</f>
        <v>119.9</v>
      </c>
      <c r="K978" s="4">
        <v>45165</v>
      </c>
      <c r="L978" t="s">
        <v>162</v>
      </c>
      <c r="M978" t="s">
        <v>44</v>
      </c>
      <c r="N978" s="4"/>
      <c r="O978" s="10">
        <f t="shared" ca="1" si="94"/>
        <v>1004</v>
      </c>
      <c r="P978" s="10" t="str">
        <f t="shared" ca="1" si="91"/>
        <v>Mais de 1 ano</v>
      </c>
      <c r="Q978">
        <f t="shared" si="90"/>
        <v>0</v>
      </c>
      <c r="R978">
        <v>4</v>
      </c>
      <c r="S978" s="11">
        <f t="shared" si="95"/>
        <v>0</v>
      </c>
      <c r="T978" s="11" t="str">
        <f t="shared" si="92"/>
        <v>Detrator</v>
      </c>
      <c r="U978" s="11" t="str">
        <f t="shared" si="93"/>
        <v>Alto risco</v>
      </c>
      <c r="V978">
        <v>2</v>
      </c>
      <c r="W978">
        <v>57</v>
      </c>
      <c r="X978" s="2">
        <v>125.52</v>
      </c>
      <c r="Y978">
        <v>33</v>
      </c>
      <c r="Z978" t="s">
        <v>45</v>
      </c>
    </row>
    <row r="979" spans="1:26">
      <c r="A979" t="s">
        <v>1570</v>
      </c>
      <c r="B979" t="s">
        <v>394</v>
      </c>
      <c r="C979" t="s">
        <v>108</v>
      </c>
      <c r="D979" t="s">
        <v>109</v>
      </c>
      <c r="E979">
        <v>43</v>
      </c>
      <c r="F979" t="s">
        <v>30</v>
      </c>
      <c r="G979" t="s">
        <v>96</v>
      </c>
      <c r="H979" t="s">
        <v>61</v>
      </c>
      <c r="I979" t="e">
        <f ca="1">_xludf.XLOOKUP(H979,Base_Planos!$A:$A,Base_Planos!$B:$B,"Não encontrado")</f>
        <v>#NAME?</v>
      </c>
      <c r="J979" s="2">
        <f>VLOOKUP(H979,Base_Planos!$A:$G,4,FALSE)</f>
        <v>59.9</v>
      </c>
      <c r="K979" s="4">
        <v>45455</v>
      </c>
      <c r="L979" t="s">
        <v>145</v>
      </c>
      <c r="M979" t="s">
        <v>34</v>
      </c>
      <c r="N979" s="4">
        <v>46154</v>
      </c>
      <c r="O979" s="10">
        <f t="shared" ca="1" si="94"/>
        <v>699</v>
      </c>
      <c r="P979" s="10" t="str">
        <f t="shared" ca="1" si="91"/>
        <v>Mais de 1 ano</v>
      </c>
      <c r="Q979">
        <f t="shared" si="90"/>
        <v>1</v>
      </c>
      <c r="R979">
        <v>6</v>
      </c>
      <c r="S979" s="11">
        <f t="shared" si="95"/>
        <v>59.9</v>
      </c>
      <c r="T979" s="11" t="str">
        <f t="shared" si="92"/>
        <v>Detrator</v>
      </c>
      <c r="U979" s="11" t="str">
        <f t="shared" si="93"/>
        <v>Alto risco</v>
      </c>
      <c r="V979">
        <v>3</v>
      </c>
      <c r="W979">
        <v>17</v>
      </c>
      <c r="X979" s="2">
        <v>54.18</v>
      </c>
      <c r="Y979">
        <v>23</v>
      </c>
      <c r="Z979" t="s">
        <v>45</v>
      </c>
    </row>
    <row r="980" spans="1:26">
      <c r="A980" t="s">
        <v>1571</v>
      </c>
      <c r="B980" t="s">
        <v>174</v>
      </c>
      <c r="C980" t="s">
        <v>71</v>
      </c>
      <c r="D980" t="s">
        <v>72</v>
      </c>
      <c r="E980">
        <v>44</v>
      </c>
      <c r="F980" t="s">
        <v>54</v>
      </c>
      <c r="G980" t="s">
        <v>31</v>
      </c>
      <c r="H980" t="s">
        <v>82</v>
      </c>
      <c r="I980" t="e">
        <f ca="1">_xludf.XLOOKUP(H980,Base_Planos!$A:$A,Base_Planos!$B:$B,"Não encontrado")</f>
        <v>#NAME?</v>
      </c>
      <c r="J980" s="2">
        <f>VLOOKUP(H980,Base_Planos!$A:$G,4,FALSE)</f>
        <v>149.9</v>
      </c>
      <c r="K980" s="4">
        <v>45926</v>
      </c>
      <c r="L980" t="s">
        <v>189</v>
      </c>
      <c r="M980" t="s">
        <v>44</v>
      </c>
      <c r="N980" s="4"/>
      <c r="O980" s="10">
        <f t="shared" ca="1" si="94"/>
        <v>243</v>
      </c>
      <c r="P980" s="10" t="str">
        <f t="shared" ca="1" si="91"/>
        <v>181 a 365 dias</v>
      </c>
      <c r="Q980">
        <f t="shared" si="90"/>
        <v>1</v>
      </c>
      <c r="R980">
        <v>4</v>
      </c>
      <c r="S980" s="11">
        <f t="shared" si="95"/>
        <v>149.9</v>
      </c>
      <c r="T980" s="11" t="str">
        <f t="shared" si="92"/>
        <v>Detrator</v>
      </c>
      <c r="U980" s="11" t="str">
        <f t="shared" si="93"/>
        <v>Alto risco</v>
      </c>
      <c r="V980">
        <v>0</v>
      </c>
      <c r="W980">
        <v>33</v>
      </c>
      <c r="X980" s="2">
        <v>140.88</v>
      </c>
      <c r="Y980">
        <v>8</v>
      </c>
      <c r="Z980" t="s">
        <v>35</v>
      </c>
    </row>
    <row r="981" spans="1:26">
      <c r="A981" t="s">
        <v>1572</v>
      </c>
      <c r="B981" t="s">
        <v>373</v>
      </c>
      <c r="C981" t="s">
        <v>102</v>
      </c>
      <c r="D981" t="s">
        <v>103</v>
      </c>
      <c r="E981">
        <v>58</v>
      </c>
      <c r="F981" t="s">
        <v>30</v>
      </c>
      <c r="G981" t="s">
        <v>96</v>
      </c>
      <c r="H981" t="s">
        <v>86</v>
      </c>
      <c r="I981" t="e">
        <f ca="1">_xludf.XLOOKUP(H981,Base_Planos!$A:$A,Base_Planos!$B:$B,"Não encontrado")</f>
        <v>#NAME?</v>
      </c>
      <c r="J981" s="2">
        <f>VLOOKUP(H981,Base_Planos!$A:$G,4,FALSE)</f>
        <v>119.9</v>
      </c>
      <c r="K981" s="4">
        <v>45927</v>
      </c>
      <c r="L981" t="s">
        <v>189</v>
      </c>
      <c r="M981" t="s">
        <v>34</v>
      </c>
      <c r="N981" s="4">
        <v>46131</v>
      </c>
      <c r="O981" s="10">
        <f t="shared" ca="1" si="94"/>
        <v>204</v>
      </c>
      <c r="P981" s="10" t="str">
        <f t="shared" ca="1" si="91"/>
        <v>181 a 365 dias</v>
      </c>
      <c r="Q981">
        <f t="shared" si="90"/>
        <v>1</v>
      </c>
      <c r="R981">
        <v>1</v>
      </c>
      <c r="S981" s="11">
        <f t="shared" si="95"/>
        <v>119.9</v>
      </c>
      <c r="T981" s="11" t="str">
        <f t="shared" si="92"/>
        <v>Detrator</v>
      </c>
      <c r="U981" s="11" t="str">
        <f t="shared" si="93"/>
        <v>Alto risco</v>
      </c>
      <c r="V981">
        <v>3</v>
      </c>
      <c r="W981">
        <v>79</v>
      </c>
      <c r="X981" s="2">
        <v>118.58</v>
      </c>
      <c r="Y981">
        <v>6</v>
      </c>
      <c r="Z981" t="s">
        <v>45</v>
      </c>
    </row>
    <row r="982" spans="1:26">
      <c r="A982" t="s">
        <v>1573</v>
      </c>
      <c r="B982" t="s">
        <v>1574</v>
      </c>
      <c r="C982" t="s">
        <v>140</v>
      </c>
      <c r="D982" t="s">
        <v>141</v>
      </c>
      <c r="E982">
        <v>36</v>
      </c>
      <c r="F982" t="s">
        <v>66</v>
      </c>
      <c r="G982" t="s">
        <v>73</v>
      </c>
      <c r="H982" t="s">
        <v>32</v>
      </c>
      <c r="I982" t="e">
        <f ca="1">_xludf.XLOOKUP(H982,Base_Planos!$A:$A,Base_Planos!$B:$B,"Não encontrado")</f>
        <v>#NAME?</v>
      </c>
      <c r="J982" s="2">
        <f>VLOOKUP(H982,Base_Planos!$A:$G,4,FALSE)</f>
        <v>39.9</v>
      </c>
      <c r="K982" s="4">
        <v>45171</v>
      </c>
      <c r="L982" t="s">
        <v>105</v>
      </c>
      <c r="M982" t="s">
        <v>44</v>
      </c>
      <c r="N982" s="4"/>
      <c r="O982" s="10">
        <f t="shared" ca="1" si="94"/>
        <v>998</v>
      </c>
      <c r="P982" s="10" t="str">
        <f t="shared" ca="1" si="91"/>
        <v>Mais de 1 ano</v>
      </c>
      <c r="Q982">
        <f t="shared" ref="Q982:Q1001" si="96">IF(M759="Cancelado",1,0)</f>
        <v>1</v>
      </c>
      <c r="R982">
        <v>6</v>
      </c>
      <c r="S982" s="11">
        <f t="shared" si="95"/>
        <v>39.9</v>
      </c>
      <c r="T982" s="11" t="str">
        <f t="shared" si="92"/>
        <v>Detrator</v>
      </c>
      <c r="U982" s="11" t="str">
        <f t="shared" si="93"/>
        <v>Alto risco</v>
      </c>
      <c r="V982">
        <v>3</v>
      </c>
      <c r="W982">
        <v>4</v>
      </c>
      <c r="X982" s="2">
        <v>37.89</v>
      </c>
      <c r="Y982">
        <v>33</v>
      </c>
      <c r="Z982" t="s">
        <v>45</v>
      </c>
    </row>
    <row r="983" spans="1:26">
      <c r="A983" t="s">
        <v>1575</v>
      </c>
      <c r="B983" t="s">
        <v>76</v>
      </c>
      <c r="C983" t="s">
        <v>28</v>
      </c>
      <c r="D983" t="s">
        <v>29</v>
      </c>
      <c r="E983">
        <v>48</v>
      </c>
      <c r="F983" t="s">
        <v>54</v>
      </c>
      <c r="G983" t="s">
        <v>55</v>
      </c>
      <c r="H983" t="s">
        <v>42</v>
      </c>
      <c r="I983" t="e">
        <f ca="1">_xludf.XLOOKUP(H983,Base_Planos!$A:$A,Base_Planos!$B:$B,"Não encontrado")</f>
        <v>#NAME?</v>
      </c>
      <c r="J983" s="2">
        <f>VLOOKUP(H983,Base_Planos!$A:$G,4,FALSE)</f>
        <v>29.9</v>
      </c>
      <c r="K983" s="4">
        <v>45721</v>
      </c>
      <c r="L983" t="s">
        <v>454</v>
      </c>
      <c r="M983" t="s">
        <v>44</v>
      </c>
      <c r="N983" s="4"/>
      <c r="O983" s="10">
        <f t="shared" ca="1" si="94"/>
        <v>448</v>
      </c>
      <c r="P983" s="10" t="str">
        <f t="shared" ca="1" si="91"/>
        <v>Mais de 1 ano</v>
      </c>
      <c r="Q983">
        <f t="shared" si="96"/>
        <v>0</v>
      </c>
      <c r="R983">
        <v>2</v>
      </c>
      <c r="S983" s="11">
        <f t="shared" si="95"/>
        <v>0</v>
      </c>
      <c r="T983" s="11" t="str">
        <f t="shared" si="92"/>
        <v>Detrator</v>
      </c>
      <c r="U983" s="11" t="str">
        <f t="shared" si="93"/>
        <v>Alto risco</v>
      </c>
      <c r="V983">
        <v>0</v>
      </c>
      <c r="W983">
        <v>78</v>
      </c>
      <c r="X983" s="2">
        <v>27.63</v>
      </c>
      <c r="Y983">
        <v>14</v>
      </c>
      <c r="Z983" t="s">
        <v>45</v>
      </c>
    </row>
    <row r="984" spans="1:26">
      <c r="A984" t="s">
        <v>1576</v>
      </c>
      <c r="B984" t="s">
        <v>442</v>
      </c>
      <c r="C984" t="s">
        <v>77</v>
      </c>
      <c r="D984" t="s">
        <v>78</v>
      </c>
      <c r="E984">
        <v>56</v>
      </c>
      <c r="F984" t="s">
        <v>40</v>
      </c>
      <c r="G984" t="s">
        <v>31</v>
      </c>
      <c r="H984" t="s">
        <v>82</v>
      </c>
      <c r="I984" t="e">
        <f ca="1">_xludf.XLOOKUP(H984,Base_Planos!$A:$A,Base_Planos!$B:$B,"Não encontrado")</f>
        <v>#NAME?</v>
      </c>
      <c r="J984" s="2">
        <f>VLOOKUP(H984,Base_Planos!$A:$G,4,FALSE)</f>
        <v>149.9</v>
      </c>
      <c r="K984" s="4">
        <v>45578</v>
      </c>
      <c r="L984" t="s">
        <v>123</v>
      </c>
      <c r="M984" t="s">
        <v>44</v>
      </c>
      <c r="N984" s="4"/>
      <c r="O984" s="10">
        <f t="shared" ca="1" si="94"/>
        <v>591</v>
      </c>
      <c r="P984" s="10" t="str">
        <f t="shared" ca="1" si="91"/>
        <v>Mais de 1 ano</v>
      </c>
      <c r="Q984">
        <f t="shared" si="96"/>
        <v>1</v>
      </c>
      <c r="R984">
        <v>0</v>
      </c>
      <c r="S984" s="11">
        <f t="shared" si="95"/>
        <v>149.9</v>
      </c>
      <c r="T984" s="11" t="str">
        <f t="shared" si="92"/>
        <v>Detrator</v>
      </c>
      <c r="U984" s="11" t="str">
        <f t="shared" si="93"/>
        <v>Alto risco</v>
      </c>
      <c r="V984">
        <v>0</v>
      </c>
      <c r="W984">
        <v>28</v>
      </c>
      <c r="X984" s="2">
        <v>155.05000000000001</v>
      </c>
      <c r="Y984">
        <v>19</v>
      </c>
      <c r="Z984" t="s">
        <v>35</v>
      </c>
    </row>
    <row r="985" spans="1:26">
      <c r="A985" t="s">
        <v>1577</v>
      </c>
      <c r="B985" t="s">
        <v>1270</v>
      </c>
      <c r="C985" t="s">
        <v>59</v>
      </c>
      <c r="D985" t="s">
        <v>60</v>
      </c>
      <c r="E985">
        <v>59</v>
      </c>
      <c r="F985" t="s">
        <v>30</v>
      </c>
      <c r="G985" t="s">
        <v>41</v>
      </c>
      <c r="H985" t="s">
        <v>32</v>
      </c>
      <c r="I985" t="e">
        <f ca="1">_xludf.XLOOKUP(H985,Base_Planos!$A:$A,Base_Planos!$B:$B,"Não encontrado")</f>
        <v>#NAME?</v>
      </c>
      <c r="J985" s="2">
        <f>VLOOKUP(H985,Base_Planos!$A:$G,4,FALSE)</f>
        <v>39.9</v>
      </c>
      <c r="K985" s="4">
        <v>45524</v>
      </c>
      <c r="L985" t="s">
        <v>156</v>
      </c>
      <c r="M985" t="s">
        <v>44</v>
      </c>
      <c r="N985" s="4"/>
      <c r="O985" s="10">
        <f t="shared" ca="1" si="94"/>
        <v>645</v>
      </c>
      <c r="P985" s="10" t="str">
        <f t="shared" ca="1" si="91"/>
        <v>Mais de 1 ano</v>
      </c>
      <c r="Q985">
        <f t="shared" si="96"/>
        <v>1</v>
      </c>
      <c r="R985">
        <v>8</v>
      </c>
      <c r="S985" s="11">
        <f t="shared" si="95"/>
        <v>39.9</v>
      </c>
      <c r="T985" s="11" t="str">
        <f t="shared" si="92"/>
        <v>Neutro</v>
      </c>
      <c r="U985" s="11" t="str">
        <f t="shared" si="93"/>
        <v>Alto risco</v>
      </c>
      <c r="V985">
        <v>0</v>
      </c>
      <c r="W985">
        <v>63</v>
      </c>
      <c r="X985" s="2">
        <v>37.42</v>
      </c>
      <c r="Y985">
        <v>21</v>
      </c>
      <c r="Z985" t="s">
        <v>50</v>
      </c>
    </row>
    <row r="986" spans="1:26">
      <c r="A986" t="s">
        <v>1578</v>
      </c>
      <c r="B986" t="s">
        <v>238</v>
      </c>
      <c r="C986" t="s">
        <v>102</v>
      </c>
      <c r="D986" t="s">
        <v>103</v>
      </c>
      <c r="E986">
        <v>33</v>
      </c>
      <c r="F986" t="s">
        <v>40</v>
      </c>
      <c r="G986" t="s">
        <v>73</v>
      </c>
      <c r="H986" t="s">
        <v>61</v>
      </c>
      <c r="I986" t="e">
        <f ca="1">_xludf.XLOOKUP(H986,Base_Planos!$A:$A,Base_Planos!$B:$B,"Não encontrado")</f>
        <v>#NAME?</v>
      </c>
      <c r="J986" s="2">
        <f>VLOOKUP(H986,Base_Planos!$A:$G,4,FALSE)</f>
        <v>59.9</v>
      </c>
      <c r="K986" s="4">
        <v>45220</v>
      </c>
      <c r="L986" t="s">
        <v>215</v>
      </c>
      <c r="M986" t="s">
        <v>44</v>
      </c>
      <c r="N986" s="4"/>
      <c r="O986" s="10">
        <f t="shared" ca="1" si="94"/>
        <v>949</v>
      </c>
      <c r="P986" s="10" t="str">
        <f t="shared" ca="1" si="91"/>
        <v>Mais de 1 ano</v>
      </c>
      <c r="Q986">
        <f t="shared" si="96"/>
        <v>0</v>
      </c>
      <c r="R986">
        <v>8</v>
      </c>
      <c r="S986" s="11">
        <f t="shared" si="95"/>
        <v>0</v>
      </c>
      <c r="T986" s="11" t="str">
        <f t="shared" si="92"/>
        <v>Neutro</v>
      </c>
      <c r="U986" s="11" t="str">
        <f t="shared" si="93"/>
        <v>Médio risco</v>
      </c>
      <c r="V986">
        <v>1</v>
      </c>
      <c r="W986">
        <v>54</v>
      </c>
      <c r="X986" s="2">
        <v>57.32</v>
      </c>
      <c r="Y986">
        <v>31</v>
      </c>
      <c r="Z986" t="s">
        <v>50</v>
      </c>
    </row>
    <row r="987" spans="1:26">
      <c r="A987" t="s">
        <v>1579</v>
      </c>
      <c r="B987" t="s">
        <v>1580</v>
      </c>
      <c r="C987" t="s">
        <v>137</v>
      </c>
      <c r="D987" t="s">
        <v>29</v>
      </c>
      <c r="E987">
        <v>38</v>
      </c>
      <c r="F987" t="s">
        <v>54</v>
      </c>
      <c r="G987" t="s">
        <v>96</v>
      </c>
      <c r="H987" t="s">
        <v>86</v>
      </c>
      <c r="I987" t="e">
        <f ca="1">_xludf.XLOOKUP(H987,Base_Planos!$A:$A,Base_Planos!$B:$B,"Não encontrado")</f>
        <v>#NAME?</v>
      </c>
      <c r="J987" s="2">
        <f>VLOOKUP(H987,Base_Planos!$A:$G,4,FALSE)</f>
        <v>119.9</v>
      </c>
      <c r="K987" s="4">
        <v>45405</v>
      </c>
      <c r="L987" t="s">
        <v>56</v>
      </c>
      <c r="M987" t="s">
        <v>44</v>
      </c>
      <c r="N987" s="4"/>
      <c r="O987" s="10">
        <f t="shared" ca="1" si="94"/>
        <v>764</v>
      </c>
      <c r="P987" s="10" t="str">
        <f t="shared" ca="1" si="91"/>
        <v>Mais de 1 ano</v>
      </c>
      <c r="Q987">
        <f t="shared" si="96"/>
        <v>1</v>
      </c>
      <c r="R987">
        <v>0</v>
      </c>
      <c r="S987" s="11">
        <f t="shared" si="95"/>
        <v>119.9</v>
      </c>
      <c r="T987" s="11" t="str">
        <f t="shared" si="92"/>
        <v>Detrator</v>
      </c>
      <c r="U987" s="11" t="str">
        <f t="shared" si="93"/>
        <v>Alto risco</v>
      </c>
      <c r="V987">
        <v>2</v>
      </c>
      <c r="W987">
        <v>81</v>
      </c>
      <c r="X987" s="2">
        <v>104.78</v>
      </c>
      <c r="Y987">
        <v>25</v>
      </c>
      <c r="Z987" t="s">
        <v>35</v>
      </c>
    </row>
    <row r="988" spans="1:26">
      <c r="A988" t="s">
        <v>1581</v>
      </c>
      <c r="B988" t="s">
        <v>684</v>
      </c>
      <c r="C988" t="s">
        <v>90</v>
      </c>
      <c r="D988" t="s">
        <v>29</v>
      </c>
      <c r="E988">
        <v>52</v>
      </c>
      <c r="F988" t="s">
        <v>30</v>
      </c>
      <c r="G988" t="s">
        <v>104</v>
      </c>
      <c r="H988" t="s">
        <v>86</v>
      </c>
      <c r="I988" t="e">
        <f ca="1">_xludf.XLOOKUP(H988,Base_Planos!$A:$A,Base_Planos!$B:$B,"Não encontrado")</f>
        <v>#NAME?</v>
      </c>
      <c r="J988" s="2">
        <f>VLOOKUP(H988,Base_Planos!$A:$G,4,FALSE)</f>
        <v>119.9</v>
      </c>
      <c r="K988" s="4">
        <v>45717</v>
      </c>
      <c r="L988" t="s">
        <v>454</v>
      </c>
      <c r="M988" t="s">
        <v>34</v>
      </c>
      <c r="N988" s="4">
        <v>45998</v>
      </c>
      <c r="O988" s="10">
        <f t="shared" ca="1" si="94"/>
        <v>281</v>
      </c>
      <c r="P988" s="10" t="str">
        <f t="shared" ca="1" si="91"/>
        <v>181 a 365 dias</v>
      </c>
      <c r="Q988">
        <f t="shared" si="96"/>
        <v>0</v>
      </c>
      <c r="R988">
        <v>4</v>
      </c>
      <c r="S988" s="11">
        <f t="shared" si="95"/>
        <v>0</v>
      </c>
      <c r="T988" s="11" t="str">
        <f t="shared" si="92"/>
        <v>Detrator</v>
      </c>
      <c r="U988" s="11" t="str">
        <f t="shared" si="93"/>
        <v>Alto risco</v>
      </c>
      <c r="V988">
        <v>3</v>
      </c>
      <c r="W988">
        <v>31</v>
      </c>
      <c r="X988" s="2">
        <v>110.19</v>
      </c>
      <c r="Y988">
        <v>9</v>
      </c>
      <c r="Z988" t="s">
        <v>45</v>
      </c>
    </row>
    <row r="989" spans="1:26">
      <c r="A989" t="s">
        <v>1582</v>
      </c>
      <c r="B989" t="s">
        <v>737</v>
      </c>
      <c r="C989" t="s">
        <v>77</v>
      </c>
      <c r="D989" t="s">
        <v>78</v>
      </c>
      <c r="E989">
        <v>27</v>
      </c>
      <c r="F989" t="s">
        <v>54</v>
      </c>
      <c r="G989" t="s">
        <v>165</v>
      </c>
      <c r="H989" t="s">
        <v>42</v>
      </c>
      <c r="I989" t="e">
        <f ca="1">_xludf.XLOOKUP(H989,Base_Planos!$A:$A,Base_Planos!$B:$B,"Não encontrado")</f>
        <v>#NAME?</v>
      </c>
      <c r="J989" s="2">
        <f>VLOOKUP(H989,Base_Planos!$A:$G,4,FALSE)</f>
        <v>29.9</v>
      </c>
      <c r="K989" s="4">
        <v>45514</v>
      </c>
      <c r="L989" t="s">
        <v>156</v>
      </c>
      <c r="M989" t="s">
        <v>34</v>
      </c>
      <c r="N989" s="4">
        <v>45708</v>
      </c>
      <c r="O989" s="10">
        <f t="shared" ca="1" si="94"/>
        <v>194</v>
      </c>
      <c r="P989" s="10" t="str">
        <f t="shared" ca="1" si="91"/>
        <v>181 a 365 dias</v>
      </c>
      <c r="Q989">
        <f t="shared" si="96"/>
        <v>0</v>
      </c>
      <c r="R989">
        <v>10</v>
      </c>
      <c r="S989" s="11">
        <f t="shared" si="95"/>
        <v>0</v>
      </c>
      <c r="T989" s="11" t="str">
        <f t="shared" si="92"/>
        <v>Promotor</v>
      </c>
      <c r="U989" s="11" t="str">
        <f t="shared" si="93"/>
        <v>Baixo risco</v>
      </c>
      <c r="V989">
        <v>0</v>
      </c>
      <c r="W989">
        <v>0</v>
      </c>
      <c r="X989" s="2">
        <v>25.54</v>
      </c>
      <c r="Y989">
        <v>6</v>
      </c>
      <c r="Z989" t="s">
        <v>35</v>
      </c>
    </row>
    <row r="990" spans="1:26">
      <c r="A990" t="s">
        <v>1583</v>
      </c>
      <c r="B990" t="s">
        <v>629</v>
      </c>
      <c r="C990" t="s">
        <v>94</v>
      </c>
      <c r="D990" t="s">
        <v>95</v>
      </c>
      <c r="E990">
        <v>20</v>
      </c>
      <c r="F990" t="s">
        <v>54</v>
      </c>
      <c r="G990" t="s">
        <v>31</v>
      </c>
      <c r="H990" t="s">
        <v>166</v>
      </c>
      <c r="I990" t="e">
        <f ca="1">_xludf.XLOOKUP(H990,Base_Planos!$A:$A,Base_Planos!$B:$B,"Não encontrado")</f>
        <v>#NAME?</v>
      </c>
      <c r="J990" s="2">
        <f>VLOOKUP(H990,Base_Planos!$A:$G,4,FALSE)</f>
        <v>399.9</v>
      </c>
      <c r="K990" s="4">
        <v>45183</v>
      </c>
      <c r="L990" t="s">
        <v>105</v>
      </c>
      <c r="M990" t="s">
        <v>44</v>
      </c>
      <c r="N990" s="4"/>
      <c r="O990" s="10">
        <f t="shared" ca="1" si="94"/>
        <v>986</v>
      </c>
      <c r="P990" s="10" t="str">
        <f t="shared" ca="1" si="91"/>
        <v>Mais de 1 ano</v>
      </c>
      <c r="Q990">
        <f t="shared" si="96"/>
        <v>0</v>
      </c>
      <c r="R990">
        <v>10</v>
      </c>
      <c r="S990" s="11">
        <f t="shared" si="95"/>
        <v>0</v>
      </c>
      <c r="T990" s="11" t="str">
        <f t="shared" si="92"/>
        <v>Promotor</v>
      </c>
      <c r="U990" s="11" t="str">
        <f t="shared" si="93"/>
        <v>Baixo risco</v>
      </c>
      <c r="V990">
        <v>0</v>
      </c>
      <c r="W990">
        <v>100</v>
      </c>
      <c r="X990" s="2">
        <v>398.58</v>
      </c>
      <c r="Y990">
        <v>32</v>
      </c>
      <c r="Z990" t="s">
        <v>50</v>
      </c>
    </row>
    <row r="991" spans="1:26">
      <c r="A991" t="s">
        <v>1584</v>
      </c>
      <c r="B991" t="s">
        <v>1167</v>
      </c>
      <c r="C991" t="s">
        <v>77</v>
      </c>
      <c r="D991" t="s">
        <v>78</v>
      </c>
      <c r="E991">
        <v>41</v>
      </c>
      <c r="F991" t="s">
        <v>30</v>
      </c>
      <c r="G991" t="s">
        <v>41</v>
      </c>
      <c r="H991" t="s">
        <v>32</v>
      </c>
      <c r="I991" t="e">
        <f ca="1">_xludf.XLOOKUP(H991,Base_Planos!$A:$A,Base_Planos!$B:$B,"Não encontrado")</f>
        <v>#NAME?</v>
      </c>
      <c r="J991" s="2">
        <f>VLOOKUP(H991,Base_Planos!$A:$G,4,FALSE)</f>
        <v>39.9</v>
      </c>
      <c r="K991" s="4">
        <v>46012</v>
      </c>
      <c r="L991" t="s">
        <v>170</v>
      </c>
      <c r="M991" t="s">
        <v>44</v>
      </c>
      <c r="N991" s="4"/>
      <c r="O991" s="10">
        <f t="shared" ca="1" si="94"/>
        <v>157</v>
      </c>
      <c r="P991" s="10" t="str">
        <f t="shared" ca="1" si="91"/>
        <v>91 a 180 dias</v>
      </c>
      <c r="Q991">
        <f t="shared" si="96"/>
        <v>0</v>
      </c>
      <c r="R991">
        <v>3</v>
      </c>
      <c r="S991" s="11">
        <f t="shared" si="95"/>
        <v>0</v>
      </c>
      <c r="T991" s="11" t="str">
        <f t="shared" si="92"/>
        <v>Detrator</v>
      </c>
      <c r="U991" s="11" t="str">
        <f t="shared" si="93"/>
        <v>Alto risco</v>
      </c>
      <c r="V991">
        <v>0</v>
      </c>
      <c r="W991">
        <v>100</v>
      </c>
      <c r="X991" s="2">
        <v>39.729999999999997</v>
      </c>
      <c r="Y991">
        <v>5</v>
      </c>
      <c r="Z991" t="s">
        <v>35</v>
      </c>
    </row>
    <row r="992" spans="1:26">
      <c r="A992" t="s">
        <v>1585</v>
      </c>
      <c r="B992" t="s">
        <v>889</v>
      </c>
      <c r="C992" t="s">
        <v>108</v>
      </c>
      <c r="D992" t="s">
        <v>109</v>
      </c>
      <c r="E992">
        <v>47</v>
      </c>
      <c r="F992" t="s">
        <v>54</v>
      </c>
      <c r="G992" t="s">
        <v>41</v>
      </c>
      <c r="H992" t="s">
        <v>112</v>
      </c>
      <c r="I992" t="e">
        <f ca="1">_xludf.XLOOKUP(H992,Base_Planos!$A:$A,Base_Planos!$B:$B,"Não encontrado")</f>
        <v>#NAME?</v>
      </c>
      <c r="J992" s="2">
        <f>VLOOKUP(H992,Base_Planos!$A:$G,4,FALSE)</f>
        <v>79.900000000000006</v>
      </c>
      <c r="K992" s="4">
        <v>45555</v>
      </c>
      <c r="L992" t="s">
        <v>91</v>
      </c>
      <c r="M992" t="s">
        <v>44</v>
      </c>
      <c r="N992" s="4"/>
      <c r="O992" s="10">
        <f t="shared" ca="1" si="94"/>
        <v>614</v>
      </c>
      <c r="P992" s="10" t="str">
        <f t="shared" ca="1" si="91"/>
        <v>Mais de 1 ano</v>
      </c>
      <c r="Q992">
        <f t="shared" si="96"/>
        <v>1</v>
      </c>
      <c r="R992">
        <v>3</v>
      </c>
      <c r="S992" s="11">
        <f t="shared" si="95"/>
        <v>79.900000000000006</v>
      </c>
      <c r="T992" s="11" t="str">
        <f t="shared" si="92"/>
        <v>Detrator</v>
      </c>
      <c r="U992" s="11" t="str">
        <f t="shared" si="93"/>
        <v>Alto risco</v>
      </c>
      <c r="V992">
        <v>0</v>
      </c>
      <c r="W992">
        <v>76</v>
      </c>
      <c r="X992" s="2">
        <v>82.37</v>
      </c>
      <c r="Y992">
        <v>20</v>
      </c>
      <c r="Z992" t="s">
        <v>35</v>
      </c>
    </row>
    <row r="993" spans="1:26">
      <c r="A993" t="s">
        <v>1586</v>
      </c>
      <c r="B993" t="s">
        <v>1587</v>
      </c>
      <c r="C993" t="s">
        <v>71</v>
      </c>
      <c r="D993" t="s">
        <v>72</v>
      </c>
      <c r="E993">
        <v>21</v>
      </c>
      <c r="F993" t="s">
        <v>30</v>
      </c>
      <c r="G993" t="s">
        <v>165</v>
      </c>
      <c r="H993" t="s">
        <v>61</v>
      </c>
      <c r="I993" t="e">
        <f ca="1">_xludf.XLOOKUP(H993,Base_Planos!$A:$A,Base_Planos!$B:$B,"Não encontrado")</f>
        <v>#NAME?</v>
      </c>
      <c r="J993" s="2">
        <f>VLOOKUP(H993,Base_Planos!$A:$G,4,FALSE)</f>
        <v>59.9</v>
      </c>
      <c r="K993" s="4">
        <v>45247</v>
      </c>
      <c r="L993" t="s">
        <v>79</v>
      </c>
      <c r="M993" t="s">
        <v>44</v>
      </c>
      <c r="N993" s="4"/>
      <c r="O993" s="10">
        <f t="shared" ca="1" si="94"/>
        <v>922</v>
      </c>
      <c r="P993" s="10" t="str">
        <f t="shared" ca="1" si="91"/>
        <v>Mais de 1 ano</v>
      </c>
      <c r="Q993">
        <f t="shared" si="96"/>
        <v>0</v>
      </c>
      <c r="R993">
        <v>10</v>
      </c>
      <c r="S993" s="11">
        <f t="shared" si="95"/>
        <v>0</v>
      </c>
      <c r="T993" s="11" t="str">
        <f t="shared" si="92"/>
        <v>Promotor</v>
      </c>
      <c r="U993" s="11" t="str">
        <f t="shared" si="93"/>
        <v>Baixo risco</v>
      </c>
      <c r="V993">
        <v>0</v>
      </c>
      <c r="W993">
        <v>79</v>
      </c>
      <c r="X993" s="2">
        <v>59.23</v>
      </c>
      <c r="Y993">
        <v>30</v>
      </c>
      <c r="Z993" t="s">
        <v>50</v>
      </c>
    </row>
    <row r="994" spans="1:26">
      <c r="A994" t="s">
        <v>1588</v>
      </c>
      <c r="B994" t="s">
        <v>552</v>
      </c>
      <c r="C994" t="s">
        <v>65</v>
      </c>
      <c r="D994" t="s">
        <v>29</v>
      </c>
      <c r="E994">
        <v>29</v>
      </c>
      <c r="F994" t="s">
        <v>30</v>
      </c>
      <c r="G994" t="s">
        <v>96</v>
      </c>
      <c r="H994" t="s">
        <v>61</v>
      </c>
      <c r="I994" t="e">
        <f ca="1">_xludf.XLOOKUP(H994,Base_Planos!$A:$A,Base_Planos!$B:$B,"Não encontrado")</f>
        <v>#NAME?</v>
      </c>
      <c r="J994" s="2">
        <f>VLOOKUP(H994,Base_Planos!$A:$G,4,FALSE)</f>
        <v>59.9</v>
      </c>
      <c r="K994" s="4">
        <v>46104</v>
      </c>
      <c r="L994" t="s">
        <v>292</v>
      </c>
      <c r="M994" t="s">
        <v>44</v>
      </c>
      <c r="N994" s="4"/>
      <c r="O994" s="10">
        <f t="shared" ca="1" si="94"/>
        <v>65</v>
      </c>
      <c r="P994" s="10" t="str">
        <f t="shared" ca="1" si="91"/>
        <v>31 a 90 dias</v>
      </c>
      <c r="Q994">
        <f t="shared" si="96"/>
        <v>0</v>
      </c>
      <c r="R994">
        <v>3</v>
      </c>
      <c r="S994" s="11">
        <f t="shared" si="95"/>
        <v>0</v>
      </c>
      <c r="T994" s="11" t="str">
        <f t="shared" si="92"/>
        <v>Detrator</v>
      </c>
      <c r="U994" s="11" t="str">
        <f t="shared" si="93"/>
        <v>Alto risco</v>
      </c>
      <c r="V994">
        <v>0</v>
      </c>
      <c r="W994">
        <v>76</v>
      </c>
      <c r="X994" s="2">
        <v>60.05</v>
      </c>
      <c r="Y994">
        <v>2</v>
      </c>
      <c r="Z994" t="s">
        <v>35</v>
      </c>
    </row>
    <row r="995" spans="1:26">
      <c r="A995" t="s">
        <v>1589</v>
      </c>
      <c r="B995" t="s">
        <v>379</v>
      </c>
      <c r="C995" t="s">
        <v>90</v>
      </c>
      <c r="D995" t="s">
        <v>29</v>
      </c>
      <c r="E995">
        <v>57</v>
      </c>
      <c r="F995" t="s">
        <v>54</v>
      </c>
      <c r="G995" t="s">
        <v>67</v>
      </c>
      <c r="H995" t="s">
        <v>61</v>
      </c>
      <c r="I995" t="e">
        <f ca="1">_xludf.XLOOKUP(H995,Base_Planos!$A:$A,Base_Planos!$B:$B,"Não encontrado")</f>
        <v>#NAME?</v>
      </c>
      <c r="J995" s="2">
        <f>VLOOKUP(H995,Base_Planos!$A:$G,4,FALSE)</f>
        <v>59.9</v>
      </c>
      <c r="K995" s="4">
        <v>45060</v>
      </c>
      <c r="L995" t="s">
        <v>115</v>
      </c>
      <c r="M995" t="s">
        <v>34</v>
      </c>
      <c r="N995" s="4">
        <v>45274</v>
      </c>
      <c r="O995" s="10">
        <f t="shared" ca="1" si="94"/>
        <v>214</v>
      </c>
      <c r="P995" s="10" t="str">
        <f t="shared" ca="1" si="91"/>
        <v>181 a 365 dias</v>
      </c>
      <c r="Q995">
        <f t="shared" si="96"/>
        <v>0</v>
      </c>
      <c r="R995">
        <v>1</v>
      </c>
      <c r="S995" s="11">
        <f t="shared" si="95"/>
        <v>0</v>
      </c>
      <c r="T995" s="11" t="str">
        <f t="shared" si="92"/>
        <v>Detrator</v>
      </c>
      <c r="U995" s="11" t="str">
        <f t="shared" si="93"/>
        <v>Alto risco</v>
      </c>
      <c r="V995">
        <v>2</v>
      </c>
      <c r="W995">
        <v>65</v>
      </c>
      <c r="X995" s="2">
        <v>61.72</v>
      </c>
      <c r="Y995">
        <v>7</v>
      </c>
      <c r="Z995" t="s">
        <v>45</v>
      </c>
    </row>
    <row r="996" spans="1:26">
      <c r="A996" t="s">
        <v>1590</v>
      </c>
      <c r="B996" t="s">
        <v>1591</v>
      </c>
      <c r="C996" t="s">
        <v>59</v>
      </c>
      <c r="D996" t="s">
        <v>60</v>
      </c>
      <c r="E996">
        <v>37</v>
      </c>
      <c r="F996" t="s">
        <v>66</v>
      </c>
      <c r="G996" t="s">
        <v>165</v>
      </c>
      <c r="H996" t="s">
        <v>61</v>
      </c>
      <c r="I996" t="e">
        <f ca="1">_xludf.XLOOKUP(H996,Base_Planos!$A:$A,Base_Planos!$B:$B,"Não encontrado")</f>
        <v>#NAME?</v>
      </c>
      <c r="J996" s="2">
        <f>VLOOKUP(H996,Base_Planos!$A:$G,4,FALSE)</f>
        <v>59.9</v>
      </c>
      <c r="K996" s="4">
        <v>45573</v>
      </c>
      <c r="L996" t="s">
        <v>123</v>
      </c>
      <c r="M996" t="s">
        <v>44</v>
      </c>
      <c r="N996" s="4"/>
      <c r="O996" s="10">
        <f t="shared" ca="1" si="94"/>
        <v>596</v>
      </c>
      <c r="P996" s="10" t="str">
        <f t="shared" ca="1" si="91"/>
        <v>Mais de 1 ano</v>
      </c>
      <c r="Q996">
        <f t="shared" si="96"/>
        <v>0</v>
      </c>
      <c r="R996">
        <v>9</v>
      </c>
      <c r="S996" s="11">
        <f t="shared" si="95"/>
        <v>0</v>
      </c>
      <c r="T996" s="11" t="str">
        <f t="shared" si="92"/>
        <v>Promotor</v>
      </c>
      <c r="U996" s="11" t="str">
        <f t="shared" si="93"/>
        <v>Baixo risco</v>
      </c>
      <c r="V996">
        <v>0</v>
      </c>
      <c r="W996">
        <v>39</v>
      </c>
      <c r="X996" s="2">
        <v>54.55</v>
      </c>
      <c r="Y996">
        <v>19</v>
      </c>
      <c r="Z996" t="s">
        <v>50</v>
      </c>
    </row>
    <row r="997" spans="1:26">
      <c r="A997" t="s">
        <v>1592</v>
      </c>
      <c r="B997" t="s">
        <v>1358</v>
      </c>
      <c r="C997" t="s">
        <v>94</v>
      </c>
      <c r="D997" t="s">
        <v>95</v>
      </c>
      <c r="E997">
        <v>27</v>
      </c>
      <c r="F997" t="s">
        <v>30</v>
      </c>
      <c r="G997" t="s">
        <v>55</v>
      </c>
      <c r="H997" t="s">
        <v>112</v>
      </c>
      <c r="I997" t="e">
        <f ca="1">_xludf.XLOOKUP(H997,Base_Planos!$A:$A,Base_Planos!$B:$B,"Não encontrado")</f>
        <v>#NAME?</v>
      </c>
      <c r="J997" s="2">
        <f>VLOOKUP(H997,Base_Planos!$A:$G,4,FALSE)</f>
        <v>79.900000000000006</v>
      </c>
      <c r="K997" s="4">
        <v>45766</v>
      </c>
      <c r="L997" t="s">
        <v>222</v>
      </c>
      <c r="M997" t="s">
        <v>34</v>
      </c>
      <c r="N997" s="4">
        <v>45923</v>
      </c>
      <c r="O997" s="10">
        <f t="shared" ca="1" si="94"/>
        <v>157</v>
      </c>
      <c r="P997" s="10" t="str">
        <f t="shared" ca="1" si="91"/>
        <v>91 a 180 dias</v>
      </c>
      <c r="Q997">
        <f t="shared" si="96"/>
        <v>0</v>
      </c>
      <c r="R997">
        <v>2</v>
      </c>
      <c r="S997" s="11">
        <f t="shared" si="95"/>
        <v>0</v>
      </c>
      <c r="T997" s="11" t="str">
        <f t="shared" si="92"/>
        <v>Detrator</v>
      </c>
      <c r="U997" s="11" t="str">
        <f t="shared" si="93"/>
        <v>Alto risco</v>
      </c>
      <c r="V997">
        <v>1</v>
      </c>
      <c r="W997">
        <v>42</v>
      </c>
      <c r="X997" s="2">
        <v>78.52</v>
      </c>
      <c r="Y997">
        <v>5</v>
      </c>
      <c r="Z997" t="s">
        <v>35</v>
      </c>
    </row>
    <row r="998" spans="1:26">
      <c r="A998" t="s">
        <v>1593</v>
      </c>
      <c r="B998" t="s">
        <v>417</v>
      </c>
      <c r="C998" t="s">
        <v>102</v>
      </c>
      <c r="D998" t="s">
        <v>103</v>
      </c>
      <c r="E998">
        <v>20</v>
      </c>
      <c r="F998" t="s">
        <v>30</v>
      </c>
      <c r="G998" t="s">
        <v>41</v>
      </c>
      <c r="H998" t="s">
        <v>112</v>
      </c>
      <c r="I998" t="e">
        <f ca="1">_xludf.XLOOKUP(H998,Base_Planos!$A:$A,Base_Planos!$B:$B,"Não encontrado")</f>
        <v>#NAME?</v>
      </c>
      <c r="J998" s="2">
        <f>VLOOKUP(H998,Base_Planos!$A:$G,4,FALSE)</f>
        <v>79.900000000000006</v>
      </c>
      <c r="K998" s="4">
        <v>45903</v>
      </c>
      <c r="L998" t="s">
        <v>189</v>
      </c>
      <c r="M998" t="s">
        <v>34</v>
      </c>
      <c r="N998" s="4">
        <v>46045</v>
      </c>
      <c r="O998" s="10">
        <f t="shared" ca="1" si="94"/>
        <v>142</v>
      </c>
      <c r="P998" s="10" t="str">
        <f t="shared" ca="1" si="91"/>
        <v>91 a 180 dias</v>
      </c>
      <c r="Q998">
        <f t="shared" si="96"/>
        <v>1</v>
      </c>
      <c r="R998">
        <v>2</v>
      </c>
      <c r="S998" s="11">
        <f t="shared" si="95"/>
        <v>79.900000000000006</v>
      </c>
      <c r="T998" s="11" t="str">
        <f t="shared" si="92"/>
        <v>Detrator</v>
      </c>
      <c r="U998" s="11" t="str">
        <f t="shared" si="93"/>
        <v>Alto risco</v>
      </c>
      <c r="V998">
        <v>4</v>
      </c>
      <c r="W998">
        <v>20</v>
      </c>
      <c r="X998" s="2">
        <v>70.819999999999993</v>
      </c>
      <c r="Y998">
        <v>4</v>
      </c>
      <c r="Z998" t="s">
        <v>45</v>
      </c>
    </row>
    <row r="999" spans="1:26">
      <c r="A999" t="s">
        <v>1594</v>
      </c>
      <c r="B999" t="s">
        <v>752</v>
      </c>
      <c r="C999" t="s">
        <v>77</v>
      </c>
      <c r="D999" t="s">
        <v>78</v>
      </c>
      <c r="E999">
        <v>60</v>
      </c>
      <c r="F999" t="s">
        <v>54</v>
      </c>
      <c r="G999" t="s">
        <v>165</v>
      </c>
      <c r="H999" t="s">
        <v>166</v>
      </c>
      <c r="I999" t="e">
        <f ca="1">_xludf.XLOOKUP(H999,Base_Planos!$A:$A,Base_Planos!$B:$B,"Não encontrado")</f>
        <v>#NAME?</v>
      </c>
      <c r="J999" s="2">
        <f>VLOOKUP(H999,Base_Planos!$A:$G,4,FALSE)</f>
        <v>399.9</v>
      </c>
      <c r="K999" s="4">
        <v>45684</v>
      </c>
      <c r="L999" t="s">
        <v>261</v>
      </c>
      <c r="M999" t="s">
        <v>44</v>
      </c>
      <c r="N999" s="4"/>
      <c r="O999" s="10">
        <f t="shared" ca="1" si="94"/>
        <v>485</v>
      </c>
      <c r="P999" s="10" t="str">
        <f t="shared" ca="1" si="91"/>
        <v>Mais de 1 ano</v>
      </c>
      <c r="Q999">
        <f t="shared" si="96"/>
        <v>0</v>
      </c>
      <c r="R999">
        <v>1</v>
      </c>
      <c r="S999" s="11">
        <f t="shared" si="95"/>
        <v>0</v>
      </c>
      <c r="T999" s="11" t="str">
        <f t="shared" si="92"/>
        <v>Detrator</v>
      </c>
      <c r="U999" s="11" t="str">
        <f t="shared" si="93"/>
        <v>Alto risco</v>
      </c>
      <c r="V999">
        <v>1</v>
      </c>
      <c r="W999">
        <v>92</v>
      </c>
      <c r="X999" s="2">
        <v>348.79</v>
      </c>
      <c r="Y999">
        <v>16</v>
      </c>
      <c r="Z999" t="s">
        <v>35</v>
      </c>
    </row>
    <row r="1000" spans="1:26">
      <c r="A1000" t="s">
        <v>1595</v>
      </c>
      <c r="B1000" t="s">
        <v>214</v>
      </c>
      <c r="C1000" t="s">
        <v>65</v>
      </c>
      <c r="D1000" t="s">
        <v>29</v>
      </c>
      <c r="E1000">
        <v>38</v>
      </c>
      <c r="F1000" t="s">
        <v>30</v>
      </c>
      <c r="G1000" t="s">
        <v>55</v>
      </c>
      <c r="H1000" t="s">
        <v>112</v>
      </c>
      <c r="I1000" t="e">
        <f ca="1">_xludf.XLOOKUP(H1000,Base_Planos!$A:$A,Base_Planos!$B:$B,"Não encontrado")</f>
        <v>#NAME?</v>
      </c>
      <c r="J1000" s="2">
        <f>VLOOKUP(H1000,Base_Planos!$A:$G,4,FALSE)</f>
        <v>79.900000000000006</v>
      </c>
      <c r="K1000" s="4">
        <v>45940</v>
      </c>
      <c r="L1000" t="s">
        <v>196</v>
      </c>
      <c r="M1000" t="s">
        <v>34</v>
      </c>
      <c r="N1000" s="4">
        <v>46034</v>
      </c>
      <c r="O1000" s="10">
        <f t="shared" ca="1" si="94"/>
        <v>94</v>
      </c>
      <c r="P1000" s="10" t="str">
        <f t="shared" ca="1" si="91"/>
        <v>91 a 180 dias</v>
      </c>
      <c r="Q1000">
        <f t="shared" si="96"/>
        <v>0</v>
      </c>
      <c r="R1000">
        <v>0</v>
      </c>
      <c r="S1000" s="11">
        <f t="shared" si="95"/>
        <v>0</v>
      </c>
      <c r="T1000" s="11" t="str">
        <f t="shared" si="92"/>
        <v>Detrator</v>
      </c>
      <c r="U1000" s="11" t="str">
        <f t="shared" si="93"/>
        <v>Alto risco</v>
      </c>
      <c r="V1000">
        <v>4</v>
      </c>
      <c r="W1000">
        <v>31</v>
      </c>
      <c r="X1000" s="2">
        <v>72.39</v>
      </c>
      <c r="Y1000">
        <v>3</v>
      </c>
      <c r="Z1000" t="s">
        <v>45</v>
      </c>
    </row>
    <row r="1001" spans="1:26">
      <c r="A1001" t="s">
        <v>1596</v>
      </c>
      <c r="B1001" t="s">
        <v>1211</v>
      </c>
      <c r="C1001" t="s">
        <v>77</v>
      </c>
      <c r="D1001" t="s">
        <v>78</v>
      </c>
      <c r="E1001">
        <v>38</v>
      </c>
      <c r="F1001" t="s">
        <v>66</v>
      </c>
      <c r="G1001" t="s">
        <v>67</v>
      </c>
      <c r="H1001" t="s">
        <v>61</v>
      </c>
      <c r="I1001" t="e">
        <f ca="1">_xludf.XLOOKUP(H1001,Base_Planos!$A:$A,Base_Planos!$B:$B,"Não encontrado")</f>
        <v>#NAME?</v>
      </c>
      <c r="J1001" s="2">
        <f>VLOOKUP(H1001,Base_Planos!$A:$G,4,FALSE)</f>
        <v>59.9</v>
      </c>
      <c r="K1001" s="4">
        <v>45554</v>
      </c>
      <c r="L1001" t="s">
        <v>91</v>
      </c>
      <c r="M1001" t="s">
        <v>44</v>
      </c>
      <c r="N1001" s="4"/>
      <c r="O1001" s="10">
        <f t="shared" ca="1" si="94"/>
        <v>615</v>
      </c>
      <c r="P1001" s="10" t="str">
        <f t="shared" ca="1" si="91"/>
        <v>Mais de 1 ano</v>
      </c>
      <c r="Q1001">
        <f t="shared" si="96"/>
        <v>0</v>
      </c>
      <c r="R1001">
        <v>4</v>
      </c>
      <c r="S1001" s="11">
        <f t="shared" si="95"/>
        <v>0</v>
      </c>
      <c r="T1001" s="11" t="str">
        <f t="shared" si="92"/>
        <v>Detrator</v>
      </c>
      <c r="U1001" s="11" t="str">
        <f t="shared" si="93"/>
        <v>Alto risco</v>
      </c>
      <c r="V1001">
        <v>0</v>
      </c>
      <c r="W1001">
        <v>66</v>
      </c>
      <c r="X1001" s="2">
        <v>60.02</v>
      </c>
      <c r="Y1001">
        <v>20</v>
      </c>
      <c r="Z1001" t="s">
        <v>35</v>
      </c>
    </row>
  </sheetData>
  <conditionalFormatting sqref="Z2:Z1001">
    <cfRule type="expression" dxfId="9" priority="1">
      <formula>Z2="Alto"</formula>
    </cfRule>
    <cfRule type="expression" dxfId="8" priority="2">
      <formula>Z2="Médio"</formula>
    </cfRule>
    <cfRule type="expression" dxfId="7" priority="3">
      <formula>Z2="Baixo"</formula>
    </cfRule>
  </conditionalFormatting>
  <conditionalFormatting sqref="M2:M1001">
    <cfRule type="expression" dxfId="6" priority="4">
      <formula>M2="Cancelado"</formula>
    </cfRule>
    <cfRule type="expression" dxfId="5" priority="5">
      <formula>M2="Ativo"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zoomScaleSheetLayoutView="100" workbookViewId="0"/>
  </sheetViews>
  <sheetFormatPr defaultRowHeight="15"/>
  <cols>
    <col min="1" max="1" width="10" customWidth="1"/>
    <col min="2" max="2" width="13.625" customWidth="1"/>
    <col min="3" max="3" width="10.875" customWidth="1"/>
    <col min="4" max="4" width="12.5" customWidth="1"/>
    <col min="5" max="5" width="15.75" customWidth="1"/>
    <col min="6" max="6" width="13.875" customWidth="1"/>
    <col min="7" max="7" width="16" customWidth="1"/>
  </cols>
  <sheetData>
    <row r="1" spans="1:7">
      <c r="A1" s="1" t="s">
        <v>7</v>
      </c>
      <c r="B1" s="1" t="s">
        <v>1597</v>
      </c>
      <c r="C1" s="1" t="s">
        <v>1598</v>
      </c>
      <c r="D1" s="1" t="s">
        <v>1599</v>
      </c>
      <c r="E1" s="1" t="s">
        <v>1600</v>
      </c>
      <c r="F1" s="1" t="s">
        <v>1601</v>
      </c>
      <c r="G1" s="1" t="s">
        <v>1602</v>
      </c>
    </row>
    <row r="2" spans="1:7">
      <c r="A2" t="s">
        <v>32</v>
      </c>
      <c r="B2" t="s">
        <v>1603</v>
      </c>
      <c r="C2" t="s">
        <v>1604</v>
      </c>
      <c r="D2" s="2">
        <v>39.9</v>
      </c>
      <c r="E2">
        <v>1</v>
      </c>
      <c r="F2" t="s">
        <v>1605</v>
      </c>
      <c r="G2">
        <v>1</v>
      </c>
    </row>
    <row r="3" spans="1:7">
      <c r="A3" t="s">
        <v>42</v>
      </c>
      <c r="B3" t="s">
        <v>1606</v>
      </c>
      <c r="C3" t="s">
        <v>1604</v>
      </c>
      <c r="D3" s="2">
        <v>29.9</v>
      </c>
      <c r="E3">
        <v>1</v>
      </c>
      <c r="F3" t="s">
        <v>1605</v>
      </c>
      <c r="G3">
        <v>12</v>
      </c>
    </row>
    <row r="4" spans="1:7">
      <c r="A4" t="s">
        <v>112</v>
      </c>
      <c r="B4" t="s">
        <v>1607</v>
      </c>
      <c r="C4" t="s">
        <v>1608</v>
      </c>
      <c r="D4" s="2">
        <v>79.900000000000006</v>
      </c>
      <c r="E4">
        <v>3</v>
      </c>
      <c r="F4" t="s">
        <v>1609</v>
      </c>
      <c r="G4">
        <v>1</v>
      </c>
    </row>
    <row r="5" spans="1:7">
      <c r="A5" t="s">
        <v>61</v>
      </c>
      <c r="B5" t="s">
        <v>1610</v>
      </c>
      <c r="C5" t="s">
        <v>1608</v>
      </c>
      <c r="D5" s="2">
        <v>59.9</v>
      </c>
      <c r="E5">
        <v>3</v>
      </c>
      <c r="F5" t="s">
        <v>1609</v>
      </c>
      <c r="G5">
        <v>12</v>
      </c>
    </row>
    <row r="6" spans="1:7">
      <c r="A6" t="s">
        <v>82</v>
      </c>
      <c r="B6" t="s">
        <v>1611</v>
      </c>
      <c r="C6" t="s">
        <v>1612</v>
      </c>
      <c r="D6" s="2">
        <v>149.9</v>
      </c>
      <c r="E6">
        <v>10</v>
      </c>
      <c r="F6" t="s">
        <v>1613</v>
      </c>
      <c r="G6">
        <v>1</v>
      </c>
    </row>
    <row r="7" spans="1:7">
      <c r="A7" t="s">
        <v>86</v>
      </c>
      <c r="B7" t="s">
        <v>1614</v>
      </c>
      <c r="C7" t="s">
        <v>1612</v>
      </c>
      <c r="D7" s="2">
        <v>119.9</v>
      </c>
      <c r="E7">
        <v>10</v>
      </c>
      <c r="F7" t="s">
        <v>1613</v>
      </c>
      <c r="G7">
        <v>12</v>
      </c>
    </row>
    <row r="8" spans="1:7">
      <c r="A8" t="s">
        <v>166</v>
      </c>
      <c r="B8" t="s">
        <v>201</v>
      </c>
      <c r="C8" t="s">
        <v>1615</v>
      </c>
      <c r="D8" s="2">
        <v>399.9</v>
      </c>
      <c r="E8">
        <v>50</v>
      </c>
      <c r="F8" t="s">
        <v>1616</v>
      </c>
      <c r="G8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1"/>
  <sheetViews>
    <sheetView zoomScaleNormal="100" zoomScaleSheetLayoutView="100" workbookViewId="0"/>
  </sheetViews>
  <sheetFormatPr defaultRowHeight="15"/>
  <cols>
    <col min="1" max="1" width="13" customWidth="1"/>
    <col min="2" max="2" width="11" customWidth="1"/>
    <col min="3" max="3" width="15.125" customWidth="1"/>
    <col min="4" max="4" width="13.875" customWidth="1"/>
    <col min="5" max="5" width="18.875" customWidth="1"/>
    <col min="6" max="6" width="22.25" customWidth="1"/>
    <col min="7" max="7" width="10.625" customWidth="1"/>
    <col min="8" max="8" width="26.375" customWidth="1"/>
  </cols>
  <sheetData>
    <row r="1" spans="1:8">
      <c r="A1" s="1" t="s">
        <v>1617</v>
      </c>
      <c r="B1" s="1" t="s">
        <v>0</v>
      </c>
      <c r="C1" s="1" t="s">
        <v>1618</v>
      </c>
      <c r="D1" s="1" t="s">
        <v>1619</v>
      </c>
      <c r="E1" s="1" t="s">
        <v>1620</v>
      </c>
      <c r="F1" s="1" t="s">
        <v>1621</v>
      </c>
      <c r="G1" s="1" t="s">
        <v>1622</v>
      </c>
      <c r="H1" s="1" t="s">
        <v>1623</v>
      </c>
    </row>
    <row r="2" spans="1:8">
      <c r="A2" t="s">
        <v>1624</v>
      </c>
      <c r="B2" t="s">
        <v>915</v>
      </c>
      <c r="C2" s="4">
        <v>45091</v>
      </c>
      <c r="D2" t="s">
        <v>1625</v>
      </c>
      <c r="E2" t="s">
        <v>1609</v>
      </c>
      <c r="F2" s="5">
        <v>1.1000000000000001</v>
      </c>
      <c r="G2" t="s">
        <v>1626</v>
      </c>
      <c r="H2">
        <v>3</v>
      </c>
    </row>
    <row r="3" spans="1:8">
      <c r="A3" t="s">
        <v>1627</v>
      </c>
      <c r="B3" t="s">
        <v>88</v>
      </c>
      <c r="C3" s="4">
        <v>46101</v>
      </c>
      <c r="D3" t="s">
        <v>1628</v>
      </c>
      <c r="E3" t="s">
        <v>1629</v>
      </c>
      <c r="F3" s="5">
        <v>1.8</v>
      </c>
      <c r="G3" t="s">
        <v>1630</v>
      </c>
      <c r="H3">
        <v>4</v>
      </c>
    </row>
    <row r="4" spans="1:8">
      <c r="A4" t="s">
        <v>1631</v>
      </c>
      <c r="B4" t="s">
        <v>171</v>
      </c>
      <c r="C4" s="4">
        <v>45480</v>
      </c>
      <c r="D4" t="s">
        <v>1632</v>
      </c>
      <c r="E4" t="s">
        <v>1633</v>
      </c>
      <c r="F4" s="5">
        <v>3.7</v>
      </c>
      <c r="G4" t="s">
        <v>1630</v>
      </c>
      <c r="H4">
        <v>4</v>
      </c>
    </row>
    <row r="5" spans="1:8">
      <c r="A5" t="s">
        <v>1634</v>
      </c>
      <c r="B5" t="s">
        <v>841</v>
      </c>
      <c r="C5" s="4">
        <v>45627</v>
      </c>
      <c r="D5" t="s">
        <v>1628</v>
      </c>
      <c r="E5" t="s">
        <v>1633</v>
      </c>
      <c r="F5" s="5">
        <v>10.199999999999999</v>
      </c>
      <c r="G5" t="s">
        <v>1630</v>
      </c>
      <c r="H5">
        <v>4</v>
      </c>
    </row>
    <row r="6" spans="1:8">
      <c r="A6" t="s">
        <v>1635</v>
      </c>
      <c r="B6" t="s">
        <v>645</v>
      </c>
      <c r="C6" s="4">
        <v>45473</v>
      </c>
      <c r="D6" t="s">
        <v>1628</v>
      </c>
      <c r="E6" t="s">
        <v>1629</v>
      </c>
      <c r="F6" s="5">
        <v>20.100000000000001</v>
      </c>
      <c r="G6" t="s">
        <v>1630</v>
      </c>
      <c r="H6">
        <v>3</v>
      </c>
    </row>
    <row r="7" spans="1:8">
      <c r="A7" t="s">
        <v>1636</v>
      </c>
      <c r="B7" t="s">
        <v>1460</v>
      </c>
      <c r="C7" s="4">
        <v>45969</v>
      </c>
      <c r="D7" t="s">
        <v>1637</v>
      </c>
      <c r="E7" t="s">
        <v>1609</v>
      </c>
      <c r="F7" s="5">
        <v>13.3</v>
      </c>
      <c r="G7" t="s">
        <v>1630</v>
      </c>
      <c r="H7">
        <v>1</v>
      </c>
    </row>
    <row r="8" spans="1:8">
      <c r="A8" t="s">
        <v>1638</v>
      </c>
      <c r="B8" t="s">
        <v>577</v>
      </c>
      <c r="C8" s="4">
        <v>45079</v>
      </c>
      <c r="D8" t="s">
        <v>1628</v>
      </c>
      <c r="E8" t="s">
        <v>1609</v>
      </c>
      <c r="F8" s="5">
        <v>1.3</v>
      </c>
      <c r="G8" t="s">
        <v>1630</v>
      </c>
      <c r="H8">
        <v>1</v>
      </c>
    </row>
    <row r="9" spans="1:8">
      <c r="A9" t="s">
        <v>1639</v>
      </c>
      <c r="B9" t="s">
        <v>1462</v>
      </c>
      <c r="C9" s="4">
        <v>45081</v>
      </c>
      <c r="D9" t="s">
        <v>1628</v>
      </c>
      <c r="E9" t="s">
        <v>1609</v>
      </c>
      <c r="F9" s="5">
        <v>10.7</v>
      </c>
      <c r="G9" t="s">
        <v>1630</v>
      </c>
      <c r="H9">
        <v>5</v>
      </c>
    </row>
    <row r="10" spans="1:8">
      <c r="A10" t="s">
        <v>1640</v>
      </c>
      <c r="B10" t="s">
        <v>249</v>
      </c>
      <c r="C10" s="4">
        <v>45246</v>
      </c>
      <c r="D10" t="s">
        <v>1641</v>
      </c>
      <c r="E10" t="s">
        <v>1629</v>
      </c>
      <c r="F10" s="5">
        <v>8</v>
      </c>
      <c r="G10" t="s">
        <v>1630</v>
      </c>
      <c r="H10">
        <v>1</v>
      </c>
    </row>
    <row r="11" spans="1:8">
      <c r="A11" t="s">
        <v>1642</v>
      </c>
      <c r="B11" t="s">
        <v>1135</v>
      </c>
      <c r="C11" s="4">
        <v>45176</v>
      </c>
      <c r="D11" t="s">
        <v>1628</v>
      </c>
      <c r="E11" t="s">
        <v>1605</v>
      </c>
      <c r="F11" s="5">
        <v>1.8</v>
      </c>
      <c r="G11" t="s">
        <v>1630</v>
      </c>
      <c r="H11">
        <v>1</v>
      </c>
    </row>
    <row r="12" spans="1:8">
      <c r="A12" t="s">
        <v>1643</v>
      </c>
      <c r="B12" t="s">
        <v>474</v>
      </c>
      <c r="C12" s="4">
        <v>45114</v>
      </c>
      <c r="D12" t="s">
        <v>1632</v>
      </c>
      <c r="E12" t="s">
        <v>1609</v>
      </c>
      <c r="F12" s="5">
        <v>0.2</v>
      </c>
      <c r="G12" t="s">
        <v>1630</v>
      </c>
      <c r="H12">
        <v>2</v>
      </c>
    </row>
    <row r="13" spans="1:8">
      <c r="A13" t="s">
        <v>1644</v>
      </c>
      <c r="B13" t="s">
        <v>519</v>
      </c>
      <c r="C13" s="4">
        <v>45029</v>
      </c>
      <c r="D13" t="s">
        <v>1632</v>
      </c>
      <c r="E13" t="s">
        <v>1629</v>
      </c>
      <c r="F13" s="5">
        <v>3.1</v>
      </c>
      <c r="G13" t="s">
        <v>1630</v>
      </c>
      <c r="H13">
        <v>4</v>
      </c>
    </row>
    <row r="14" spans="1:8">
      <c r="A14" t="s">
        <v>1645</v>
      </c>
      <c r="B14" t="s">
        <v>1408</v>
      </c>
      <c r="C14" s="4">
        <v>45331</v>
      </c>
      <c r="D14" t="s">
        <v>1632</v>
      </c>
      <c r="E14" t="s">
        <v>1629</v>
      </c>
      <c r="F14" s="5">
        <v>7.4</v>
      </c>
      <c r="G14" t="s">
        <v>1630</v>
      </c>
      <c r="H14">
        <v>3</v>
      </c>
    </row>
    <row r="15" spans="1:8">
      <c r="A15" t="s">
        <v>1646</v>
      </c>
      <c r="B15" t="s">
        <v>1298</v>
      </c>
      <c r="C15" s="4">
        <v>46139</v>
      </c>
      <c r="D15" t="s">
        <v>1637</v>
      </c>
      <c r="E15" t="s">
        <v>1609</v>
      </c>
      <c r="F15" s="5">
        <v>4.7</v>
      </c>
      <c r="G15" t="s">
        <v>1630</v>
      </c>
      <c r="H15">
        <v>1</v>
      </c>
    </row>
    <row r="16" spans="1:8">
      <c r="A16" t="s">
        <v>1647</v>
      </c>
      <c r="B16" t="s">
        <v>455</v>
      </c>
      <c r="C16" s="4">
        <v>45331</v>
      </c>
      <c r="D16" t="s">
        <v>1628</v>
      </c>
      <c r="E16" t="s">
        <v>1648</v>
      </c>
      <c r="F16" s="5">
        <v>6.9</v>
      </c>
      <c r="G16" t="s">
        <v>1630</v>
      </c>
      <c r="H16">
        <v>1</v>
      </c>
    </row>
    <row r="17" spans="1:8">
      <c r="A17" t="s">
        <v>1649</v>
      </c>
      <c r="B17" t="s">
        <v>1256</v>
      </c>
      <c r="C17" s="4">
        <v>45082</v>
      </c>
      <c r="D17" t="s">
        <v>1628</v>
      </c>
      <c r="E17" t="s">
        <v>1633</v>
      </c>
      <c r="F17" s="5">
        <v>11.3</v>
      </c>
      <c r="G17" t="s">
        <v>1630</v>
      </c>
      <c r="H17">
        <v>4</v>
      </c>
    </row>
    <row r="18" spans="1:8">
      <c r="A18" t="s">
        <v>1650</v>
      </c>
      <c r="B18" t="s">
        <v>1165</v>
      </c>
      <c r="C18" s="4">
        <v>46140</v>
      </c>
      <c r="D18" t="s">
        <v>1625</v>
      </c>
      <c r="E18" t="s">
        <v>1629</v>
      </c>
      <c r="F18" s="5">
        <v>5.7</v>
      </c>
      <c r="G18" t="s">
        <v>1630</v>
      </c>
      <c r="H18">
        <v>4</v>
      </c>
    </row>
    <row r="19" spans="1:8">
      <c r="A19" t="s">
        <v>1651</v>
      </c>
      <c r="B19" t="s">
        <v>593</v>
      </c>
      <c r="C19" s="4">
        <v>45633</v>
      </c>
      <c r="D19" t="s">
        <v>1632</v>
      </c>
      <c r="E19" t="s">
        <v>1648</v>
      </c>
      <c r="F19" s="5">
        <v>0.2</v>
      </c>
      <c r="G19" t="s">
        <v>1626</v>
      </c>
      <c r="H19">
        <v>3</v>
      </c>
    </row>
    <row r="20" spans="1:8">
      <c r="A20" t="s">
        <v>1652</v>
      </c>
      <c r="B20" t="s">
        <v>594</v>
      </c>
      <c r="C20" s="4">
        <v>45503</v>
      </c>
      <c r="D20" t="s">
        <v>1632</v>
      </c>
      <c r="E20" t="s">
        <v>1609</v>
      </c>
      <c r="F20" s="5">
        <v>0.5</v>
      </c>
      <c r="G20" t="s">
        <v>1630</v>
      </c>
      <c r="H20">
        <v>1</v>
      </c>
    </row>
    <row r="21" spans="1:8">
      <c r="A21" t="s">
        <v>1653</v>
      </c>
      <c r="B21" t="s">
        <v>1145</v>
      </c>
      <c r="C21" s="4">
        <v>45807</v>
      </c>
      <c r="D21" t="s">
        <v>1628</v>
      </c>
      <c r="E21" t="s">
        <v>1629</v>
      </c>
      <c r="F21" s="5">
        <v>0.2</v>
      </c>
      <c r="G21" t="s">
        <v>1630</v>
      </c>
      <c r="H21">
        <v>1</v>
      </c>
    </row>
    <row r="22" spans="1:8">
      <c r="A22" t="s">
        <v>1654</v>
      </c>
      <c r="B22" t="s">
        <v>708</v>
      </c>
      <c r="C22" s="4">
        <v>46131</v>
      </c>
      <c r="D22" t="s">
        <v>1655</v>
      </c>
      <c r="E22" t="s">
        <v>1633</v>
      </c>
      <c r="F22" s="5">
        <v>9.6</v>
      </c>
      <c r="G22" t="s">
        <v>1630</v>
      </c>
      <c r="H22">
        <v>1</v>
      </c>
    </row>
    <row r="23" spans="1:8">
      <c r="A23" t="s">
        <v>1656</v>
      </c>
      <c r="B23" t="s">
        <v>1067</v>
      </c>
      <c r="C23" s="4">
        <v>45464</v>
      </c>
      <c r="D23" t="s">
        <v>1632</v>
      </c>
      <c r="E23" t="s">
        <v>1633</v>
      </c>
      <c r="F23" s="5">
        <v>4.8</v>
      </c>
      <c r="G23" t="s">
        <v>1630</v>
      </c>
      <c r="H23">
        <v>4</v>
      </c>
    </row>
    <row r="24" spans="1:8">
      <c r="A24" t="s">
        <v>1657</v>
      </c>
      <c r="B24" t="s">
        <v>788</v>
      </c>
      <c r="C24" s="4">
        <v>45950</v>
      </c>
      <c r="D24" t="s">
        <v>1625</v>
      </c>
      <c r="E24" t="s">
        <v>1629</v>
      </c>
      <c r="F24" s="5">
        <v>3</v>
      </c>
      <c r="G24" t="s">
        <v>1626</v>
      </c>
      <c r="H24">
        <v>1</v>
      </c>
    </row>
    <row r="25" spans="1:8">
      <c r="A25" t="s">
        <v>1658</v>
      </c>
      <c r="B25" t="s">
        <v>551</v>
      </c>
      <c r="C25" s="4">
        <v>46129</v>
      </c>
      <c r="D25" t="s">
        <v>1628</v>
      </c>
      <c r="E25" t="s">
        <v>1633</v>
      </c>
      <c r="F25" s="5">
        <v>4.2</v>
      </c>
      <c r="G25" t="s">
        <v>1626</v>
      </c>
      <c r="H25">
        <v>2</v>
      </c>
    </row>
    <row r="26" spans="1:8">
      <c r="A26" t="s">
        <v>1659</v>
      </c>
      <c r="B26" t="s">
        <v>1537</v>
      </c>
      <c r="C26" s="4">
        <v>45752</v>
      </c>
      <c r="D26" t="s">
        <v>1641</v>
      </c>
      <c r="E26" t="s">
        <v>1629</v>
      </c>
      <c r="F26" s="5">
        <v>4.8</v>
      </c>
      <c r="G26" t="s">
        <v>1630</v>
      </c>
      <c r="H26">
        <v>4</v>
      </c>
    </row>
    <row r="27" spans="1:8">
      <c r="A27" t="s">
        <v>1660</v>
      </c>
      <c r="B27" t="s">
        <v>858</v>
      </c>
      <c r="C27" s="4">
        <v>44977</v>
      </c>
      <c r="D27" t="s">
        <v>1637</v>
      </c>
      <c r="E27" t="s">
        <v>1633</v>
      </c>
      <c r="F27" s="5">
        <v>3.8</v>
      </c>
      <c r="G27" t="s">
        <v>1626</v>
      </c>
      <c r="H27">
        <v>1</v>
      </c>
    </row>
    <row r="28" spans="1:8">
      <c r="A28" t="s">
        <v>1661</v>
      </c>
      <c r="B28" t="s">
        <v>831</v>
      </c>
      <c r="C28" s="4">
        <v>45675</v>
      </c>
      <c r="D28" t="s">
        <v>1628</v>
      </c>
      <c r="E28" t="s">
        <v>1605</v>
      </c>
      <c r="F28" s="5">
        <v>1.3</v>
      </c>
      <c r="G28" t="s">
        <v>1626</v>
      </c>
      <c r="H28">
        <v>1</v>
      </c>
    </row>
    <row r="29" spans="1:8">
      <c r="A29" t="s">
        <v>1662</v>
      </c>
      <c r="B29" t="s">
        <v>300</v>
      </c>
      <c r="C29" s="4">
        <v>44960</v>
      </c>
      <c r="D29" t="s">
        <v>1625</v>
      </c>
      <c r="E29" t="s">
        <v>1605</v>
      </c>
      <c r="F29" s="5">
        <v>2.5</v>
      </c>
      <c r="G29" t="s">
        <v>1630</v>
      </c>
      <c r="H29">
        <v>4</v>
      </c>
    </row>
    <row r="30" spans="1:8">
      <c r="A30" t="s">
        <v>1663</v>
      </c>
      <c r="B30" t="s">
        <v>818</v>
      </c>
      <c r="C30" s="4">
        <v>45251</v>
      </c>
      <c r="D30" t="s">
        <v>1625</v>
      </c>
      <c r="E30" t="s">
        <v>1648</v>
      </c>
      <c r="F30" s="5">
        <v>2.6</v>
      </c>
      <c r="G30" t="s">
        <v>1630</v>
      </c>
      <c r="H30">
        <v>5</v>
      </c>
    </row>
    <row r="31" spans="1:8">
      <c r="A31" t="s">
        <v>1664</v>
      </c>
      <c r="B31" t="s">
        <v>1286</v>
      </c>
      <c r="C31" s="4">
        <v>45949</v>
      </c>
      <c r="D31" t="s">
        <v>1625</v>
      </c>
      <c r="E31" t="s">
        <v>1605</v>
      </c>
      <c r="F31" s="5">
        <v>5.3</v>
      </c>
      <c r="G31" t="s">
        <v>1630</v>
      </c>
      <c r="H31">
        <v>3</v>
      </c>
    </row>
    <row r="32" spans="1:8">
      <c r="A32" t="s">
        <v>1665</v>
      </c>
      <c r="B32" t="s">
        <v>1578</v>
      </c>
      <c r="C32" s="4">
        <v>45144</v>
      </c>
      <c r="D32" t="s">
        <v>1628</v>
      </c>
      <c r="E32" t="s">
        <v>1633</v>
      </c>
      <c r="F32" s="5">
        <v>9.8000000000000007</v>
      </c>
      <c r="G32" t="s">
        <v>1630</v>
      </c>
      <c r="H32">
        <v>2</v>
      </c>
    </row>
    <row r="33" spans="1:8">
      <c r="A33" t="s">
        <v>1666</v>
      </c>
      <c r="B33" t="s">
        <v>564</v>
      </c>
      <c r="C33" s="4">
        <v>45989</v>
      </c>
      <c r="D33" t="s">
        <v>1667</v>
      </c>
      <c r="E33" t="s">
        <v>1605</v>
      </c>
      <c r="F33" s="5">
        <v>4.3</v>
      </c>
      <c r="G33" t="s">
        <v>1630</v>
      </c>
      <c r="H33">
        <v>3</v>
      </c>
    </row>
    <row r="34" spans="1:8">
      <c r="A34" t="s">
        <v>1668</v>
      </c>
      <c r="B34" t="s">
        <v>1160</v>
      </c>
      <c r="C34" s="4">
        <v>45251</v>
      </c>
      <c r="D34" t="s">
        <v>1625</v>
      </c>
      <c r="E34" t="s">
        <v>1633</v>
      </c>
      <c r="F34" s="5">
        <v>9.1999999999999993</v>
      </c>
      <c r="G34" t="s">
        <v>1630</v>
      </c>
      <c r="H34">
        <v>1</v>
      </c>
    </row>
    <row r="35" spans="1:8">
      <c r="A35" t="s">
        <v>1669</v>
      </c>
      <c r="B35" t="s">
        <v>1113</v>
      </c>
      <c r="C35" s="4">
        <v>45192</v>
      </c>
      <c r="D35" t="s">
        <v>1641</v>
      </c>
      <c r="E35" t="s">
        <v>1633</v>
      </c>
      <c r="F35" s="5">
        <v>10.3</v>
      </c>
      <c r="G35" t="s">
        <v>1630</v>
      </c>
      <c r="H35">
        <v>2</v>
      </c>
    </row>
    <row r="36" spans="1:8">
      <c r="A36" t="s">
        <v>1670</v>
      </c>
      <c r="B36" t="s">
        <v>787</v>
      </c>
      <c r="C36" s="4">
        <v>46084</v>
      </c>
      <c r="D36" t="s">
        <v>1667</v>
      </c>
      <c r="E36" t="s">
        <v>1609</v>
      </c>
      <c r="F36" s="5">
        <v>0.2</v>
      </c>
      <c r="G36" t="s">
        <v>1630</v>
      </c>
      <c r="H36">
        <v>2</v>
      </c>
    </row>
    <row r="37" spans="1:8">
      <c r="A37" t="s">
        <v>1671</v>
      </c>
      <c r="B37" t="s">
        <v>517</v>
      </c>
      <c r="C37" s="4">
        <v>45595</v>
      </c>
      <c r="D37" t="s">
        <v>1632</v>
      </c>
      <c r="E37" t="s">
        <v>1633</v>
      </c>
      <c r="F37" s="5">
        <v>8</v>
      </c>
      <c r="G37" t="s">
        <v>1626</v>
      </c>
      <c r="H37">
        <v>2</v>
      </c>
    </row>
    <row r="38" spans="1:8">
      <c r="A38" t="s">
        <v>1672</v>
      </c>
      <c r="B38" t="s">
        <v>1371</v>
      </c>
      <c r="C38" s="4">
        <v>45501</v>
      </c>
      <c r="D38" t="s">
        <v>1641</v>
      </c>
      <c r="E38" t="s">
        <v>1648</v>
      </c>
      <c r="F38" s="5">
        <v>12.6</v>
      </c>
      <c r="G38" t="s">
        <v>1630</v>
      </c>
      <c r="H38">
        <v>2</v>
      </c>
    </row>
    <row r="39" spans="1:8">
      <c r="A39" t="s">
        <v>1673</v>
      </c>
      <c r="B39" t="s">
        <v>1583</v>
      </c>
      <c r="C39" s="4">
        <v>45586</v>
      </c>
      <c r="D39" t="s">
        <v>1655</v>
      </c>
      <c r="E39" t="s">
        <v>1648</v>
      </c>
      <c r="F39" s="5">
        <v>28.4</v>
      </c>
      <c r="G39" t="s">
        <v>1630</v>
      </c>
      <c r="H39">
        <v>5</v>
      </c>
    </row>
    <row r="40" spans="1:8">
      <c r="A40" t="s">
        <v>1674</v>
      </c>
      <c r="B40" t="s">
        <v>1131</v>
      </c>
      <c r="C40" s="4">
        <v>45412</v>
      </c>
      <c r="D40" t="s">
        <v>1655</v>
      </c>
      <c r="E40" t="s">
        <v>1605</v>
      </c>
      <c r="F40" s="5">
        <v>5.4</v>
      </c>
      <c r="G40" t="s">
        <v>1630</v>
      </c>
      <c r="H40">
        <v>1</v>
      </c>
    </row>
    <row r="41" spans="1:8">
      <c r="A41" t="s">
        <v>1675</v>
      </c>
      <c r="B41" t="s">
        <v>698</v>
      </c>
      <c r="C41" s="4">
        <v>45973</v>
      </c>
      <c r="D41" t="s">
        <v>1637</v>
      </c>
      <c r="E41" t="s">
        <v>1629</v>
      </c>
      <c r="F41" s="5">
        <v>11.1</v>
      </c>
      <c r="G41" t="s">
        <v>1630</v>
      </c>
      <c r="H41">
        <v>1</v>
      </c>
    </row>
    <row r="42" spans="1:8">
      <c r="A42" t="s">
        <v>1676</v>
      </c>
      <c r="B42" t="s">
        <v>1012</v>
      </c>
      <c r="C42" s="4">
        <v>45932</v>
      </c>
      <c r="D42" t="s">
        <v>1641</v>
      </c>
      <c r="E42" t="s">
        <v>1633</v>
      </c>
      <c r="F42" s="5">
        <v>0.6</v>
      </c>
      <c r="G42" t="s">
        <v>1630</v>
      </c>
      <c r="H42">
        <v>2</v>
      </c>
    </row>
    <row r="43" spans="1:8">
      <c r="A43" t="s">
        <v>1677</v>
      </c>
      <c r="B43" t="s">
        <v>1377</v>
      </c>
      <c r="C43" s="4">
        <v>45492</v>
      </c>
      <c r="D43" t="s">
        <v>1632</v>
      </c>
      <c r="E43" t="s">
        <v>1633</v>
      </c>
      <c r="F43" s="5">
        <v>15.1</v>
      </c>
      <c r="G43" t="s">
        <v>1630</v>
      </c>
      <c r="H43">
        <v>2</v>
      </c>
    </row>
    <row r="44" spans="1:8">
      <c r="A44" t="s">
        <v>1678</v>
      </c>
      <c r="B44" t="s">
        <v>542</v>
      </c>
      <c r="C44" s="4">
        <v>44933</v>
      </c>
      <c r="D44" t="s">
        <v>1625</v>
      </c>
      <c r="E44" t="s">
        <v>1648</v>
      </c>
      <c r="F44" s="5">
        <v>5.3</v>
      </c>
      <c r="G44" t="s">
        <v>1630</v>
      </c>
      <c r="H44">
        <v>3</v>
      </c>
    </row>
    <row r="45" spans="1:8">
      <c r="A45" t="s">
        <v>1679</v>
      </c>
      <c r="B45" t="s">
        <v>1572</v>
      </c>
      <c r="C45" s="4">
        <v>45582</v>
      </c>
      <c r="D45" t="s">
        <v>1641</v>
      </c>
      <c r="E45" t="s">
        <v>1633</v>
      </c>
      <c r="F45" s="5">
        <v>7.4</v>
      </c>
      <c r="G45" t="s">
        <v>1630</v>
      </c>
      <c r="H45">
        <v>2</v>
      </c>
    </row>
    <row r="46" spans="1:8">
      <c r="A46" t="s">
        <v>1680</v>
      </c>
      <c r="B46" t="s">
        <v>1573</v>
      </c>
      <c r="C46" s="4">
        <v>46150</v>
      </c>
      <c r="D46" t="s">
        <v>1641</v>
      </c>
      <c r="E46" t="s">
        <v>1633</v>
      </c>
      <c r="F46" s="5">
        <v>10.6</v>
      </c>
      <c r="G46" t="s">
        <v>1630</v>
      </c>
      <c r="H46">
        <v>2</v>
      </c>
    </row>
    <row r="47" spans="1:8">
      <c r="A47" t="s">
        <v>1681</v>
      </c>
      <c r="B47" t="s">
        <v>1006</v>
      </c>
      <c r="C47" s="4">
        <v>45959</v>
      </c>
      <c r="D47" t="s">
        <v>1625</v>
      </c>
      <c r="E47" t="s">
        <v>1629</v>
      </c>
      <c r="F47" s="5">
        <v>4.4000000000000004</v>
      </c>
      <c r="G47" t="s">
        <v>1630</v>
      </c>
      <c r="H47">
        <v>1</v>
      </c>
    </row>
    <row r="48" spans="1:8">
      <c r="A48" t="s">
        <v>1682</v>
      </c>
      <c r="B48" t="s">
        <v>672</v>
      </c>
      <c r="C48" s="4">
        <v>45461</v>
      </c>
      <c r="D48" t="s">
        <v>1628</v>
      </c>
      <c r="E48" t="s">
        <v>1633</v>
      </c>
      <c r="F48" s="5">
        <v>0.2</v>
      </c>
      <c r="G48" t="s">
        <v>1630</v>
      </c>
      <c r="H48">
        <v>4</v>
      </c>
    </row>
    <row r="49" spans="1:8">
      <c r="A49" t="s">
        <v>1683</v>
      </c>
      <c r="B49" t="s">
        <v>265</v>
      </c>
      <c r="C49" s="4">
        <v>45681</v>
      </c>
      <c r="D49" t="s">
        <v>1641</v>
      </c>
      <c r="E49" t="s">
        <v>1605</v>
      </c>
      <c r="F49" s="5">
        <v>4.7</v>
      </c>
      <c r="G49" t="s">
        <v>1630</v>
      </c>
      <c r="H49">
        <v>2</v>
      </c>
    </row>
    <row r="50" spans="1:8">
      <c r="A50" t="s">
        <v>1684</v>
      </c>
      <c r="B50" t="s">
        <v>1105</v>
      </c>
      <c r="C50" s="4">
        <v>45836</v>
      </c>
      <c r="D50" t="s">
        <v>1632</v>
      </c>
      <c r="E50" t="s">
        <v>1609</v>
      </c>
      <c r="F50" s="5">
        <v>22.1</v>
      </c>
      <c r="G50" t="s">
        <v>1630</v>
      </c>
      <c r="H50">
        <v>2</v>
      </c>
    </row>
    <row r="51" spans="1:8">
      <c r="A51" t="s">
        <v>1685</v>
      </c>
      <c r="B51" t="s">
        <v>1260</v>
      </c>
      <c r="C51" s="4">
        <v>46169</v>
      </c>
      <c r="D51" t="s">
        <v>1625</v>
      </c>
      <c r="E51" t="s">
        <v>1605</v>
      </c>
      <c r="F51" s="5">
        <v>7.1</v>
      </c>
      <c r="G51" t="s">
        <v>1630</v>
      </c>
      <c r="H51">
        <v>1</v>
      </c>
    </row>
    <row r="52" spans="1:8">
      <c r="A52" t="s">
        <v>1686</v>
      </c>
      <c r="B52" t="s">
        <v>355</v>
      </c>
      <c r="C52" s="4">
        <v>45034</v>
      </c>
      <c r="D52" t="s">
        <v>1637</v>
      </c>
      <c r="E52" t="s">
        <v>1648</v>
      </c>
      <c r="F52" s="5">
        <v>5.2</v>
      </c>
      <c r="G52" t="s">
        <v>1630</v>
      </c>
      <c r="H52">
        <v>4</v>
      </c>
    </row>
    <row r="53" spans="1:8">
      <c r="A53" t="s">
        <v>1687</v>
      </c>
      <c r="B53" t="s">
        <v>1039</v>
      </c>
      <c r="C53" s="4">
        <v>44979</v>
      </c>
      <c r="D53" t="s">
        <v>1641</v>
      </c>
      <c r="E53" t="s">
        <v>1633</v>
      </c>
      <c r="F53" s="5">
        <v>4</v>
      </c>
      <c r="G53" t="s">
        <v>1630</v>
      </c>
      <c r="H53">
        <v>1</v>
      </c>
    </row>
    <row r="54" spans="1:8">
      <c r="A54" t="s">
        <v>1688</v>
      </c>
      <c r="B54" t="s">
        <v>1175</v>
      </c>
      <c r="C54" s="4">
        <v>45506</v>
      </c>
      <c r="D54" t="s">
        <v>1625</v>
      </c>
      <c r="E54" t="s">
        <v>1648</v>
      </c>
      <c r="F54" s="5">
        <v>0.3</v>
      </c>
      <c r="G54" t="s">
        <v>1630</v>
      </c>
      <c r="H54">
        <v>2</v>
      </c>
    </row>
    <row r="55" spans="1:8">
      <c r="A55" t="s">
        <v>1689</v>
      </c>
      <c r="B55" t="s">
        <v>967</v>
      </c>
      <c r="C55" s="4">
        <v>45057</v>
      </c>
      <c r="D55" t="s">
        <v>1667</v>
      </c>
      <c r="E55" t="s">
        <v>1605</v>
      </c>
      <c r="F55" s="5">
        <v>1.3</v>
      </c>
      <c r="G55" t="s">
        <v>1630</v>
      </c>
      <c r="H55">
        <v>2</v>
      </c>
    </row>
    <row r="56" spans="1:8">
      <c r="A56" t="s">
        <v>1690</v>
      </c>
      <c r="B56" t="s">
        <v>293</v>
      </c>
      <c r="C56" s="4">
        <v>45664</v>
      </c>
      <c r="D56" t="s">
        <v>1667</v>
      </c>
      <c r="E56" t="s">
        <v>1633</v>
      </c>
      <c r="F56" s="5">
        <v>0.7</v>
      </c>
      <c r="G56" t="s">
        <v>1630</v>
      </c>
      <c r="H56">
        <v>1</v>
      </c>
    </row>
    <row r="57" spans="1:8">
      <c r="A57" t="s">
        <v>1691</v>
      </c>
      <c r="B57" t="s">
        <v>963</v>
      </c>
      <c r="C57" s="4">
        <v>45747</v>
      </c>
      <c r="D57" t="s">
        <v>1641</v>
      </c>
      <c r="E57" t="s">
        <v>1648</v>
      </c>
      <c r="F57" s="5">
        <v>4.3</v>
      </c>
      <c r="G57" t="s">
        <v>1630</v>
      </c>
      <c r="H57">
        <v>2</v>
      </c>
    </row>
    <row r="58" spans="1:8">
      <c r="A58" t="s">
        <v>1692</v>
      </c>
      <c r="B58" t="s">
        <v>1036</v>
      </c>
      <c r="C58" s="4">
        <v>45110</v>
      </c>
      <c r="D58" t="s">
        <v>1655</v>
      </c>
      <c r="E58" t="s">
        <v>1629</v>
      </c>
      <c r="F58" s="5">
        <v>1.4</v>
      </c>
      <c r="G58" t="s">
        <v>1630</v>
      </c>
      <c r="H58">
        <v>3</v>
      </c>
    </row>
    <row r="59" spans="1:8">
      <c r="A59" t="s">
        <v>1693</v>
      </c>
      <c r="B59" t="s">
        <v>550</v>
      </c>
      <c r="C59" s="4">
        <v>45417</v>
      </c>
      <c r="D59" t="s">
        <v>1628</v>
      </c>
      <c r="E59" t="s">
        <v>1648</v>
      </c>
      <c r="F59" s="5">
        <v>0.2</v>
      </c>
      <c r="G59" t="s">
        <v>1630</v>
      </c>
      <c r="H59">
        <v>2</v>
      </c>
    </row>
    <row r="60" spans="1:8">
      <c r="A60" t="s">
        <v>1694</v>
      </c>
      <c r="B60" t="s">
        <v>944</v>
      </c>
      <c r="C60" s="4">
        <v>45013</v>
      </c>
      <c r="D60" t="s">
        <v>1628</v>
      </c>
      <c r="E60" t="s">
        <v>1605</v>
      </c>
      <c r="F60" s="5">
        <v>24</v>
      </c>
      <c r="G60" t="s">
        <v>1626</v>
      </c>
      <c r="H60">
        <v>1</v>
      </c>
    </row>
    <row r="61" spans="1:8">
      <c r="A61" t="s">
        <v>1695</v>
      </c>
      <c r="B61" t="s">
        <v>973</v>
      </c>
      <c r="C61" s="4">
        <v>45581</v>
      </c>
      <c r="D61" t="s">
        <v>1625</v>
      </c>
      <c r="E61" t="s">
        <v>1629</v>
      </c>
      <c r="F61" s="5">
        <v>0.2</v>
      </c>
      <c r="G61" t="s">
        <v>1630</v>
      </c>
      <c r="H61">
        <v>4</v>
      </c>
    </row>
    <row r="62" spans="1:8">
      <c r="A62" t="s">
        <v>1696</v>
      </c>
      <c r="B62" t="s">
        <v>133</v>
      </c>
      <c r="C62" s="4">
        <v>45776</v>
      </c>
      <c r="D62" t="s">
        <v>1641</v>
      </c>
      <c r="E62" t="s">
        <v>1609</v>
      </c>
      <c r="F62" s="5">
        <v>1.8</v>
      </c>
      <c r="G62" t="s">
        <v>1630</v>
      </c>
      <c r="H62">
        <v>2</v>
      </c>
    </row>
    <row r="63" spans="1:8">
      <c r="A63" t="s">
        <v>1697</v>
      </c>
      <c r="B63" t="s">
        <v>1087</v>
      </c>
      <c r="C63" s="4">
        <v>45933</v>
      </c>
      <c r="D63" t="s">
        <v>1628</v>
      </c>
      <c r="E63" t="s">
        <v>1609</v>
      </c>
      <c r="F63" s="5">
        <v>7</v>
      </c>
      <c r="G63" t="s">
        <v>1630</v>
      </c>
      <c r="H63">
        <v>2</v>
      </c>
    </row>
    <row r="64" spans="1:8">
      <c r="A64" t="s">
        <v>1698</v>
      </c>
      <c r="B64" t="s">
        <v>825</v>
      </c>
      <c r="C64" s="4">
        <v>45362</v>
      </c>
      <c r="D64" t="s">
        <v>1628</v>
      </c>
      <c r="E64" t="s">
        <v>1609</v>
      </c>
      <c r="F64" s="5">
        <v>19.7</v>
      </c>
      <c r="G64" t="s">
        <v>1630</v>
      </c>
      <c r="H64">
        <v>3</v>
      </c>
    </row>
    <row r="65" spans="1:8">
      <c r="A65" t="s">
        <v>1699</v>
      </c>
      <c r="B65" t="s">
        <v>619</v>
      </c>
      <c r="C65" s="4">
        <v>46066</v>
      </c>
      <c r="D65" t="s">
        <v>1625</v>
      </c>
      <c r="E65" t="s">
        <v>1629</v>
      </c>
      <c r="F65" s="5">
        <v>1.4</v>
      </c>
      <c r="G65" t="s">
        <v>1630</v>
      </c>
      <c r="H65">
        <v>5</v>
      </c>
    </row>
    <row r="66" spans="1:8">
      <c r="A66" t="s">
        <v>1700</v>
      </c>
      <c r="B66" t="s">
        <v>601</v>
      </c>
      <c r="C66" s="4">
        <v>45612</v>
      </c>
      <c r="D66" t="s">
        <v>1628</v>
      </c>
      <c r="E66" t="s">
        <v>1633</v>
      </c>
      <c r="F66" s="5">
        <v>4</v>
      </c>
      <c r="G66" t="s">
        <v>1630</v>
      </c>
      <c r="H66">
        <v>4</v>
      </c>
    </row>
    <row r="67" spans="1:8">
      <c r="A67" t="s">
        <v>1701</v>
      </c>
      <c r="B67" t="s">
        <v>149</v>
      </c>
      <c r="C67" s="4">
        <v>45839</v>
      </c>
      <c r="D67" t="s">
        <v>1641</v>
      </c>
      <c r="E67" t="s">
        <v>1648</v>
      </c>
      <c r="F67" s="5">
        <v>11.8</v>
      </c>
      <c r="G67" t="s">
        <v>1630</v>
      </c>
      <c r="H67">
        <v>1</v>
      </c>
    </row>
    <row r="68" spans="1:8">
      <c r="A68" t="s">
        <v>1702</v>
      </c>
      <c r="B68" t="s">
        <v>183</v>
      </c>
      <c r="C68" s="4">
        <v>45720</v>
      </c>
      <c r="D68" t="s">
        <v>1655</v>
      </c>
      <c r="E68" t="s">
        <v>1605</v>
      </c>
      <c r="F68" s="5">
        <v>1.8</v>
      </c>
      <c r="G68" t="s">
        <v>1630</v>
      </c>
      <c r="H68">
        <v>3</v>
      </c>
    </row>
    <row r="69" spans="1:8">
      <c r="A69" t="s">
        <v>1703</v>
      </c>
      <c r="B69" t="s">
        <v>1425</v>
      </c>
      <c r="C69" s="4">
        <v>45365</v>
      </c>
      <c r="D69" t="s">
        <v>1637</v>
      </c>
      <c r="E69" t="s">
        <v>1633</v>
      </c>
      <c r="F69" s="5">
        <v>3.6</v>
      </c>
      <c r="G69" t="s">
        <v>1630</v>
      </c>
      <c r="H69">
        <v>2</v>
      </c>
    </row>
    <row r="70" spans="1:8">
      <c r="A70" t="s">
        <v>1704</v>
      </c>
      <c r="B70" t="s">
        <v>1063</v>
      </c>
      <c r="C70" s="4">
        <v>45443</v>
      </c>
      <c r="D70" t="s">
        <v>1628</v>
      </c>
      <c r="E70" t="s">
        <v>1609</v>
      </c>
      <c r="F70" s="5">
        <v>3</v>
      </c>
      <c r="G70" t="s">
        <v>1630</v>
      </c>
      <c r="H70">
        <v>2</v>
      </c>
    </row>
    <row r="71" spans="1:8">
      <c r="A71" t="s">
        <v>1705</v>
      </c>
      <c r="B71" t="s">
        <v>1459</v>
      </c>
      <c r="C71" s="4">
        <v>45610</v>
      </c>
      <c r="D71" t="s">
        <v>1628</v>
      </c>
      <c r="E71" t="s">
        <v>1629</v>
      </c>
      <c r="F71" s="5">
        <v>10.199999999999999</v>
      </c>
      <c r="G71" t="s">
        <v>1630</v>
      </c>
      <c r="H71">
        <v>4</v>
      </c>
    </row>
    <row r="72" spans="1:8">
      <c r="A72" t="s">
        <v>1706</v>
      </c>
      <c r="B72" t="s">
        <v>1118</v>
      </c>
      <c r="C72" s="4">
        <v>45265</v>
      </c>
      <c r="D72" t="s">
        <v>1667</v>
      </c>
      <c r="E72" t="s">
        <v>1629</v>
      </c>
      <c r="F72" s="5">
        <v>6.6</v>
      </c>
      <c r="G72" t="s">
        <v>1630</v>
      </c>
      <c r="H72">
        <v>2</v>
      </c>
    </row>
    <row r="73" spans="1:8">
      <c r="A73" t="s">
        <v>1707</v>
      </c>
      <c r="B73" t="s">
        <v>264</v>
      </c>
      <c r="C73" s="4">
        <v>45146</v>
      </c>
      <c r="D73" t="s">
        <v>1637</v>
      </c>
      <c r="E73" t="s">
        <v>1609</v>
      </c>
      <c r="F73" s="5">
        <v>7.7</v>
      </c>
      <c r="G73" t="s">
        <v>1626</v>
      </c>
      <c r="H73">
        <v>2</v>
      </c>
    </row>
    <row r="74" spans="1:8">
      <c r="A74" t="s">
        <v>1708</v>
      </c>
      <c r="B74" t="s">
        <v>1544</v>
      </c>
      <c r="C74" s="4">
        <v>44927</v>
      </c>
      <c r="D74" t="s">
        <v>1625</v>
      </c>
      <c r="E74" t="s">
        <v>1629</v>
      </c>
      <c r="F74" s="5">
        <v>10.4</v>
      </c>
      <c r="G74" t="s">
        <v>1626</v>
      </c>
      <c r="H74">
        <v>1</v>
      </c>
    </row>
    <row r="75" spans="1:8">
      <c r="A75" t="s">
        <v>1709</v>
      </c>
      <c r="B75" t="s">
        <v>210</v>
      </c>
      <c r="C75" s="4">
        <v>45680</v>
      </c>
      <c r="D75" t="s">
        <v>1628</v>
      </c>
      <c r="E75" t="s">
        <v>1605</v>
      </c>
      <c r="F75" s="5">
        <v>28.3</v>
      </c>
      <c r="G75" t="s">
        <v>1630</v>
      </c>
      <c r="H75">
        <v>3</v>
      </c>
    </row>
    <row r="76" spans="1:8">
      <c r="A76" t="s">
        <v>1710</v>
      </c>
      <c r="B76" t="s">
        <v>259</v>
      </c>
      <c r="C76" s="4">
        <v>45500</v>
      </c>
      <c r="D76" t="s">
        <v>1625</v>
      </c>
      <c r="E76" t="s">
        <v>1609</v>
      </c>
      <c r="F76" s="5">
        <v>2.8</v>
      </c>
      <c r="G76" t="s">
        <v>1630</v>
      </c>
      <c r="H76">
        <v>1</v>
      </c>
    </row>
    <row r="77" spans="1:8">
      <c r="A77" t="s">
        <v>1711</v>
      </c>
      <c r="B77" t="s">
        <v>679</v>
      </c>
      <c r="C77" s="4">
        <v>45217</v>
      </c>
      <c r="D77" t="s">
        <v>1628</v>
      </c>
      <c r="E77" t="s">
        <v>1605</v>
      </c>
      <c r="F77" s="5">
        <v>1</v>
      </c>
      <c r="G77" t="s">
        <v>1630</v>
      </c>
      <c r="H77">
        <v>1</v>
      </c>
    </row>
    <row r="78" spans="1:8">
      <c r="A78" t="s">
        <v>1712</v>
      </c>
      <c r="B78" t="s">
        <v>1483</v>
      </c>
      <c r="C78" s="4">
        <v>45902</v>
      </c>
      <c r="D78" t="s">
        <v>1628</v>
      </c>
      <c r="E78" t="s">
        <v>1609</v>
      </c>
      <c r="F78" s="5">
        <v>0.7</v>
      </c>
      <c r="G78" t="s">
        <v>1630</v>
      </c>
      <c r="H78">
        <v>5</v>
      </c>
    </row>
    <row r="79" spans="1:8">
      <c r="A79" t="s">
        <v>1713</v>
      </c>
      <c r="B79" t="s">
        <v>1246</v>
      </c>
      <c r="C79" s="4">
        <v>46068</v>
      </c>
      <c r="D79" t="s">
        <v>1628</v>
      </c>
      <c r="E79" t="s">
        <v>1609</v>
      </c>
      <c r="F79" s="5">
        <v>9.6999999999999993</v>
      </c>
      <c r="G79" t="s">
        <v>1630</v>
      </c>
      <c r="H79">
        <v>2</v>
      </c>
    </row>
    <row r="80" spans="1:8">
      <c r="A80" t="s">
        <v>1714</v>
      </c>
      <c r="B80" t="s">
        <v>529</v>
      </c>
      <c r="C80" s="4">
        <v>45060</v>
      </c>
      <c r="D80" t="s">
        <v>1625</v>
      </c>
      <c r="E80" t="s">
        <v>1629</v>
      </c>
      <c r="F80" s="5">
        <v>0.2</v>
      </c>
      <c r="G80" t="s">
        <v>1630</v>
      </c>
      <c r="H80">
        <v>4</v>
      </c>
    </row>
    <row r="81" spans="1:8">
      <c r="A81" t="s">
        <v>1715</v>
      </c>
      <c r="B81" t="s">
        <v>848</v>
      </c>
      <c r="C81" s="4">
        <v>45285</v>
      </c>
      <c r="D81" t="s">
        <v>1667</v>
      </c>
      <c r="E81" t="s">
        <v>1648</v>
      </c>
      <c r="F81" s="5">
        <v>18.2</v>
      </c>
      <c r="G81" t="s">
        <v>1630</v>
      </c>
      <c r="H81">
        <v>3</v>
      </c>
    </row>
    <row r="82" spans="1:8">
      <c r="A82" t="s">
        <v>1716</v>
      </c>
      <c r="B82" t="s">
        <v>1264</v>
      </c>
      <c r="C82" s="4">
        <v>45503</v>
      </c>
      <c r="D82" t="s">
        <v>1632</v>
      </c>
      <c r="E82" t="s">
        <v>1605</v>
      </c>
      <c r="F82" s="5">
        <v>13</v>
      </c>
      <c r="G82" t="s">
        <v>1630</v>
      </c>
      <c r="H82">
        <v>3</v>
      </c>
    </row>
    <row r="83" spans="1:8">
      <c r="A83" t="s">
        <v>1717</v>
      </c>
      <c r="B83" t="s">
        <v>1581</v>
      </c>
      <c r="C83" s="4">
        <v>45312</v>
      </c>
      <c r="D83" t="s">
        <v>1628</v>
      </c>
      <c r="E83" t="s">
        <v>1629</v>
      </c>
      <c r="F83" s="5">
        <v>13.3</v>
      </c>
      <c r="G83" t="s">
        <v>1626</v>
      </c>
      <c r="H83">
        <v>1</v>
      </c>
    </row>
    <row r="84" spans="1:8">
      <c r="A84" t="s">
        <v>1718</v>
      </c>
      <c r="B84" t="s">
        <v>1474</v>
      </c>
      <c r="C84" s="4">
        <v>46080</v>
      </c>
      <c r="D84" t="s">
        <v>1655</v>
      </c>
      <c r="E84" t="s">
        <v>1629</v>
      </c>
      <c r="F84" s="5">
        <v>6.5</v>
      </c>
      <c r="G84" t="s">
        <v>1630</v>
      </c>
      <c r="H84">
        <v>2</v>
      </c>
    </row>
    <row r="85" spans="1:8">
      <c r="A85" t="s">
        <v>1719</v>
      </c>
      <c r="B85" t="s">
        <v>1274</v>
      </c>
      <c r="C85" s="4">
        <v>45023</v>
      </c>
      <c r="D85" t="s">
        <v>1625</v>
      </c>
      <c r="E85" t="s">
        <v>1609</v>
      </c>
      <c r="F85" s="5">
        <v>7.3</v>
      </c>
      <c r="G85" t="s">
        <v>1630</v>
      </c>
      <c r="H85">
        <v>4</v>
      </c>
    </row>
    <row r="86" spans="1:8">
      <c r="A86" t="s">
        <v>1720</v>
      </c>
      <c r="B86" t="s">
        <v>1030</v>
      </c>
      <c r="C86" s="4">
        <v>45262</v>
      </c>
      <c r="D86" t="s">
        <v>1625</v>
      </c>
      <c r="E86" t="s">
        <v>1633</v>
      </c>
      <c r="F86" s="5">
        <v>10.4</v>
      </c>
      <c r="G86" t="s">
        <v>1630</v>
      </c>
      <c r="H86">
        <v>3</v>
      </c>
    </row>
    <row r="87" spans="1:8">
      <c r="A87" t="s">
        <v>1721</v>
      </c>
      <c r="B87" t="s">
        <v>1301</v>
      </c>
      <c r="C87" s="4">
        <v>45637</v>
      </c>
      <c r="D87" t="s">
        <v>1625</v>
      </c>
      <c r="E87" t="s">
        <v>1648</v>
      </c>
      <c r="F87" s="5">
        <v>4.0999999999999996</v>
      </c>
      <c r="G87" t="s">
        <v>1630</v>
      </c>
      <c r="H87">
        <v>3</v>
      </c>
    </row>
    <row r="88" spans="1:8">
      <c r="A88" t="s">
        <v>1722</v>
      </c>
      <c r="B88" t="s">
        <v>1344</v>
      </c>
      <c r="C88" s="4">
        <v>45525</v>
      </c>
      <c r="D88" t="s">
        <v>1628</v>
      </c>
      <c r="E88" t="s">
        <v>1629</v>
      </c>
      <c r="F88" s="5">
        <v>9</v>
      </c>
      <c r="G88" t="s">
        <v>1630</v>
      </c>
      <c r="H88">
        <v>4</v>
      </c>
    </row>
    <row r="89" spans="1:8">
      <c r="A89" t="s">
        <v>1723</v>
      </c>
      <c r="B89" t="s">
        <v>279</v>
      </c>
      <c r="C89" s="4">
        <v>46160</v>
      </c>
      <c r="D89" t="s">
        <v>1628</v>
      </c>
      <c r="E89" t="s">
        <v>1605</v>
      </c>
      <c r="F89" s="5">
        <v>3.2</v>
      </c>
      <c r="G89" t="s">
        <v>1630</v>
      </c>
      <c r="H89">
        <v>4</v>
      </c>
    </row>
    <row r="90" spans="1:8">
      <c r="A90" t="s">
        <v>1724</v>
      </c>
      <c r="B90" t="s">
        <v>905</v>
      </c>
      <c r="C90" s="4">
        <v>46031</v>
      </c>
      <c r="D90" t="s">
        <v>1637</v>
      </c>
      <c r="E90" t="s">
        <v>1605</v>
      </c>
      <c r="F90" s="5">
        <v>17.600000000000001</v>
      </c>
      <c r="G90" t="s">
        <v>1630</v>
      </c>
      <c r="H90">
        <v>2</v>
      </c>
    </row>
    <row r="91" spans="1:8">
      <c r="A91" t="s">
        <v>1725</v>
      </c>
      <c r="B91" t="s">
        <v>1113</v>
      </c>
      <c r="C91" s="4">
        <v>45626</v>
      </c>
      <c r="D91" t="s">
        <v>1641</v>
      </c>
      <c r="E91" t="s">
        <v>1605</v>
      </c>
      <c r="F91" s="5">
        <v>15.2</v>
      </c>
      <c r="G91" t="s">
        <v>1630</v>
      </c>
      <c r="H91">
        <v>2</v>
      </c>
    </row>
    <row r="92" spans="1:8">
      <c r="A92" t="s">
        <v>1726</v>
      </c>
      <c r="B92" t="s">
        <v>1416</v>
      </c>
      <c r="C92" s="4">
        <v>45738</v>
      </c>
      <c r="D92" t="s">
        <v>1628</v>
      </c>
      <c r="E92" t="s">
        <v>1629</v>
      </c>
      <c r="F92" s="5">
        <v>17</v>
      </c>
      <c r="G92" t="s">
        <v>1626</v>
      </c>
      <c r="H92">
        <v>3</v>
      </c>
    </row>
    <row r="93" spans="1:8">
      <c r="A93" t="s">
        <v>1727</v>
      </c>
      <c r="B93" t="s">
        <v>183</v>
      </c>
      <c r="C93" s="4">
        <v>45991</v>
      </c>
      <c r="D93" t="s">
        <v>1628</v>
      </c>
      <c r="E93" t="s">
        <v>1609</v>
      </c>
      <c r="F93" s="5">
        <v>2.4</v>
      </c>
      <c r="G93" t="s">
        <v>1630</v>
      </c>
      <c r="H93">
        <v>2</v>
      </c>
    </row>
    <row r="94" spans="1:8">
      <c r="A94" t="s">
        <v>1728</v>
      </c>
      <c r="B94" t="s">
        <v>1309</v>
      </c>
      <c r="C94" s="4">
        <v>45391</v>
      </c>
      <c r="D94" t="s">
        <v>1632</v>
      </c>
      <c r="E94" t="s">
        <v>1633</v>
      </c>
      <c r="F94" s="5">
        <v>5.4</v>
      </c>
      <c r="G94" t="s">
        <v>1630</v>
      </c>
      <c r="H94">
        <v>3</v>
      </c>
    </row>
    <row r="95" spans="1:8">
      <c r="A95" t="s">
        <v>1729</v>
      </c>
      <c r="B95" t="s">
        <v>1036</v>
      </c>
      <c r="C95" s="4">
        <v>45735</v>
      </c>
      <c r="D95" t="s">
        <v>1641</v>
      </c>
      <c r="E95" t="s">
        <v>1629</v>
      </c>
      <c r="F95" s="5">
        <v>2</v>
      </c>
      <c r="G95" t="s">
        <v>1630</v>
      </c>
      <c r="H95">
        <v>4</v>
      </c>
    </row>
    <row r="96" spans="1:8">
      <c r="A96" t="s">
        <v>1730</v>
      </c>
      <c r="B96" t="s">
        <v>1239</v>
      </c>
      <c r="C96" s="4">
        <v>45144</v>
      </c>
      <c r="D96" t="s">
        <v>1628</v>
      </c>
      <c r="E96" t="s">
        <v>1629</v>
      </c>
      <c r="F96" s="5">
        <v>1.4</v>
      </c>
      <c r="G96" t="s">
        <v>1630</v>
      </c>
      <c r="H96">
        <v>2</v>
      </c>
    </row>
    <row r="97" spans="1:8">
      <c r="A97" t="s">
        <v>1731</v>
      </c>
      <c r="B97" t="s">
        <v>1275</v>
      </c>
      <c r="C97" s="4">
        <v>44928</v>
      </c>
      <c r="D97" t="s">
        <v>1637</v>
      </c>
      <c r="E97" t="s">
        <v>1648</v>
      </c>
      <c r="F97" s="5">
        <v>12.9</v>
      </c>
      <c r="G97" t="s">
        <v>1630</v>
      </c>
      <c r="H97">
        <v>1</v>
      </c>
    </row>
    <row r="98" spans="1:8">
      <c r="A98" t="s">
        <v>1732</v>
      </c>
      <c r="B98" t="s">
        <v>1246</v>
      </c>
      <c r="C98" s="4">
        <v>45554</v>
      </c>
      <c r="D98" t="s">
        <v>1628</v>
      </c>
      <c r="E98" t="s">
        <v>1629</v>
      </c>
      <c r="F98" s="5">
        <v>2.9</v>
      </c>
      <c r="G98" t="s">
        <v>1630</v>
      </c>
      <c r="H98">
        <v>1</v>
      </c>
    </row>
    <row r="99" spans="1:8">
      <c r="A99" t="s">
        <v>1733</v>
      </c>
      <c r="B99" t="s">
        <v>1567</v>
      </c>
      <c r="C99" s="4">
        <v>45318</v>
      </c>
      <c r="D99" t="s">
        <v>1628</v>
      </c>
      <c r="E99" t="s">
        <v>1609</v>
      </c>
      <c r="F99" s="5">
        <v>2.8</v>
      </c>
      <c r="G99" t="s">
        <v>1630</v>
      </c>
      <c r="H99">
        <v>1</v>
      </c>
    </row>
    <row r="100" spans="1:8">
      <c r="A100" t="s">
        <v>1734</v>
      </c>
      <c r="B100" t="s">
        <v>241</v>
      </c>
      <c r="C100" s="4">
        <v>45446</v>
      </c>
      <c r="D100" t="s">
        <v>1625</v>
      </c>
      <c r="E100" t="s">
        <v>1609</v>
      </c>
      <c r="F100" s="5">
        <v>4.4000000000000004</v>
      </c>
      <c r="G100" t="s">
        <v>1630</v>
      </c>
      <c r="H100">
        <v>4</v>
      </c>
    </row>
    <row r="101" spans="1:8">
      <c r="A101" t="s">
        <v>1735</v>
      </c>
      <c r="B101" t="s">
        <v>88</v>
      </c>
      <c r="C101" s="4">
        <v>46150</v>
      </c>
      <c r="D101" t="s">
        <v>1625</v>
      </c>
      <c r="E101" t="s">
        <v>1629</v>
      </c>
      <c r="F101" s="5">
        <v>3.8</v>
      </c>
      <c r="G101" t="s">
        <v>1630</v>
      </c>
      <c r="H101">
        <v>5</v>
      </c>
    </row>
    <row r="102" spans="1:8">
      <c r="A102" t="s">
        <v>1736</v>
      </c>
      <c r="B102" t="s">
        <v>1098</v>
      </c>
      <c r="C102" s="4">
        <v>45906</v>
      </c>
      <c r="D102" t="s">
        <v>1641</v>
      </c>
      <c r="E102" t="s">
        <v>1648</v>
      </c>
      <c r="F102" s="5">
        <v>0.3</v>
      </c>
      <c r="G102" t="s">
        <v>1630</v>
      </c>
      <c r="H102">
        <v>1</v>
      </c>
    </row>
    <row r="103" spans="1:8">
      <c r="A103" t="s">
        <v>1737</v>
      </c>
      <c r="B103" t="s">
        <v>971</v>
      </c>
      <c r="C103" s="4">
        <v>45581</v>
      </c>
      <c r="D103" t="s">
        <v>1625</v>
      </c>
      <c r="E103" t="s">
        <v>1633</v>
      </c>
      <c r="F103" s="5">
        <v>9.6</v>
      </c>
      <c r="G103" t="s">
        <v>1626</v>
      </c>
      <c r="H103">
        <v>2</v>
      </c>
    </row>
    <row r="104" spans="1:8">
      <c r="A104" t="s">
        <v>1738</v>
      </c>
      <c r="B104" t="s">
        <v>1327</v>
      </c>
      <c r="C104" s="4">
        <v>46030</v>
      </c>
      <c r="D104" t="s">
        <v>1655</v>
      </c>
      <c r="E104" t="s">
        <v>1629</v>
      </c>
      <c r="F104" s="5">
        <v>9.3000000000000007</v>
      </c>
      <c r="G104" t="s">
        <v>1630</v>
      </c>
      <c r="H104">
        <v>3</v>
      </c>
    </row>
    <row r="105" spans="1:8">
      <c r="A105" t="s">
        <v>1739</v>
      </c>
      <c r="B105" t="s">
        <v>1564</v>
      </c>
      <c r="C105" s="4">
        <v>45931</v>
      </c>
      <c r="D105" t="s">
        <v>1667</v>
      </c>
      <c r="E105" t="s">
        <v>1629</v>
      </c>
      <c r="F105" s="5">
        <v>0.3</v>
      </c>
      <c r="G105" t="s">
        <v>1630</v>
      </c>
      <c r="H105">
        <v>1</v>
      </c>
    </row>
    <row r="106" spans="1:8">
      <c r="A106" t="s">
        <v>1740</v>
      </c>
      <c r="B106" t="s">
        <v>938</v>
      </c>
      <c r="C106" s="4">
        <v>45443</v>
      </c>
      <c r="D106" t="s">
        <v>1641</v>
      </c>
      <c r="E106" t="s">
        <v>1609</v>
      </c>
      <c r="F106" s="5">
        <v>2.2999999999999998</v>
      </c>
      <c r="G106" t="s">
        <v>1626</v>
      </c>
      <c r="H106">
        <v>3</v>
      </c>
    </row>
    <row r="107" spans="1:8">
      <c r="A107" t="s">
        <v>1741</v>
      </c>
      <c r="B107" t="s">
        <v>1536</v>
      </c>
      <c r="C107" s="4">
        <v>45119</v>
      </c>
      <c r="D107" t="s">
        <v>1625</v>
      </c>
      <c r="E107" t="s">
        <v>1633</v>
      </c>
      <c r="F107" s="5">
        <v>2.2000000000000002</v>
      </c>
      <c r="G107" t="s">
        <v>1626</v>
      </c>
      <c r="H107">
        <v>1</v>
      </c>
    </row>
    <row r="108" spans="1:8">
      <c r="A108" t="s">
        <v>1742</v>
      </c>
      <c r="B108" t="s">
        <v>715</v>
      </c>
      <c r="C108" s="4">
        <v>45561</v>
      </c>
      <c r="D108" t="s">
        <v>1641</v>
      </c>
      <c r="E108" t="s">
        <v>1629</v>
      </c>
      <c r="F108" s="5">
        <v>2</v>
      </c>
      <c r="G108" t="s">
        <v>1630</v>
      </c>
      <c r="H108">
        <v>1</v>
      </c>
    </row>
    <row r="109" spans="1:8">
      <c r="A109" t="s">
        <v>1743</v>
      </c>
      <c r="B109" t="s">
        <v>1235</v>
      </c>
      <c r="C109" s="4">
        <v>45189</v>
      </c>
      <c r="D109" t="s">
        <v>1641</v>
      </c>
      <c r="E109" t="s">
        <v>1609</v>
      </c>
      <c r="F109" s="5">
        <v>21.9</v>
      </c>
      <c r="G109" t="s">
        <v>1630</v>
      </c>
      <c r="H109">
        <v>5</v>
      </c>
    </row>
    <row r="110" spans="1:8">
      <c r="A110" t="s">
        <v>1744</v>
      </c>
      <c r="B110" t="s">
        <v>464</v>
      </c>
      <c r="C110" s="4">
        <v>45875</v>
      </c>
      <c r="D110" t="s">
        <v>1628</v>
      </c>
      <c r="E110" t="s">
        <v>1648</v>
      </c>
      <c r="F110" s="5">
        <v>3.9</v>
      </c>
      <c r="G110" t="s">
        <v>1626</v>
      </c>
      <c r="H110">
        <v>3</v>
      </c>
    </row>
    <row r="111" spans="1:8">
      <c r="A111" t="s">
        <v>1745</v>
      </c>
      <c r="B111" t="s">
        <v>1286</v>
      </c>
      <c r="C111" s="4">
        <v>45026</v>
      </c>
      <c r="D111" t="s">
        <v>1628</v>
      </c>
      <c r="E111" t="s">
        <v>1609</v>
      </c>
      <c r="F111" s="5">
        <v>9.6</v>
      </c>
      <c r="G111" t="s">
        <v>1630</v>
      </c>
      <c r="H111">
        <v>4</v>
      </c>
    </row>
    <row r="112" spans="1:8">
      <c r="A112" t="s">
        <v>1746</v>
      </c>
      <c r="B112" t="s">
        <v>665</v>
      </c>
      <c r="C112" s="4">
        <v>45260</v>
      </c>
      <c r="D112" t="s">
        <v>1628</v>
      </c>
      <c r="E112" t="s">
        <v>1648</v>
      </c>
      <c r="F112" s="5">
        <v>3.2</v>
      </c>
      <c r="G112" t="s">
        <v>1630</v>
      </c>
      <c r="H112">
        <v>2</v>
      </c>
    </row>
    <row r="113" spans="1:8">
      <c r="A113" t="s">
        <v>1747</v>
      </c>
      <c r="B113" t="s">
        <v>1586</v>
      </c>
      <c r="C113" s="4">
        <v>45084</v>
      </c>
      <c r="D113" t="s">
        <v>1628</v>
      </c>
      <c r="E113" t="s">
        <v>1629</v>
      </c>
      <c r="F113" s="5">
        <v>2.2999999999999998</v>
      </c>
      <c r="G113" t="s">
        <v>1630</v>
      </c>
      <c r="H113">
        <v>2</v>
      </c>
    </row>
    <row r="114" spans="1:8">
      <c r="A114" t="s">
        <v>1748</v>
      </c>
      <c r="B114" t="s">
        <v>1352</v>
      </c>
      <c r="C114" s="4">
        <v>45698</v>
      </c>
      <c r="D114" t="s">
        <v>1628</v>
      </c>
      <c r="E114" t="s">
        <v>1605</v>
      </c>
      <c r="F114" s="5">
        <v>2</v>
      </c>
      <c r="G114" t="s">
        <v>1626</v>
      </c>
      <c r="H114">
        <v>3</v>
      </c>
    </row>
    <row r="115" spans="1:8">
      <c r="A115" t="s">
        <v>1749</v>
      </c>
      <c r="B115" t="s">
        <v>1440</v>
      </c>
      <c r="C115" s="4">
        <v>45937</v>
      </c>
      <c r="D115" t="s">
        <v>1628</v>
      </c>
      <c r="E115" t="s">
        <v>1629</v>
      </c>
      <c r="F115" s="5">
        <v>13.2</v>
      </c>
      <c r="G115" t="s">
        <v>1626</v>
      </c>
      <c r="H115">
        <v>1</v>
      </c>
    </row>
    <row r="116" spans="1:8">
      <c r="A116" t="s">
        <v>1750</v>
      </c>
      <c r="B116" t="s">
        <v>311</v>
      </c>
      <c r="C116" s="4">
        <v>45263</v>
      </c>
      <c r="D116" t="s">
        <v>1628</v>
      </c>
      <c r="E116" t="s">
        <v>1648</v>
      </c>
      <c r="F116" s="5">
        <v>6.6</v>
      </c>
      <c r="G116" t="s">
        <v>1630</v>
      </c>
      <c r="H116">
        <v>3</v>
      </c>
    </row>
    <row r="117" spans="1:8">
      <c r="A117" t="s">
        <v>1751</v>
      </c>
      <c r="B117" t="s">
        <v>1381</v>
      </c>
      <c r="C117" s="4">
        <v>45807</v>
      </c>
      <c r="D117" t="s">
        <v>1628</v>
      </c>
      <c r="E117" t="s">
        <v>1648</v>
      </c>
      <c r="F117" s="5">
        <v>18.2</v>
      </c>
      <c r="G117" t="s">
        <v>1630</v>
      </c>
      <c r="H117">
        <v>5</v>
      </c>
    </row>
    <row r="118" spans="1:8">
      <c r="A118" t="s">
        <v>1752</v>
      </c>
      <c r="B118" t="s">
        <v>321</v>
      </c>
      <c r="C118" s="4">
        <v>45784</v>
      </c>
      <c r="D118" t="s">
        <v>1641</v>
      </c>
      <c r="E118" t="s">
        <v>1633</v>
      </c>
      <c r="F118" s="5">
        <v>4.5999999999999996</v>
      </c>
      <c r="G118" t="s">
        <v>1630</v>
      </c>
      <c r="H118">
        <v>1</v>
      </c>
    </row>
    <row r="119" spans="1:8">
      <c r="A119" t="s">
        <v>1753</v>
      </c>
      <c r="B119" t="s">
        <v>237</v>
      </c>
      <c r="C119" s="4">
        <v>45105</v>
      </c>
      <c r="D119" t="s">
        <v>1628</v>
      </c>
      <c r="E119" t="s">
        <v>1633</v>
      </c>
      <c r="F119" s="5">
        <v>5.0999999999999996</v>
      </c>
      <c r="G119" t="s">
        <v>1630</v>
      </c>
      <c r="H119">
        <v>2</v>
      </c>
    </row>
    <row r="120" spans="1:8">
      <c r="A120" t="s">
        <v>1754</v>
      </c>
      <c r="B120" t="s">
        <v>1515</v>
      </c>
      <c r="C120" s="4">
        <v>45208</v>
      </c>
      <c r="D120" t="s">
        <v>1628</v>
      </c>
      <c r="E120" t="s">
        <v>1605</v>
      </c>
      <c r="F120" s="5">
        <v>0.7</v>
      </c>
      <c r="G120" t="s">
        <v>1630</v>
      </c>
      <c r="H120">
        <v>2</v>
      </c>
    </row>
    <row r="121" spans="1:8">
      <c r="A121" t="s">
        <v>1755</v>
      </c>
      <c r="B121" t="s">
        <v>898</v>
      </c>
      <c r="C121" s="4">
        <v>46045</v>
      </c>
      <c r="D121" t="s">
        <v>1625</v>
      </c>
      <c r="E121" t="s">
        <v>1633</v>
      </c>
      <c r="F121" s="5">
        <v>5.2</v>
      </c>
      <c r="G121" t="s">
        <v>1626</v>
      </c>
      <c r="H121">
        <v>3</v>
      </c>
    </row>
    <row r="122" spans="1:8">
      <c r="A122" t="s">
        <v>1756</v>
      </c>
      <c r="B122" t="s">
        <v>472</v>
      </c>
      <c r="C122" s="4">
        <v>46119</v>
      </c>
      <c r="D122" t="s">
        <v>1625</v>
      </c>
      <c r="E122" t="s">
        <v>1648</v>
      </c>
      <c r="F122" s="5">
        <v>0.3</v>
      </c>
      <c r="G122" t="s">
        <v>1630</v>
      </c>
      <c r="H122">
        <v>3</v>
      </c>
    </row>
    <row r="123" spans="1:8">
      <c r="A123" t="s">
        <v>1757</v>
      </c>
      <c r="B123" t="s">
        <v>372</v>
      </c>
      <c r="C123" s="4">
        <v>45727</v>
      </c>
      <c r="D123" t="s">
        <v>1628</v>
      </c>
      <c r="E123" t="s">
        <v>1609</v>
      </c>
      <c r="F123" s="5">
        <v>5.7</v>
      </c>
      <c r="G123" t="s">
        <v>1630</v>
      </c>
      <c r="H123">
        <v>5</v>
      </c>
    </row>
    <row r="124" spans="1:8">
      <c r="A124" t="s">
        <v>1758</v>
      </c>
      <c r="B124" t="s">
        <v>1207</v>
      </c>
      <c r="C124" s="4">
        <v>45471</v>
      </c>
      <c r="D124" t="s">
        <v>1641</v>
      </c>
      <c r="E124" t="s">
        <v>1609</v>
      </c>
      <c r="F124" s="5">
        <v>2.9</v>
      </c>
      <c r="G124" t="s">
        <v>1630</v>
      </c>
      <c r="H124">
        <v>3</v>
      </c>
    </row>
    <row r="125" spans="1:8">
      <c r="A125" t="s">
        <v>1759</v>
      </c>
      <c r="B125" t="s">
        <v>1534</v>
      </c>
      <c r="C125" s="4">
        <v>45426</v>
      </c>
      <c r="D125" t="s">
        <v>1637</v>
      </c>
      <c r="E125" t="s">
        <v>1605</v>
      </c>
      <c r="F125" s="5">
        <v>1.7</v>
      </c>
      <c r="G125" t="s">
        <v>1630</v>
      </c>
      <c r="H125">
        <v>4</v>
      </c>
    </row>
    <row r="126" spans="1:8">
      <c r="A126" t="s">
        <v>1760</v>
      </c>
      <c r="B126" t="s">
        <v>527</v>
      </c>
      <c r="C126" s="4">
        <v>45129</v>
      </c>
      <c r="D126" t="s">
        <v>1628</v>
      </c>
      <c r="E126" t="s">
        <v>1648</v>
      </c>
      <c r="F126" s="5">
        <v>8</v>
      </c>
      <c r="G126" t="s">
        <v>1630</v>
      </c>
      <c r="H126">
        <v>1</v>
      </c>
    </row>
    <row r="127" spans="1:8">
      <c r="A127" t="s">
        <v>1761</v>
      </c>
      <c r="B127" t="s">
        <v>397</v>
      </c>
      <c r="C127" s="4">
        <v>45187</v>
      </c>
      <c r="D127" t="s">
        <v>1637</v>
      </c>
      <c r="E127" t="s">
        <v>1605</v>
      </c>
      <c r="F127" s="5">
        <v>15.8</v>
      </c>
      <c r="G127" t="s">
        <v>1630</v>
      </c>
      <c r="H127">
        <v>5</v>
      </c>
    </row>
    <row r="128" spans="1:8">
      <c r="A128" t="s">
        <v>1762</v>
      </c>
      <c r="B128" t="s">
        <v>253</v>
      </c>
      <c r="C128" s="4">
        <v>46086</v>
      </c>
      <c r="D128" t="s">
        <v>1628</v>
      </c>
      <c r="E128" t="s">
        <v>1629</v>
      </c>
      <c r="F128" s="5">
        <v>14.6</v>
      </c>
      <c r="G128" t="s">
        <v>1630</v>
      </c>
      <c r="H128">
        <v>2</v>
      </c>
    </row>
    <row r="129" spans="1:8">
      <c r="A129" t="s">
        <v>1763</v>
      </c>
      <c r="B129" t="s">
        <v>1420</v>
      </c>
      <c r="C129" s="4">
        <v>45464</v>
      </c>
      <c r="D129" t="s">
        <v>1625</v>
      </c>
      <c r="E129" t="s">
        <v>1629</v>
      </c>
      <c r="F129" s="5">
        <v>0.4</v>
      </c>
      <c r="G129" t="s">
        <v>1630</v>
      </c>
      <c r="H129">
        <v>4</v>
      </c>
    </row>
    <row r="130" spans="1:8">
      <c r="A130" t="s">
        <v>1764</v>
      </c>
      <c r="B130" t="s">
        <v>146</v>
      </c>
      <c r="C130" s="4">
        <v>45321</v>
      </c>
      <c r="D130" t="s">
        <v>1632</v>
      </c>
      <c r="E130" t="s">
        <v>1633</v>
      </c>
      <c r="F130" s="5">
        <v>4</v>
      </c>
      <c r="G130" t="s">
        <v>1630</v>
      </c>
      <c r="H130">
        <v>2</v>
      </c>
    </row>
    <row r="131" spans="1:8">
      <c r="A131" t="s">
        <v>1765</v>
      </c>
      <c r="B131" t="s">
        <v>1321</v>
      </c>
      <c r="C131" s="4">
        <v>45187</v>
      </c>
      <c r="D131" t="s">
        <v>1641</v>
      </c>
      <c r="E131" t="s">
        <v>1648</v>
      </c>
      <c r="F131" s="5">
        <v>17.600000000000001</v>
      </c>
      <c r="G131" t="s">
        <v>1630</v>
      </c>
      <c r="H131">
        <v>2</v>
      </c>
    </row>
    <row r="132" spans="1:8">
      <c r="A132" t="s">
        <v>1766</v>
      </c>
      <c r="B132" t="s">
        <v>575</v>
      </c>
      <c r="C132" s="4">
        <v>46153</v>
      </c>
      <c r="D132" t="s">
        <v>1641</v>
      </c>
      <c r="E132" t="s">
        <v>1629</v>
      </c>
      <c r="F132" s="5">
        <v>11.9</v>
      </c>
      <c r="G132" t="s">
        <v>1630</v>
      </c>
      <c r="H132">
        <v>1</v>
      </c>
    </row>
    <row r="133" spans="1:8">
      <c r="A133" t="s">
        <v>1767</v>
      </c>
      <c r="B133" t="s">
        <v>855</v>
      </c>
      <c r="C133" s="4">
        <v>45062</v>
      </c>
      <c r="D133" t="s">
        <v>1641</v>
      </c>
      <c r="E133" t="s">
        <v>1605</v>
      </c>
      <c r="F133" s="5">
        <v>11.9</v>
      </c>
      <c r="G133" t="s">
        <v>1630</v>
      </c>
      <c r="H133">
        <v>3</v>
      </c>
    </row>
    <row r="134" spans="1:8">
      <c r="A134" t="s">
        <v>1768</v>
      </c>
      <c r="B134" t="s">
        <v>820</v>
      </c>
      <c r="C134" s="4">
        <v>45502</v>
      </c>
      <c r="D134" t="s">
        <v>1641</v>
      </c>
      <c r="E134" t="s">
        <v>1633</v>
      </c>
      <c r="F134" s="5">
        <v>2.9</v>
      </c>
      <c r="G134" t="s">
        <v>1630</v>
      </c>
      <c r="H134">
        <v>3</v>
      </c>
    </row>
    <row r="135" spans="1:8">
      <c r="A135" t="s">
        <v>1769</v>
      </c>
      <c r="B135" t="s">
        <v>1532</v>
      </c>
      <c r="C135" s="4">
        <v>45558</v>
      </c>
      <c r="D135" t="s">
        <v>1637</v>
      </c>
      <c r="E135" t="s">
        <v>1629</v>
      </c>
      <c r="F135" s="5">
        <v>5.7</v>
      </c>
      <c r="G135" t="s">
        <v>1630</v>
      </c>
      <c r="H135">
        <v>5</v>
      </c>
    </row>
    <row r="136" spans="1:8">
      <c r="A136" t="s">
        <v>1770</v>
      </c>
      <c r="B136" t="s">
        <v>1246</v>
      </c>
      <c r="C136" s="4">
        <v>46074</v>
      </c>
      <c r="D136" t="s">
        <v>1667</v>
      </c>
      <c r="E136" t="s">
        <v>1648</v>
      </c>
      <c r="F136" s="5">
        <v>7.3</v>
      </c>
      <c r="G136" t="s">
        <v>1630</v>
      </c>
      <c r="H136">
        <v>2</v>
      </c>
    </row>
    <row r="137" spans="1:8">
      <c r="A137" t="s">
        <v>1771</v>
      </c>
      <c r="B137" t="s">
        <v>930</v>
      </c>
      <c r="C137" s="4">
        <v>45617</v>
      </c>
      <c r="D137" t="s">
        <v>1628</v>
      </c>
      <c r="E137" t="s">
        <v>1629</v>
      </c>
      <c r="F137" s="5">
        <v>29.6</v>
      </c>
      <c r="G137" t="s">
        <v>1630</v>
      </c>
      <c r="H137">
        <v>5</v>
      </c>
    </row>
    <row r="138" spans="1:8">
      <c r="A138" t="s">
        <v>1772</v>
      </c>
      <c r="B138" t="s">
        <v>1160</v>
      </c>
      <c r="C138" s="4">
        <v>45055</v>
      </c>
      <c r="D138" t="s">
        <v>1628</v>
      </c>
      <c r="E138" t="s">
        <v>1633</v>
      </c>
      <c r="F138" s="5">
        <v>21.8</v>
      </c>
      <c r="G138" t="s">
        <v>1626</v>
      </c>
      <c r="H138">
        <v>3</v>
      </c>
    </row>
    <row r="139" spans="1:8">
      <c r="A139" t="s">
        <v>1773</v>
      </c>
      <c r="B139" t="s">
        <v>991</v>
      </c>
      <c r="C139" s="4">
        <v>45393</v>
      </c>
      <c r="D139" t="s">
        <v>1625</v>
      </c>
      <c r="E139" t="s">
        <v>1633</v>
      </c>
      <c r="F139" s="5">
        <v>19</v>
      </c>
      <c r="G139" t="s">
        <v>1630</v>
      </c>
      <c r="H139">
        <v>3</v>
      </c>
    </row>
    <row r="140" spans="1:8">
      <c r="A140" t="s">
        <v>1774</v>
      </c>
      <c r="B140" t="s">
        <v>1592</v>
      </c>
      <c r="C140" s="4">
        <v>45554</v>
      </c>
      <c r="D140" t="s">
        <v>1628</v>
      </c>
      <c r="E140" t="s">
        <v>1633</v>
      </c>
      <c r="F140" s="5">
        <v>5.8</v>
      </c>
      <c r="G140" t="s">
        <v>1630</v>
      </c>
      <c r="H140">
        <v>3</v>
      </c>
    </row>
    <row r="141" spans="1:8">
      <c r="A141" t="s">
        <v>1775</v>
      </c>
      <c r="B141" t="s">
        <v>1111</v>
      </c>
      <c r="C141" s="4">
        <v>45795</v>
      </c>
      <c r="D141" t="s">
        <v>1632</v>
      </c>
      <c r="E141" t="s">
        <v>1605</v>
      </c>
      <c r="F141" s="5">
        <v>11.7</v>
      </c>
      <c r="G141" t="s">
        <v>1626</v>
      </c>
      <c r="H141">
        <v>1</v>
      </c>
    </row>
    <row r="142" spans="1:8">
      <c r="A142" t="s">
        <v>1776</v>
      </c>
      <c r="B142" t="s">
        <v>1389</v>
      </c>
      <c r="C142" s="4">
        <v>45531</v>
      </c>
      <c r="D142" t="s">
        <v>1628</v>
      </c>
      <c r="E142" t="s">
        <v>1633</v>
      </c>
      <c r="F142" s="5">
        <v>10</v>
      </c>
      <c r="G142" t="s">
        <v>1630</v>
      </c>
      <c r="H142">
        <v>2</v>
      </c>
    </row>
    <row r="143" spans="1:8">
      <c r="A143" t="s">
        <v>1777</v>
      </c>
      <c r="B143" t="s">
        <v>1385</v>
      </c>
      <c r="C143" s="4">
        <v>45874</v>
      </c>
      <c r="D143" t="s">
        <v>1641</v>
      </c>
      <c r="E143" t="s">
        <v>1605</v>
      </c>
      <c r="F143" s="5">
        <v>1</v>
      </c>
      <c r="G143" t="s">
        <v>1630</v>
      </c>
      <c r="H143">
        <v>3</v>
      </c>
    </row>
    <row r="144" spans="1:8">
      <c r="A144" t="s">
        <v>1778</v>
      </c>
      <c r="B144" t="s">
        <v>1169</v>
      </c>
      <c r="C144" s="4">
        <v>45432</v>
      </c>
      <c r="D144" t="s">
        <v>1628</v>
      </c>
      <c r="E144" t="s">
        <v>1633</v>
      </c>
      <c r="F144" s="5">
        <v>1.6</v>
      </c>
      <c r="G144" t="s">
        <v>1630</v>
      </c>
      <c r="H144">
        <v>4</v>
      </c>
    </row>
    <row r="145" spans="1:8">
      <c r="A145" t="s">
        <v>1779</v>
      </c>
      <c r="B145" t="s">
        <v>793</v>
      </c>
      <c r="C145" s="4">
        <v>45430</v>
      </c>
      <c r="D145" t="s">
        <v>1625</v>
      </c>
      <c r="E145" t="s">
        <v>1633</v>
      </c>
      <c r="F145" s="5">
        <v>21.6</v>
      </c>
      <c r="G145" t="s">
        <v>1630</v>
      </c>
      <c r="H145">
        <v>3</v>
      </c>
    </row>
    <row r="146" spans="1:8">
      <c r="A146" t="s">
        <v>1780</v>
      </c>
      <c r="B146" t="s">
        <v>397</v>
      </c>
      <c r="C146" s="4">
        <v>45448</v>
      </c>
      <c r="D146" t="s">
        <v>1641</v>
      </c>
      <c r="E146" t="s">
        <v>1633</v>
      </c>
      <c r="F146" s="5">
        <v>1.1000000000000001</v>
      </c>
      <c r="G146" t="s">
        <v>1630</v>
      </c>
      <c r="H146">
        <v>5</v>
      </c>
    </row>
    <row r="147" spans="1:8">
      <c r="A147" t="s">
        <v>1781</v>
      </c>
      <c r="B147" t="s">
        <v>820</v>
      </c>
      <c r="C147" s="4">
        <v>44933</v>
      </c>
      <c r="D147" t="s">
        <v>1628</v>
      </c>
      <c r="E147" t="s">
        <v>1633</v>
      </c>
      <c r="F147" s="5">
        <v>21</v>
      </c>
      <c r="G147" t="s">
        <v>1630</v>
      </c>
      <c r="H147">
        <v>5</v>
      </c>
    </row>
    <row r="148" spans="1:8">
      <c r="A148" t="s">
        <v>1782</v>
      </c>
      <c r="B148" t="s">
        <v>1088</v>
      </c>
      <c r="C148" s="4">
        <v>45494</v>
      </c>
      <c r="D148" t="s">
        <v>1641</v>
      </c>
      <c r="E148" t="s">
        <v>1629</v>
      </c>
      <c r="F148" s="5">
        <v>1.8</v>
      </c>
      <c r="G148" t="s">
        <v>1630</v>
      </c>
      <c r="H148">
        <v>4</v>
      </c>
    </row>
    <row r="149" spans="1:8">
      <c r="A149" t="s">
        <v>1783</v>
      </c>
      <c r="B149" t="s">
        <v>1157</v>
      </c>
      <c r="C149" s="4">
        <v>45929</v>
      </c>
      <c r="D149" t="s">
        <v>1641</v>
      </c>
      <c r="E149" t="s">
        <v>1629</v>
      </c>
      <c r="F149" s="5">
        <v>4.5999999999999996</v>
      </c>
      <c r="G149" t="s">
        <v>1630</v>
      </c>
      <c r="H149">
        <v>2</v>
      </c>
    </row>
    <row r="150" spans="1:8">
      <c r="A150" t="s">
        <v>1784</v>
      </c>
      <c r="B150" t="s">
        <v>464</v>
      </c>
      <c r="C150" s="4">
        <v>45178</v>
      </c>
      <c r="D150" t="s">
        <v>1625</v>
      </c>
      <c r="E150" t="s">
        <v>1609</v>
      </c>
      <c r="F150" s="5">
        <v>0.3</v>
      </c>
      <c r="G150" t="s">
        <v>1630</v>
      </c>
      <c r="H150">
        <v>1</v>
      </c>
    </row>
    <row r="151" spans="1:8">
      <c r="A151" t="s">
        <v>1785</v>
      </c>
      <c r="B151" t="s">
        <v>1036</v>
      </c>
      <c r="C151" s="4">
        <v>46023</v>
      </c>
      <c r="D151" t="s">
        <v>1628</v>
      </c>
      <c r="E151" t="s">
        <v>1609</v>
      </c>
      <c r="F151" s="5">
        <v>20.8</v>
      </c>
      <c r="G151" t="s">
        <v>1630</v>
      </c>
      <c r="H151">
        <v>2</v>
      </c>
    </row>
    <row r="152" spans="1:8">
      <c r="A152" t="s">
        <v>1786</v>
      </c>
      <c r="B152" t="s">
        <v>179</v>
      </c>
      <c r="C152" s="4">
        <v>46087</v>
      </c>
      <c r="D152" t="s">
        <v>1628</v>
      </c>
      <c r="E152" t="s">
        <v>1609</v>
      </c>
      <c r="F152" s="5">
        <v>3.3</v>
      </c>
      <c r="G152" t="s">
        <v>1630</v>
      </c>
      <c r="H152">
        <v>3</v>
      </c>
    </row>
    <row r="153" spans="1:8">
      <c r="A153" t="s">
        <v>1787</v>
      </c>
      <c r="B153" t="s">
        <v>650</v>
      </c>
      <c r="C153" s="4">
        <v>45807</v>
      </c>
      <c r="D153" t="s">
        <v>1628</v>
      </c>
      <c r="E153" t="s">
        <v>1605</v>
      </c>
      <c r="F153" s="5">
        <v>7.7</v>
      </c>
      <c r="G153" t="s">
        <v>1630</v>
      </c>
      <c r="H153">
        <v>3</v>
      </c>
    </row>
    <row r="154" spans="1:8">
      <c r="A154" t="s">
        <v>1788</v>
      </c>
      <c r="B154" t="s">
        <v>1542</v>
      </c>
      <c r="C154" s="4">
        <v>46058</v>
      </c>
      <c r="D154" t="s">
        <v>1625</v>
      </c>
      <c r="E154" t="s">
        <v>1605</v>
      </c>
      <c r="F154" s="5">
        <v>1.3</v>
      </c>
      <c r="G154" t="s">
        <v>1630</v>
      </c>
      <c r="H154">
        <v>3</v>
      </c>
    </row>
    <row r="155" spans="1:8">
      <c r="A155" t="s">
        <v>1789</v>
      </c>
      <c r="B155" t="s">
        <v>1337</v>
      </c>
      <c r="C155" s="4">
        <v>45377</v>
      </c>
      <c r="D155" t="s">
        <v>1628</v>
      </c>
      <c r="E155" t="s">
        <v>1629</v>
      </c>
      <c r="F155" s="5">
        <v>1.8</v>
      </c>
      <c r="G155" t="s">
        <v>1630</v>
      </c>
      <c r="H155">
        <v>2</v>
      </c>
    </row>
    <row r="156" spans="1:8">
      <c r="A156" t="s">
        <v>1790</v>
      </c>
      <c r="B156" t="s">
        <v>290</v>
      </c>
      <c r="C156" s="4">
        <v>46096</v>
      </c>
      <c r="D156" t="s">
        <v>1632</v>
      </c>
      <c r="E156" t="s">
        <v>1633</v>
      </c>
      <c r="F156" s="5">
        <v>13.3</v>
      </c>
      <c r="G156" t="s">
        <v>1630</v>
      </c>
      <c r="H156">
        <v>2</v>
      </c>
    </row>
    <row r="157" spans="1:8">
      <c r="A157" t="s">
        <v>1791</v>
      </c>
      <c r="B157" t="s">
        <v>1440</v>
      </c>
      <c r="C157" s="4">
        <v>45759</v>
      </c>
      <c r="D157" t="s">
        <v>1628</v>
      </c>
      <c r="E157" t="s">
        <v>1629</v>
      </c>
      <c r="F157" s="5">
        <v>7.5</v>
      </c>
      <c r="G157" t="s">
        <v>1626</v>
      </c>
      <c r="H157">
        <v>1</v>
      </c>
    </row>
    <row r="158" spans="1:8">
      <c r="A158" t="s">
        <v>1792</v>
      </c>
      <c r="B158" t="s">
        <v>643</v>
      </c>
      <c r="C158" s="4">
        <v>45146</v>
      </c>
      <c r="D158" t="s">
        <v>1628</v>
      </c>
      <c r="E158" t="s">
        <v>1633</v>
      </c>
      <c r="F158" s="5">
        <v>4.5999999999999996</v>
      </c>
      <c r="G158" t="s">
        <v>1626</v>
      </c>
      <c r="H158">
        <v>2</v>
      </c>
    </row>
    <row r="159" spans="1:8">
      <c r="A159" t="s">
        <v>1793</v>
      </c>
      <c r="B159" t="s">
        <v>898</v>
      </c>
      <c r="C159" s="4">
        <v>45364</v>
      </c>
      <c r="D159" t="s">
        <v>1628</v>
      </c>
      <c r="E159" t="s">
        <v>1609</v>
      </c>
      <c r="F159" s="5">
        <v>4.2</v>
      </c>
      <c r="G159" t="s">
        <v>1630</v>
      </c>
      <c r="H159">
        <v>2</v>
      </c>
    </row>
    <row r="160" spans="1:8">
      <c r="A160" t="s">
        <v>1794</v>
      </c>
      <c r="B160" t="s">
        <v>1307</v>
      </c>
      <c r="C160" s="4">
        <v>45714</v>
      </c>
      <c r="D160" t="s">
        <v>1637</v>
      </c>
      <c r="E160" t="s">
        <v>1629</v>
      </c>
      <c r="F160" s="5">
        <v>0.2</v>
      </c>
      <c r="G160" t="s">
        <v>1630</v>
      </c>
      <c r="H160">
        <v>2</v>
      </c>
    </row>
    <row r="161" spans="1:8">
      <c r="A161" t="s">
        <v>1795</v>
      </c>
      <c r="B161" t="s">
        <v>1484</v>
      </c>
      <c r="C161" s="4">
        <v>45933</v>
      </c>
      <c r="D161" t="s">
        <v>1625</v>
      </c>
      <c r="E161" t="s">
        <v>1648</v>
      </c>
      <c r="F161" s="5">
        <v>3.4</v>
      </c>
      <c r="G161" t="s">
        <v>1630</v>
      </c>
      <c r="H161">
        <v>5</v>
      </c>
    </row>
    <row r="162" spans="1:8">
      <c r="A162" t="s">
        <v>1796</v>
      </c>
      <c r="B162" t="s">
        <v>1139</v>
      </c>
      <c r="C162" s="4">
        <v>45721</v>
      </c>
      <c r="D162" t="s">
        <v>1655</v>
      </c>
      <c r="E162" t="s">
        <v>1648</v>
      </c>
      <c r="F162" s="5">
        <v>1.8</v>
      </c>
      <c r="G162" t="s">
        <v>1630</v>
      </c>
      <c r="H162">
        <v>1</v>
      </c>
    </row>
    <row r="163" spans="1:8">
      <c r="A163" t="s">
        <v>1797</v>
      </c>
      <c r="B163" t="s">
        <v>1117</v>
      </c>
      <c r="C163" s="4">
        <v>45700</v>
      </c>
      <c r="D163" t="s">
        <v>1628</v>
      </c>
      <c r="E163" t="s">
        <v>1629</v>
      </c>
      <c r="F163" s="5">
        <v>1.9</v>
      </c>
      <c r="G163" t="s">
        <v>1630</v>
      </c>
      <c r="H163">
        <v>4</v>
      </c>
    </row>
    <row r="164" spans="1:8">
      <c r="A164" t="s">
        <v>1798</v>
      </c>
      <c r="B164" t="s">
        <v>632</v>
      </c>
      <c r="C164" s="4">
        <v>45436</v>
      </c>
      <c r="D164" t="s">
        <v>1632</v>
      </c>
      <c r="E164" t="s">
        <v>1605</v>
      </c>
      <c r="F164" s="5">
        <v>3.8</v>
      </c>
      <c r="G164" t="s">
        <v>1626</v>
      </c>
      <c r="H164">
        <v>1</v>
      </c>
    </row>
    <row r="165" spans="1:8">
      <c r="A165" t="s">
        <v>1799</v>
      </c>
      <c r="B165" t="s">
        <v>1237</v>
      </c>
      <c r="C165" s="4">
        <v>46080</v>
      </c>
      <c r="D165" t="s">
        <v>1628</v>
      </c>
      <c r="E165" t="s">
        <v>1609</v>
      </c>
      <c r="F165" s="5">
        <v>4.8</v>
      </c>
      <c r="G165" t="s">
        <v>1630</v>
      </c>
      <c r="H165">
        <v>4</v>
      </c>
    </row>
    <row r="166" spans="1:8">
      <c r="A166" t="s">
        <v>1800</v>
      </c>
      <c r="B166" t="s">
        <v>1071</v>
      </c>
      <c r="C166" s="4">
        <v>45633</v>
      </c>
      <c r="D166" t="s">
        <v>1625</v>
      </c>
      <c r="E166" t="s">
        <v>1609</v>
      </c>
      <c r="F166" s="5">
        <v>5.4</v>
      </c>
      <c r="G166" t="s">
        <v>1630</v>
      </c>
      <c r="H166">
        <v>4</v>
      </c>
    </row>
    <row r="167" spans="1:8">
      <c r="A167" t="s">
        <v>1801</v>
      </c>
      <c r="B167" t="s">
        <v>285</v>
      </c>
      <c r="C167" s="4">
        <v>45822</v>
      </c>
      <c r="D167" t="s">
        <v>1628</v>
      </c>
      <c r="E167" t="s">
        <v>1605</v>
      </c>
      <c r="F167" s="5">
        <v>2.5</v>
      </c>
      <c r="G167" t="s">
        <v>1626</v>
      </c>
      <c r="H167">
        <v>2</v>
      </c>
    </row>
    <row r="168" spans="1:8">
      <c r="A168" t="s">
        <v>1802</v>
      </c>
      <c r="B168" t="s">
        <v>944</v>
      </c>
      <c r="C168" s="4">
        <v>45250</v>
      </c>
      <c r="D168" t="s">
        <v>1628</v>
      </c>
      <c r="E168" t="s">
        <v>1648</v>
      </c>
      <c r="F168" s="5">
        <v>8.3000000000000007</v>
      </c>
      <c r="G168" t="s">
        <v>1630</v>
      </c>
      <c r="H168">
        <v>2</v>
      </c>
    </row>
    <row r="169" spans="1:8">
      <c r="A169" t="s">
        <v>1803</v>
      </c>
      <c r="B169" t="s">
        <v>1441</v>
      </c>
      <c r="C169" s="4">
        <v>45001</v>
      </c>
      <c r="D169" t="s">
        <v>1667</v>
      </c>
      <c r="E169" t="s">
        <v>1633</v>
      </c>
      <c r="F169" s="5">
        <v>0.4</v>
      </c>
      <c r="G169" t="s">
        <v>1630</v>
      </c>
      <c r="H169">
        <v>2</v>
      </c>
    </row>
    <row r="170" spans="1:8">
      <c r="A170" t="s">
        <v>1804</v>
      </c>
      <c r="B170" t="s">
        <v>293</v>
      </c>
      <c r="C170" s="4">
        <v>46059</v>
      </c>
      <c r="D170" t="s">
        <v>1628</v>
      </c>
      <c r="E170" t="s">
        <v>1609</v>
      </c>
      <c r="F170" s="5">
        <v>6</v>
      </c>
      <c r="G170" t="s">
        <v>1630</v>
      </c>
      <c r="H170">
        <v>2</v>
      </c>
    </row>
    <row r="171" spans="1:8">
      <c r="A171" t="s">
        <v>1805</v>
      </c>
      <c r="B171" t="s">
        <v>665</v>
      </c>
      <c r="C171" s="4">
        <v>45217</v>
      </c>
      <c r="D171" t="s">
        <v>1637</v>
      </c>
      <c r="E171" t="s">
        <v>1633</v>
      </c>
      <c r="F171" s="5">
        <v>16.399999999999999</v>
      </c>
      <c r="G171" t="s">
        <v>1630</v>
      </c>
      <c r="H171">
        <v>4</v>
      </c>
    </row>
    <row r="172" spans="1:8">
      <c r="A172" t="s">
        <v>1806</v>
      </c>
      <c r="B172" t="s">
        <v>697</v>
      </c>
      <c r="C172" s="4">
        <v>45268</v>
      </c>
      <c r="D172" t="s">
        <v>1641</v>
      </c>
      <c r="E172" t="s">
        <v>1605</v>
      </c>
      <c r="F172" s="5">
        <v>16.399999999999999</v>
      </c>
      <c r="G172" t="s">
        <v>1630</v>
      </c>
      <c r="H172">
        <v>5</v>
      </c>
    </row>
    <row r="173" spans="1:8">
      <c r="A173" t="s">
        <v>1807</v>
      </c>
      <c r="B173" t="s">
        <v>1191</v>
      </c>
      <c r="C173" s="4">
        <v>45287</v>
      </c>
      <c r="D173" t="s">
        <v>1625</v>
      </c>
      <c r="E173" t="s">
        <v>1629</v>
      </c>
      <c r="F173" s="5">
        <v>22.8</v>
      </c>
      <c r="G173" t="s">
        <v>1626</v>
      </c>
      <c r="H173">
        <v>1</v>
      </c>
    </row>
    <row r="174" spans="1:8">
      <c r="A174" t="s">
        <v>1808</v>
      </c>
      <c r="B174" t="s">
        <v>116</v>
      </c>
      <c r="C174" s="4">
        <v>45327</v>
      </c>
      <c r="D174" t="s">
        <v>1641</v>
      </c>
      <c r="E174" t="s">
        <v>1609</v>
      </c>
      <c r="F174" s="5">
        <v>0.6</v>
      </c>
      <c r="G174" t="s">
        <v>1630</v>
      </c>
      <c r="H174">
        <v>2</v>
      </c>
    </row>
    <row r="175" spans="1:8">
      <c r="A175" t="s">
        <v>1809</v>
      </c>
      <c r="B175" t="s">
        <v>1018</v>
      </c>
      <c r="C175" s="4">
        <v>45181</v>
      </c>
      <c r="D175" t="s">
        <v>1655</v>
      </c>
      <c r="E175" t="s">
        <v>1648</v>
      </c>
      <c r="F175" s="5">
        <v>11.4</v>
      </c>
      <c r="G175" t="s">
        <v>1630</v>
      </c>
      <c r="H175">
        <v>2</v>
      </c>
    </row>
    <row r="176" spans="1:8">
      <c r="A176" t="s">
        <v>1810</v>
      </c>
      <c r="B176" t="s">
        <v>1018</v>
      </c>
      <c r="C176" s="4">
        <v>45309</v>
      </c>
      <c r="D176" t="s">
        <v>1628</v>
      </c>
      <c r="E176" t="s">
        <v>1609</v>
      </c>
      <c r="F176" s="5">
        <v>3.2</v>
      </c>
      <c r="G176" t="s">
        <v>1630</v>
      </c>
      <c r="H176">
        <v>3</v>
      </c>
    </row>
    <row r="177" spans="1:8">
      <c r="A177" t="s">
        <v>1811</v>
      </c>
      <c r="B177" t="s">
        <v>991</v>
      </c>
      <c r="C177" s="4">
        <v>44969</v>
      </c>
      <c r="D177" t="s">
        <v>1641</v>
      </c>
      <c r="E177" t="s">
        <v>1609</v>
      </c>
      <c r="F177" s="5">
        <v>4</v>
      </c>
      <c r="G177" t="s">
        <v>1630</v>
      </c>
      <c r="H177">
        <v>4</v>
      </c>
    </row>
    <row r="178" spans="1:8">
      <c r="A178" t="s">
        <v>1812</v>
      </c>
      <c r="B178" t="s">
        <v>416</v>
      </c>
      <c r="C178" s="4">
        <v>45197</v>
      </c>
      <c r="D178" t="s">
        <v>1628</v>
      </c>
      <c r="E178" t="s">
        <v>1648</v>
      </c>
      <c r="F178" s="5">
        <v>14.4</v>
      </c>
      <c r="G178" t="s">
        <v>1630</v>
      </c>
      <c r="H178">
        <v>3</v>
      </c>
    </row>
    <row r="179" spans="1:8">
      <c r="A179" t="s">
        <v>1813</v>
      </c>
      <c r="B179" t="s">
        <v>921</v>
      </c>
      <c r="C179" s="4">
        <v>45430</v>
      </c>
      <c r="D179" t="s">
        <v>1625</v>
      </c>
      <c r="E179" t="s">
        <v>1609</v>
      </c>
      <c r="F179" s="5">
        <v>10</v>
      </c>
      <c r="G179" t="s">
        <v>1630</v>
      </c>
      <c r="H179">
        <v>5</v>
      </c>
    </row>
    <row r="180" spans="1:8">
      <c r="A180" t="s">
        <v>1814</v>
      </c>
      <c r="B180" t="s">
        <v>1329</v>
      </c>
      <c r="C180" s="4">
        <v>45013</v>
      </c>
      <c r="D180" t="s">
        <v>1628</v>
      </c>
      <c r="E180" t="s">
        <v>1629</v>
      </c>
      <c r="F180" s="5">
        <v>1.2</v>
      </c>
      <c r="G180" t="s">
        <v>1630</v>
      </c>
      <c r="H180">
        <v>5</v>
      </c>
    </row>
    <row r="181" spans="1:8">
      <c r="A181" t="s">
        <v>1815</v>
      </c>
      <c r="B181" t="s">
        <v>1386</v>
      </c>
      <c r="C181" s="4">
        <v>45930</v>
      </c>
      <c r="D181" t="s">
        <v>1632</v>
      </c>
      <c r="E181" t="s">
        <v>1629</v>
      </c>
      <c r="F181" s="5">
        <v>6.4</v>
      </c>
      <c r="G181" t="s">
        <v>1630</v>
      </c>
      <c r="H181">
        <v>5</v>
      </c>
    </row>
    <row r="182" spans="1:8">
      <c r="A182" t="s">
        <v>1816</v>
      </c>
      <c r="B182" t="s">
        <v>926</v>
      </c>
      <c r="C182" s="4">
        <v>45991</v>
      </c>
      <c r="D182" t="s">
        <v>1625</v>
      </c>
      <c r="E182" t="s">
        <v>1648</v>
      </c>
      <c r="F182" s="5">
        <v>6.9</v>
      </c>
      <c r="G182" t="s">
        <v>1626</v>
      </c>
      <c r="H182">
        <v>2</v>
      </c>
    </row>
    <row r="183" spans="1:8">
      <c r="A183" t="s">
        <v>1817</v>
      </c>
      <c r="B183" t="s">
        <v>1326</v>
      </c>
      <c r="C183" s="4">
        <v>45441</v>
      </c>
      <c r="D183" t="s">
        <v>1641</v>
      </c>
      <c r="E183" t="s">
        <v>1629</v>
      </c>
      <c r="F183" s="5">
        <v>1.5</v>
      </c>
      <c r="G183" t="s">
        <v>1626</v>
      </c>
      <c r="H183">
        <v>1</v>
      </c>
    </row>
    <row r="184" spans="1:8">
      <c r="A184" t="s">
        <v>1818</v>
      </c>
      <c r="B184" t="s">
        <v>1393</v>
      </c>
      <c r="C184" s="4">
        <v>45001</v>
      </c>
      <c r="D184" t="s">
        <v>1628</v>
      </c>
      <c r="E184" t="s">
        <v>1648</v>
      </c>
      <c r="F184" s="5">
        <v>41.9</v>
      </c>
      <c r="G184" t="s">
        <v>1626</v>
      </c>
      <c r="H184">
        <v>1</v>
      </c>
    </row>
    <row r="185" spans="1:8">
      <c r="A185" t="s">
        <v>1819</v>
      </c>
      <c r="B185" t="s">
        <v>1122</v>
      </c>
      <c r="C185" s="4">
        <v>45771</v>
      </c>
      <c r="D185" t="s">
        <v>1625</v>
      </c>
      <c r="E185" t="s">
        <v>1633</v>
      </c>
      <c r="F185" s="5">
        <v>3.7</v>
      </c>
      <c r="G185" t="s">
        <v>1630</v>
      </c>
      <c r="H185">
        <v>2</v>
      </c>
    </row>
    <row r="186" spans="1:8">
      <c r="A186" t="s">
        <v>1820</v>
      </c>
      <c r="B186" t="s">
        <v>1325</v>
      </c>
      <c r="C186" s="4">
        <v>44959</v>
      </c>
      <c r="D186" t="s">
        <v>1628</v>
      </c>
      <c r="E186" t="s">
        <v>1605</v>
      </c>
      <c r="F186" s="5">
        <v>4.8</v>
      </c>
      <c r="G186" t="s">
        <v>1630</v>
      </c>
      <c r="H186">
        <v>2</v>
      </c>
    </row>
    <row r="187" spans="1:8">
      <c r="A187" t="s">
        <v>1821</v>
      </c>
      <c r="B187" t="s">
        <v>1182</v>
      </c>
      <c r="C187" s="4">
        <v>45545</v>
      </c>
      <c r="D187" t="s">
        <v>1625</v>
      </c>
      <c r="E187" t="s">
        <v>1605</v>
      </c>
      <c r="F187" s="5">
        <v>0.2</v>
      </c>
      <c r="G187" t="s">
        <v>1630</v>
      </c>
      <c r="H187">
        <v>4</v>
      </c>
    </row>
    <row r="188" spans="1:8">
      <c r="A188" t="s">
        <v>1822</v>
      </c>
      <c r="B188" t="s">
        <v>595</v>
      </c>
      <c r="C188" s="4">
        <v>45923</v>
      </c>
      <c r="D188" t="s">
        <v>1625</v>
      </c>
      <c r="E188" t="s">
        <v>1629</v>
      </c>
      <c r="F188" s="5">
        <v>3.7</v>
      </c>
      <c r="G188" t="s">
        <v>1630</v>
      </c>
      <c r="H188">
        <v>2</v>
      </c>
    </row>
    <row r="189" spans="1:8">
      <c r="A189" t="s">
        <v>1823</v>
      </c>
      <c r="B189" t="s">
        <v>852</v>
      </c>
      <c r="C189" s="4">
        <v>45032</v>
      </c>
      <c r="D189" t="s">
        <v>1628</v>
      </c>
      <c r="E189" t="s">
        <v>1605</v>
      </c>
      <c r="F189" s="5">
        <v>18.2</v>
      </c>
      <c r="G189" t="s">
        <v>1626</v>
      </c>
      <c r="H189">
        <v>2</v>
      </c>
    </row>
    <row r="190" spans="1:8">
      <c r="A190" t="s">
        <v>1824</v>
      </c>
      <c r="B190" t="s">
        <v>793</v>
      </c>
      <c r="C190" s="4">
        <v>45035</v>
      </c>
      <c r="D190" t="s">
        <v>1625</v>
      </c>
      <c r="E190" t="s">
        <v>1629</v>
      </c>
      <c r="F190" s="5">
        <v>17.399999999999999</v>
      </c>
      <c r="G190" t="s">
        <v>1626</v>
      </c>
      <c r="H190">
        <v>1</v>
      </c>
    </row>
    <row r="191" spans="1:8">
      <c r="A191" t="s">
        <v>1825</v>
      </c>
      <c r="B191" t="s">
        <v>1111</v>
      </c>
      <c r="C191" s="4">
        <v>45529</v>
      </c>
      <c r="D191" t="s">
        <v>1625</v>
      </c>
      <c r="E191" t="s">
        <v>1648</v>
      </c>
      <c r="F191" s="5">
        <v>6.4</v>
      </c>
      <c r="G191" t="s">
        <v>1630</v>
      </c>
      <c r="H191">
        <v>4</v>
      </c>
    </row>
    <row r="192" spans="1:8">
      <c r="A192" t="s">
        <v>1826</v>
      </c>
      <c r="B192" t="s">
        <v>243</v>
      </c>
      <c r="C192" s="4">
        <v>45648</v>
      </c>
      <c r="D192" t="s">
        <v>1625</v>
      </c>
      <c r="E192" t="s">
        <v>1633</v>
      </c>
      <c r="F192" s="5">
        <v>20.399999999999999</v>
      </c>
      <c r="G192" t="s">
        <v>1630</v>
      </c>
      <c r="H192">
        <v>1</v>
      </c>
    </row>
    <row r="193" spans="1:8">
      <c r="A193" t="s">
        <v>1827</v>
      </c>
      <c r="B193" t="s">
        <v>397</v>
      </c>
      <c r="C193" s="4">
        <v>46077</v>
      </c>
      <c r="D193" t="s">
        <v>1628</v>
      </c>
      <c r="E193" t="s">
        <v>1609</v>
      </c>
      <c r="F193" s="5">
        <v>5.7</v>
      </c>
      <c r="G193" t="s">
        <v>1630</v>
      </c>
      <c r="H193">
        <v>3</v>
      </c>
    </row>
    <row r="194" spans="1:8">
      <c r="A194" t="s">
        <v>1828</v>
      </c>
      <c r="B194" t="s">
        <v>133</v>
      </c>
      <c r="C194" s="4">
        <v>45845</v>
      </c>
      <c r="D194" t="s">
        <v>1625</v>
      </c>
      <c r="E194" t="s">
        <v>1648</v>
      </c>
      <c r="F194" s="5">
        <v>4.9000000000000004</v>
      </c>
      <c r="G194" t="s">
        <v>1630</v>
      </c>
      <c r="H194">
        <v>3</v>
      </c>
    </row>
    <row r="195" spans="1:8">
      <c r="A195" t="s">
        <v>1829</v>
      </c>
      <c r="B195" t="s">
        <v>784</v>
      </c>
      <c r="C195" s="4">
        <v>45031</v>
      </c>
      <c r="D195" t="s">
        <v>1655</v>
      </c>
      <c r="E195" t="s">
        <v>1648</v>
      </c>
      <c r="F195" s="5">
        <v>1.1000000000000001</v>
      </c>
      <c r="G195" t="s">
        <v>1630</v>
      </c>
      <c r="H195">
        <v>4</v>
      </c>
    </row>
    <row r="196" spans="1:8">
      <c r="A196" t="s">
        <v>1830</v>
      </c>
      <c r="B196" t="s">
        <v>879</v>
      </c>
      <c r="C196" s="4">
        <v>45979</v>
      </c>
      <c r="D196" t="s">
        <v>1628</v>
      </c>
      <c r="E196" t="s">
        <v>1648</v>
      </c>
      <c r="F196" s="5">
        <v>10.4</v>
      </c>
      <c r="G196" t="s">
        <v>1630</v>
      </c>
      <c r="H196">
        <v>1</v>
      </c>
    </row>
    <row r="197" spans="1:8">
      <c r="A197" t="s">
        <v>1831</v>
      </c>
      <c r="B197" t="s">
        <v>1586</v>
      </c>
      <c r="C197" s="4">
        <v>45241</v>
      </c>
      <c r="D197" t="s">
        <v>1667</v>
      </c>
      <c r="E197" t="s">
        <v>1629</v>
      </c>
      <c r="F197" s="5">
        <v>3.2</v>
      </c>
      <c r="G197" t="s">
        <v>1630</v>
      </c>
      <c r="H197">
        <v>3</v>
      </c>
    </row>
    <row r="198" spans="1:8">
      <c r="A198" t="s">
        <v>1832</v>
      </c>
      <c r="B198" t="s">
        <v>393</v>
      </c>
      <c r="C198" s="4">
        <v>45218</v>
      </c>
      <c r="D198" t="s">
        <v>1655</v>
      </c>
      <c r="E198" t="s">
        <v>1605</v>
      </c>
      <c r="F198" s="5">
        <v>0.8</v>
      </c>
      <c r="G198" t="s">
        <v>1630</v>
      </c>
      <c r="H198">
        <v>4</v>
      </c>
    </row>
    <row r="199" spans="1:8">
      <c r="A199" t="s">
        <v>1833</v>
      </c>
      <c r="B199" t="s">
        <v>538</v>
      </c>
      <c r="C199" s="4">
        <v>45012</v>
      </c>
      <c r="D199" t="s">
        <v>1628</v>
      </c>
      <c r="E199" t="s">
        <v>1609</v>
      </c>
      <c r="F199" s="5">
        <v>24.6</v>
      </c>
      <c r="G199" t="s">
        <v>1630</v>
      </c>
      <c r="H199">
        <v>5</v>
      </c>
    </row>
    <row r="200" spans="1:8">
      <c r="A200" t="s">
        <v>1834</v>
      </c>
      <c r="B200" t="s">
        <v>488</v>
      </c>
      <c r="C200" s="4">
        <v>45782</v>
      </c>
      <c r="D200" t="s">
        <v>1655</v>
      </c>
      <c r="E200" t="s">
        <v>1605</v>
      </c>
      <c r="F200" s="5">
        <v>4.5</v>
      </c>
      <c r="G200" t="s">
        <v>1630</v>
      </c>
      <c r="H200">
        <v>2</v>
      </c>
    </row>
    <row r="201" spans="1:8">
      <c r="A201" t="s">
        <v>1835</v>
      </c>
      <c r="B201" t="s">
        <v>26</v>
      </c>
      <c r="C201" s="4">
        <v>45062</v>
      </c>
      <c r="D201" t="s">
        <v>1628</v>
      </c>
      <c r="E201" t="s">
        <v>1609</v>
      </c>
      <c r="F201" s="5">
        <v>2.5</v>
      </c>
      <c r="G201" t="s">
        <v>1630</v>
      </c>
      <c r="H201">
        <v>1</v>
      </c>
    </row>
    <row r="202" spans="1:8">
      <c r="A202" t="s">
        <v>1836</v>
      </c>
      <c r="B202" t="s">
        <v>537</v>
      </c>
      <c r="C202" s="4">
        <v>45886</v>
      </c>
      <c r="D202" t="s">
        <v>1637</v>
      </c>
      <c r="E202" t="s">
        <v>1605</v>
      </c>
      <c r="F202" s="5">
        <v>20.7</v>
      </c>
      <c r="G202" t="s">
        <v>1630</v>
      </c>
      <c r="H202">
        <v>1</v>
      </c>
    </row>
    <row r="203" spans="1:8">
      <c r="A203" t="s">
        <v>1837</v>
      </c>
      <c r="B203" t="s">
        <v>1214</v>
      </c>
      <c r="C203" s="4">
        <v>45868</v>
      </c>
      <c r="D203" t="s">
        <v>1655</v>
      </c>
      <c r="E203" t="s">
        <v>1633</v>
      </c>
      <c r="F203" s="5">
        <v>7.7</v>
      </c>
      <c r="G203" t="s">
        <v>1626</v>
      </c>
      <c r="H203">
        <v>2</v>
      </c>
    </row>
    <row r="204" spans="1:8">
      <c r="A204" t="s">
        <v>1838</v>
      </c>
      <c r="B204" t="s">
        <v>1571</v>
      </c>
      <c r="C204" s="4">
        <v>45455</v>
      </c>
      <c r="D204" t="s">
        <v>1641</v>
      </c>
      <c r="E204" t="s">
        <v>1648</v>
      </c>
      <c r="F204" s="5">
        <v>17.600000000000001</v>
      </c>
      <c r="G204" t="s">
        <v>1630</v>
      </c>
      <c r="H204">
        <v>3</v>
      </c>
    </row>
    <row r="205" spans="1:8">
      <c r="A205" t="s">
        <v>1839</v>
      </c>
      <c r="B205" t="s">
        <v>1160</v>
      </c>
      <c r="C205" s="4">
        <v>45595</v>
      </c>
      <c r="D205" t="s">
        <v>1641</v>
      </c>
      <c r="E205" t="s">
        <v>1648</v>
      </c>
      <c r="F205" s="5">
        <v>5.9</v>
      </c>
      <c r="G205" t="s">
        <v>1630</v>
      </c>
      <c r="H205">
        <v>5</v>
      </c>
    </row>
    <row r="206" spans="1:8">
      <c r="A206" t="s">
        <v>1840</v>
      </c>
      <c r="B206" t="s">
        <v>1361</v>
      </c>
      <c r="C206" s="4">
        <v>45429</v>
      </c>
      <c r="D206" t="s">
        <v>1628</v>
      </c>
      <c r="E206" t="s">
        <v>1609</v>
      </c>
      <c r="F206" s="5">
        <v>4.5999999999999996</v>
      </c>
      <c r="G206" t="s">
        <v>1630</v>
      </c>
      <c r="H206">
        <v>5</v>
      </c>
    </row>
    <row r="207" spans="1:8">
      <c r="A207" t="s">
        <v>1841</v>
      </c>
      <c r="B207" t="s">
        <v>676</v>
      </c>
      <c r="C207" s="4">
        <v>45948</v>
      </c>
      <c r="D207" t="s">
        <v>1667</v>
      </c>
      <c r="E207" t="s">
        <v>1629</v>
      </c>
      <c r="F207" s="5">
        <v>0.4</v>
      </c>
      <c r="G207" t="s">
        <v>1630</v>
      </c>
      <c r="H207">
        <v>3</v>
      </c>
    </row>
    <row r="208" spans="1:8">
      <c r="A208" t="s">
        <v>1842</v>
      </c>
      <c r="B208" t="s">
        <v>323</v>
      </c>
      <c r="C208" s="4">
        <v>45230</v>
      </c>
      <c r="D208" t="s">
        <v>1641</v>
      </c>
      <c r="E208" t="s">
        <v>1605</v>
      </c>
      <c r="F208" s="5">
        <v>17</v>
      </c>
      <c r="G208" t="s">
        <v>1630</v>
      </c>
      <c r="H208">
        <v>2</v>
      </c>
    </row>
    <row r="209" spans="1:8">
      <c r="A209" t="s">
        <v>1843</v>
      </c>
      <c r="B209" t="s">
        <v>1540</v>
      </c>
      <c r="C209" s="4">
        <v>45128</v>
      </c>
      <c r="D209" t="s">
        <v>1632</v>
      </c>
      <c r="E209" t="s">
        <v>1648</v>
      </c>
      <c r="F209" s="5">
        <v>3.6</v>
      </c>
      <c r="G209" t="s">
        <v>1630</v>
      </c>
      <c r="H209">
        <v>4</v>
      </c>
    </row>
    <row r="210" spans="1:8">
      <c r="A210" t="s">
        <v>1844</v>
      </c>
      <c r="B210" t="s">
        <v>1063</v>
      </c>
      <c r="C210" s="4">
        <v>45605</v>
      </c>
      <c r="D210" t="s">
        <v>1625</v>
      </c>
      <c r="E210" t="s">
        <v>1605</v>
      </c>
      <c r="F210" s="5">
        <v>1.4</v>
      </c>
      <c r="G210" t="s">
        <v>1630</v>
      </c>
      <c r="H210">
        <v>1</v>
      </c>
    </row>
    <row r="211" spans="1:8">
      <c r="A211" t="s">
        <v>1845</v>
      </c>
      <c r="B211" t="s">
        <v>1356</v>
      </c>
      <c r="C211" s="4">
        <v>45569</v>
      </c>
      <c r="D211" t="s">
        <v>1667</v>
      </c>
      <c r="E211" t="s">
        <v>1609</v>
      </c>
      <c r="F211" s="5">
        <v>4.5999999999999996</v>
      </c>
      <c r="G211" t="s">
        <v>1630</v>
      </c>
      <c r="H211">
        <v>2</v>
      </c>
    </row>
    <row r="212" spans="1:8">
      <c r="A212" t="s">
        <v>1846</v>
      </c>
      <c r="B212" t="s">
        <v>850</v>
      </c>
      <c r="C212" s="4">
        <v>45896</v>
      </c>
      <c r="D212" t="s">
        <v>1667</v>
      </c>
      <c r="E212" t="s">
        <v>1633</v>
      </c>
      <c r="F212" s="5">
        <v>22.2</v>
      </c>
      <c r="G212" t="s">
        <v>1630</v>
      </c>
      <c r="H212">
        <v>2</v>
      </c>
    </row>
    <row r="213" spans="1:8">
      <c r="A213" t="s">
        <v>1847</v>
      </c>
      <c r="B213" t="s">
        <v>954</v>
      </c>
      <c r="C213" s="4">
        <v>45934</v>
      </c>
      <c r="D213" t="s">
        <v>1667</v>
      </c>
      <c r="E213" t="s">
        <v>1629</v>
      </c>
      <c r="F213" s="5">
        <v>7.1</v>
      </c>
      <c r="G213" t="s">
        <v>1630</v>
      </c>
      <c r="H213">
        <v>2</v>
      </c>
    </row>
    <row r="214" spans="1:8">
      <c r="A214" t="s">
        <v>1848</v>
      </c>
      <c r="B214" t="s">
        <v>653</v>
      </c>
      <c r="C214" s="4">
        <v>45425</v>
      </c>
      <c r="D214" t="s">
        <v>1641</v>
      </c>
      <c r="E214" t="s">
        <v>1605</v>
      </c>
      <c r="F214" s="5">
        <v>3.3</v>
      </c>
      <c r="G214" t="s">
        <v>1630</v>
      </c>
      <c r="H214">
        <v>5</v>
      </c>
    </row>
    <row r="215" spans="1:8">
      <c r="A215" t="s">
        <v>1849</v>
      </c>
      <c r="B215" t="s">
        <v>795</v>
      </c>
      <c r="C215" s="4">
        <v>45096</v>
      </c>
      <c r="D215" t="s">
        <v>1628</v>
      </c>
      <c r="E215" t="s">
        <v>1609</v>
      </c>
      <c r="F215" s="5">
        <v>12.7</v>
      </c>
      <c r="G215" t="s">
        <v>1630</v>
      </c>
      <c r="H215">
        <v>5</v>
      </c>
    </row>
    <row r="216" spans="1:8">
      <c r="A216" t="s">
        <v>1850</v>
      </c>
      <c r="B216" t="s">
        <v>871</v>
      </c>
      <c r="C216" s="4">
        <v>45935</v>
      </c>
      <c r="D216" t="s">
        <v>1637</v>
      </c>
      <c r="E216" t="s">
        <v>1605</v>
      </c>
      <c r="F216" s="5">
        <v>38.5</v>
      </c>
      <c r="G216" t="s">
        <v>1630</v>
      </c>
      <c r="H216">
        <v>2</v>
      </c>
    </row>
    <row r="217" spans="1:8">
      <c r="A217" t="s">
        <v>1851</v>
      </c>
      <c r="B217" t="s">
        <v>160</v>
      </c>
      <c r="C217" s="4">
        <v>45200</v>
      </c>
      <c r="D217" t="s">
        <v>1625</v>
      </c>
      <c r="E217" t="s">
        <v>1633</v>
      </c>
      <c r="F217" s="5">
        <v>9.1</v>
      </c>
      <c r="G217" t="s">
        <v>1626</v>
      </c>
      <c r="H217">
        <v>3</v>
      </c>
    </row>
    <row r="218" spans="1:8">
      <c r="A218" t="s">
        <v>1852</v>
      </c>
      <c r="B218" t="s">
        <v>768</v>
      </c>
      <c r="C218" s="4">
        <v>46098</v>
      </c>
      <c r="D218" t="s">
        <v>1628</v>
      </c>
      <c r="E218" t="s">
        <v>1605</v>
      </c>
      <c r="F218" s="5">
        <v>17.899999999999999</v>
      </c>
      <c r="G218" t="s">
        <v>1630</v>
      </c>
      <c r="H218">
        <v>1</v>
      </c>
    </row>
    <row r="219" spans="1:8">
      <c r="A219" t="s">
        <v>1853</v>
      </c>
      <c r="B219" t="s">
        <v>1087</v>
      </c>
      <c r="C219" s="4">
        <v>45095</v>
      </c>
      <c r="D219" t="s">
        <v>1667</v>
      </c>
      <c r="E219" t="s">
        <v>1648</v>
      </c>
      <c r="F219" s="5">
        <v>0.2</v>
      </c>
      <c r="G219" t="s">
        <v>1626</v>
      </c>
      <c r="H219">
        <v>1</v>
      </c>
    </row>
    <row r="220" spans="1:8">
      <c r="A220" t="s">
        <v>1854</v>
      </c>
      <c r="B220" t="s">
        <v>1503</v>
      </c>
      <c r="C220" s="4">
        <v>45727</v>
      </c>
      <c r="D220" t="s">
        <v>1655</v>
      </c>
      <c r="E220" t="s">
        <v>1629</v>
      </c>
      <c r="F220" s="5">
        <v>0.9</v>
      </c>
      <c r="G220" t="s">
        <v>1630</v>
      </c>
      <c r="H220">
        <v>5</v>
      </c>
    </row>
    <row r="221" spans="1:8">
      <c r="A221" t="s">
        <v>1855</v>
      </c>
      <c r="B221" t="s">
        <v>1430</v>
      </c>
      <c r="C221" s="4">
        <v>46004</v>
      </c>
      <c r="D221" t="s">
        <v>1628</v>
      </c>
      <c r="E221" t="s">
        <v>1648</v>
      </c>
      <c r="F221" s="5">
        <v>2.7</v>
      </c>
      <c r="G221" t="s">
        <v>1630</v>
      </c>
      <c r="H221">
        <v>5</v>
      </c>
    </row>
    <row r="222" spans="1:8">
      <c r="A222" t="s">
        <v>1856</v>
      </c>
      <c r="B222" t="s">
        <v>1447</v>
      </c>
      <c r="C222" s="4">
        <v>45459</v>
      </c>
      <c r="D222" t="s">
        <v>1628</v>
      </c>
      <c r="E222" t="s">
        <v>1648</v>
      </c>
      <c r="F222" s="5">
        <v>0.8</v>
      </c>
      <c r="G222" t="s">
        <v>1630</v>
      </c>
      <c r="H222">
        <v>3</v>
      </c>
    </row>
    <row r="223" spans="1:8">
      <c r="A223" t="s">
        <v>1857</v>
      </c>
      <c r="B223" t="s">
        <v>157</v>
      </c>
      <c r="C223" s="4">
        <v>45732</v>
      </c>
      <c r="D223" t="s">
        <v>1637</v>
      </c>
      <c r="E223" t="s">
        <v>1605</v>
      </c>
      <c r="F223" s="5">
        <v>9.5</v>
      </c>
      <c r="G223" t="s">
        <v>1630</v>
      </c>
      <c r="H223">
        <v>3</v>
      </c>
    </row>
    <row r="224" spans="1:8">
      <c r="A224" t="s">
        <v>1858</v>
      </c>
      <c r="B224" t="s">
        <v>1567</v>
      </c>
      <c r="C224" s="4">
        <v>45969</v>
      </c>
      <c r="D224" t="s">
        <v>1625</v>
      </c>
      <c r="E224" t="s">
        <v>1629</v>
      </c>
      <c r="F224" s="5">
        <v>4.3</v>
      </c>
      <c r="G224" t="s">
        <v>1626</v>
      </c>
      <c r="H224">
        <v>2</v>
      </c>
    </row>
    <row r="225" spans="1:8">
      <c r="A225" t="s">
        <v>1859</v>
      </c>
      <c r="B225" t="s">
        <v>1208</v>
      </c>
      <c r="C225" s="4">
        <v>45595</v>
      </c>
      <c r="D225" t="s">
        <v>1628</v>
      </c>
      <c r="E225" t="s">
        <v>1629</v>
      </c>
      <c r="F225" s="5">
        <v>1.3</v>
      </c>
      <c r="G225" t="s">
        <v>1630</v>
      </c>
      <c r="H225">
        <v>1</v>
      </c>
    </row>
    <row r="226" spans="1:8">
      <c r="A226" t="s">
        <v>1860</v>
      </c>
      <c r="B226" t="s">
        <v>225</v>
      </c>
      <c r="C226" s="4">
        <v>46130</v>
      </c>
      <c r="D226" t="s">
        <v>1637</v>
      </c>
      <c r="E226" t="s">
        <v>1605</v>
      </c>
      <c r="F226" s="5">
        <v>0.9</v>
      </c>
      <c r="G226" t="s">
        <v>1630</v>
      </c>
      <c r="H226">
        <v>2</v>
      </c>
    </row>
    <row r="227" spans="1:8">
      <c r="A227" t="s">
        <v>1861</v>
      </c>
      <c r="B227" t="s">
        <v>1285</v>
      </c>
      <c r="C227" s="4">
        <v>45077</v>
      </c>
      <c r="D227" t="s">
        <v>1625</v>
      </c>
      <c r="E227" t="s">
        <v>1633</v>
      </c>
      <c r="F227" s="5">
        <v>9.3000000000000007</v>
      </c>
      <c r="G227" t="s">
        <v>1630</v>
      </c>
      <c r="H227">
        <v>4</v>
      </c>
    </row>
    <row r="228" spans="1:8">
      <c r="A228" t="s">
        <v>1862</v>
      </c>
      <c r="B228" t="s">
        <v>883</v>
      </c>
      <c r="C228" s="4">
        <v>45766</v>
      </c>
      <c r="D228" t="s">
        <v>1628</v>
      </c>
      <c r="E228" t="s">
        <v>1648</v>
      </c>
      <c r="F228" s="5">
        <v>10.5</v>
      </c>
      <c r="G228" t="s">
        <v>1630</v>
      </c>
      <c r="H228">
        <v>2</v>
      </c>
    </row>
    <row r="229" spans="1:8">
      <c r="A229" t="s">
        <v>1863</v>
      </c>
      <c r="B229" t="s">
        <v>1502</v>
      </c>
      <c r="C229" s="4">
        <v>45896</v>
      </c>
      <c r="D229" t="s">
        <v>1632</v>
      </c>
      <c r="E229" t="s">
        <v>1633</v>
      </c>
      <c r="F229" s="5">
        <v>1.4</v>
      </c>
      <c r="G229" t="s">
        <v>1630</v>
      </c>
      <c r="H229">
        <v>1</v>
      </c>
    </row>
    <row r="230" spans="1:8">
      <c r="A230" t="s">
        <v>1864</v>
      </c>
      <c r="B230" t="s">
        <v>202</v>
      </c>
      <c r="C230" s="4">
        <v>44991</v>
      </c>
      <c r="D230" t="s">
        <v>1655</v>
      </c>
      <c r="E230" t="s">
        <v>1633</v>
      </c>
      <c r="F230" s="5">
        <v>3.9</v>
      </c>
      <c r="G230" t="s">
        <v>1630</v>
      </c>
      <c r="H230">
        <v>4</v>
      </c>
    </row>
    <row r="231" spans="1:8">
      <c r="A231" t="s">
        <v>1865</v>
      </c>
      <c r="B231" t="s">
        <v>1196</v>
      </c>
      <c r="C231" s="4">
        <v>45741</v>
      </c>
      <c r="D231" t="s">
        <v>1655</v>
      </c>
      <c r="E231" t="s">
        <v>1633</v>
      </c>
      <c r="F231" s="5">
        <v>4.8</v>
      </c>
      <c r="G231" t="s">
        <v>1630</v>
      </c>
      <c r="H231">
        <v>4</v>
      </c>
    </row>
    <row r="232" spans="1:8">
      <c r="A232" t="s">
        <v>1866</v>
      </c>
      <c r="B232" t="s">
        <v>1196</v>
      </c>
      <c r="C232" s="4">
        <v>45571</v>
      </c>
      <c r="D232" t="s">
        <v>1667</v>
      </c>
      <c r="E232" t="s">
        <v>1648</v>
      </c>
      <c r="F232" s="5">
        <v>16.2</v>
      </c>
      <c r="G232" t="s">
        <v>1630</v>
      </c>
      <c r="H232">
        <v>2</v>
      </c>
    </row>
    <row r="233" spans="1:8">
      <c r="A233" t="s">
        <v>1867</v>
      </c>
      <c r="B233" t="s">
        <v>1570</v>
      </c>
      <c r="C233" s="4">
        <v>45440</v>
      </c>
      <c r="D233" t="s">
        <v>1625</v>
      </c>
      <c r="E233" t="s">
        <v>1629</v>
      </c>
      <c r="F233" s="5">
        <v>16.7</v>
      </c>
      <c r="G233" t="s">
        <v>1630</v>
      </c>
      <c r="H233">
        <v>1</v>
      </c>
    </row>
    <row r="234" spans="1:8">
      <c r="A234" t="s">
        <v>1868</v>
      </c>
      <c r="B234" t="s">
        <v>1488</v>
      </c>
      <c r="C234" s="4">
        <v>45214</v>
      </c>
      <c r="D234" t="s">
        <v>1628</v>
      </c>
      <c r="E234" t="s">
        <v>1648</v>
      </c>
      <c r="F234" s="5">
        <v>5.5</v>
      </c>
      <c r="G234" t="s">
        <v>1630</v>
      </c>
      <c r="H234">
        <v>2</v>
      </c>
    </row>
    <row r="235" spans="1:8">
      <c r="A235" t="s">
        <v>1869</v>
      </c>
      <c r="B235" t="s">
        <v>1283</v>
      </c>
      <c r="C235" s="4">
        <v>45296</v>
      </c>
      <c r="D235" t="s">
        <v>1625</v>
      </c>
      <c r="E235" t="s">
        <v>1609</v>
      </c>
      <c r="F235" s="5">
        <v>8</v>
      </c>
      <c r="G235" t="s">
        <v>1630</v>
      </c>
      <c r="H235">
        <v>5</v>
      </c>
    </row>
    <row r="236" spans="1:8">
      <c r="A236" t="s">
        <v>1870</v>
      </c>
      <c r="B236" t="s">
        <v>791</v>
      </c>
      <c r="C236" s="4">
        <v>45617</v>
      </c>
      <c r="D236" t="s">
        <v>1628</v>
      </c>
      <c r="E236" t="s">
        <v>1629</v>
      </c>
      <c r="F236" s="5">
        <v>11.8</v>
      </c>
      <c r="G236" t="s">
        <v>1626</v>
      </c>
      <c r="H236">
        <v>1</v>
      </c>
    </row>
    <row r="237" spans="1:8">
      <c r="A237" t="s">
        <v>1871</v>
      </c>
      <c r="B237" t="s">
        <v>521</v>
      </c>
      <c r="C237" s="4">
        <v>45229</v>
      </c>
      <c r="D237" t="s">
        <v>1625</v>
      </c>
      <c r="E237" t="s">
        <v>1648</v>
      </c>
      <c r="F237" s="5">
        <v>2.6</v>
      </c>
      <c r="G237" t="s">
        <v>1630</v>
      </c>
      <c r="H237">
        <v>5</v>
      </c>
    </row>
    <row r="238" spans="1:8">
      <c r="A238" t="s">
        <v>1872</v>
      </c>
      <c r="B238" t="s">
        <v>1099</v>
      </c>
      <c r="C238" s="4">
        <v>45329</v>
      </c>
      <c r="D238" t="s">
        <v>1625</v>
      </c>
      <c r="E238" t="s">
        <v>1609</v>
      </c>
      <c r="F238" s="5">
        <v>4.9000000000000004</v>
      </c>
      <c r="G238" t="s">
        <v>1630</v>
      </c>
      <c r="H238">
        <v>5</v>
      </c>
    </row>
    <row r="239" spans="1:8">
      <c r="A239" t="s">
        <v>1873</v>
      </c>
      <c r="B239" t="s">
        <v>661</v>
      </c>
      <c r="C239" s="4">
        <v>46030</v>
      </c>
      <c r="D239" t="s">
        <v>1667</v>
      </c>
      <c r="E239" t="s">
        <v>1629</v>
      </c>
      <c r="F239" s="5">
        <v>0.4</v>
      </c>
      <c r="G239" t="s">
        <v>1630</v>
      </c>
      <c r="H239">
        <v>4</v>
      </c>
    </row>
    <row r="240" spans="1:8">
      <c r="A240" t="s">
        <v>1874</v>
      </c>
      <c r="B240" t="s">
        <v>1098</v>
      </c>
      <c r="C240" s="4">
        <v>45055</v>
      </c>
      <c r="D240" t="s">
        <v>1641</v>
      </c>
      <c r="E240" t="s">
        <v>1629</v>
      </c>
      <c r="F240" s="5">
        <v>21.2</v>
      </c>
      <c r="G240" t="s">
        <v>1626</v>
      </c>
      <c r="H240">
        <v>3</v>
      </c>
    </row>
    <row r="241" spans="1:8">
      <c r="A241" t="s">
        <v>1875</v>
      </c>
      <c r="B241" t="s">
        <v>1071</v>
      </c>
      <c r="C241" s="4">
        <v>45399</v>
      </c>
      <c r="D241" t="s">
        <v>1667</v>
      </c>
      <c r="E241" t="s">
        <v>1648</v>
      </c>
      <c r="F241" s="5">
        <v>2</v>
      </c>
      <c r="G241" t="s">
        <v>1630</v>
      </c>
      <c r="H241">
        <v>1</v>
      </c>
    </row>
    <row r="242" spans="1:8">
      <c r="A242" t="s">
        <v>1876</v>
      </c>
      <c r="B242" t="s">
        <v>1407</v>
      </c>
      <c r="C242" s="4">
        <v>45396</v>
      </c>
      <c r="D242" t="s">
        <v>1632</v>
      </c>
      <c r="E242" t="s">
        <v>1648</v>
      </c>
      <c r="F242" s="5">
        <v>2.2999999999999998</v>
      </c>
      <c r="G242" t="s">
        <v>1630</v>
      </c>
      <c r="H242">
        <v>5</v>
      </c>
    </row>
    <row r="243" spans="1:8">
      <c r="A243" t="s">
        <v>1877</v>
      </c>
      <c r="B243" t="s">
        <v>553</v>
      </c>
      <c r="C243" s="4">
        <v>45010</v>
      </c>
      <c r="D243" t="s">
        <v>1628</v>
      </c>
      <c r="E243" t="s">
        <v>1629</v>
      </c>
      <c r="F243" s="5">
        <v>2.2000000000000002</v>
      </c>
      <c r="G243" t="s">
        <v>1630</v>
      </c>
      <c r="H243">
        <v>1</v>
      </c>
    </row>
    <row r="244" spans="1:8">
      <c r="A244" t="s">
        <v>1878</v>
      </c>
      <c r="B244" t="s">
        <v>1575</v>
      </c>
      <c r="C244" s="4">
        <v>45082</v>
      </c>
      <c r="D244" t="s">
        <v>1655</v>
      </c>
      <c r="E244" t="s">
        <v>1633</v>
      </c>
      <c r="F244" s="5">
        <v>6.1</v>
      </c>
      <c r="G244" t="s">
        <v>1626</v>
      </c>
      <c r="H244">
        <v>2</v>
      </c>
    </row>
    <row r="245" spans="1:8">
      <c r="A245" t="s">
        <v>1879</v>
      </c>
      <c r="B245" t="s">
        <v>113</v>
      </c>
      <c r="C245" s="4">
        <v>45954</v>
      </c>
      <c r="D245" t="s">
        <v>1637</v>
      </c>
      <c r="E245" t="s">
        <v>1633</v>
      </c>
      <c r="F245" s="5">
        <v>11.7</v>
      </c>
      <c r="G245" t="s">
        <v>1630</v>
      </c>
      <c r="H245">
        <v>4</v>
      </c>
    </row>
    <row r="246" spans="1:8">
      <c r="A246" t="s">
        <v>1880</v>
      </c>
      <c r="B246" t="s">
        <v>1085</v>
      </c>
      <c r="C246" s="4">
        <v>45364</v>
      </c>
      <c r="D246" t="s">
        <v>1641</v>
      </c>
      <c r="E246" t="s">
        <v>1648</v>
      </c>
      <c r="F246" s="5">
        <v>2.7</v>
      </c>
      <c r="G246" t="s">
        <v>1630</v>
      </c>
      <c r="H246">
        <v>2</v>
      </c>
    </row>
    <row r="247" spans="1:8">
      <c r="A247" t="s">
        <v>1881</v>
      </c>
      <c r="B247" t="s">
        <v>1539</v>
      </c>
      <c r="C247" s="4">
        <v>45723</v>
      </c>
      <c r="D247" t="s">
        <v>1641</v>
      </c>
      <c r="E247" t="s">
        <v>1633</v>
      </c>
      <c r="F247" s="5">
        <v>1.6</v>
      </c>
      <c r="G247" t="s">
        <v>1630</v>
      </c>
      <c r="H247">
        <v>1</v>
      </c>
    </row>
    <row r="248" spans="1:8">
      <c r="A248" t="s">
        <v>1882</v>
      </c>
      <c r="B248" t="s">
        <v>1236</v>
      </c>
      <c r="C248" s="4">
        <v>45806</v>
      </c>
      <c r="D248" t="s">
        <v>1628</v>
      </c>
      <c r="E248" t="s">
        <v>1605</v>
      </c>
      <c r="F248" s="5">
        <v>23.4</v>
      </c>
      <c r="G248" t="s">
        <v>1630</v>
      </c>
      <c r="H248">
        <v>2</v>
      </c>
    </row>
    <row r="249" spans="1:8">
      <c r="A249" t="s">
        <v>1883</v>
      </c>
      <c r="B249" t="s">
        <v>1545</v>
      </c>
      <c r="C249" s="4">
        <v>45455</v>
      </c>
      <c r="D249" t="s">
        <v>1628</v>
      </c>
      <c r="E249" t="s">
        <v>1633</v>
      </c>
      <c r="F249" s="5">
        <v>8.9</v>
      </c>
      <c r="G249" t="s">
        <v>1630</v>
      </c>
      <c r="H249">
        <v>4</v>
      </c>
    </row>
    <row r="250" spans="1:8">
      <c r="A250" t="s">
        <v>1884</v>
      </c>
      <c r="B250" t="s">
        <v>504</v>
      </c>
      <c r="C250" s="4">
        <v>45262</v>
      </c>
      <c r="D250" t="s">
        <v>1625</v>
      </c>
      <c r="E250" t="s">
        <v>1633</v>
      </c>
      <c r="F250" s="5">
        <v>3</v>
      </c>
      <c r="G250" t="s">
        <v>1630</v>
      </c>
      <c r="H250">
        <v>5</v>
      </c>
    </row>
    <row r="251" spans="1:8">
      <c r="A251" t="s">
        <v>1885</v>
      </c>
      <c r="B251" t="s">
        <v>1170</v>
      </c>
      <c r="C251" s="4">
        <v>45067</v>
      </c>
      <c r="D251" t="s">
        <v>1628</v>
      </c>
      <c r="E251" t="s">
        <v>1605</v>
      </c>
      <c r="F251" s="5">
        <v>16.5</v>
      </c>
      <c r="G251" t="s">
        <v>1626</v>
      </c>
      <c r="H251">
        <v>1</v>
      </c>
    </row>
    <row r="252" spans="1:8">
      <c r="A252" t="s">
        <v>1886</v>
      </c>
      <c r="B252" t="s">
        <v>1569</v>
      </c>
      <c r="C252" s="4">
        <v>45417</v>
      </c>
      <c r="D252" t="s">
        <v>1628</v>
      </c>
      <c r="E252" t="s">
        <v>1633</v>
      </c>
      <c r="F252" s="5">
        <v>26.9</v>
      </c>
      <c r="G252" t="s">
        <v>1630</v>
      </c>
      <c r="H252">
        <v>4</v>
      </c>
    </row>
    <row r="253" spans="1:8">
      <c r="A253" t="s">
        <v>1887</v>
      </c>
      <c r="B253" t="s">
        <v>738</v>
      </c>
      <c r="C253" s="4">
        <v>45175</v>
      </c>
      <c r="D253" t="s">
        <v>1641</v>
      </c>
      <c r="E253" t="s">
        <v>1648</v>
      </c>
      <c r="F253" s="5">
        <v>5</v>
      </c>
      <c r="G253" t="s">
        <v>1630</v>
      </c>
      <c r="H253">
        <v>5</v>
      </c>
    </row>
    <row r="254" spans="1:8">
      <c r="A254" t="s">
        <v>1888</v>
      </c>
      <c r="B254" t="s">
        <v>640</v>
      </c>
      <c r="C254" s="4">
        <v>45097</v>
      </c>
      <c r="D254" t="s">
        <v>1625</v>
      </c>
      <c r="E254" t="s">
        <v>1609</v>
      </c>
      <c r="F254" s="5">
        <v>3.5</v>
      </c>
      <c r="G254" t="s">
        <v>1630</v>
      </c>
      <c r="H254">
        <v>2</v>
      </c>
    </row>
    <row r="255" spans="1:8">
      <c r="A255" t="s">
        <v>1889</v>
      </c>
      <c r="B255" t="s">
        <v>1032</v>
      </c>
      <c r="C255" s="4">
        <v>45439</v>
      </c>
      <c r="D255" t="s">
        <v>1632</v>
      </c>
      <c r="E255" t="s">
        <v>1648</v>
      </c>
      <c r="F255" s="5">
        <v>13.1</v>
      </c>
      <c r="G255" t="s">
        <v>1630</v>
      </c>
      <c r="H255">
        <v>1</v>
      </c>
    </row>
    <row r="256" spans="1:8">
      <c r="A256" t="s">
        <v>1890</v>
      </c>
      <c r="B256" t="s">
        <v>233</v>
      </c>
      <c r="C256" s="4">
        <v>45259</v>
      </c>
      <c r="D256" t="s">
        <v>1628</v>
      </c>
      <c r="E256" t="s">
        <v>1605</v>
      </c>
      <c r="F256" s="5">
        <v>5.9</v>
      </c>
      <c r="G256" t="s">
        <v>1630</v>
      </c>
      <c r="H256">
        <v>2</v>
      </c>
    </row>
    <row r="257" spans="1:8">
      <c r="A257" t="s">
        <v>1891</v>
      </c>
      <c r="B257" t="s">
        <v>944</v>
      </c>
      <c r="C257" s="4">
        <v>45646</v>
      </c>
      <c r="D257" t="s">
        <v>1628</v>
      </c>
      <c r="E257" t="s">
        <v>1629</v>
      </c>
      <c r="F257" s="5">
        <v>12.6</v>
      </c>
      <c r="G257" t="s">
        <v>1630</v>
      </c>
      <c r="H257">
        <v>5</v>
      </c>
    </row>
    <row r="258" spans="1:8">
      <c r="A258" t="s">
        <v>1892</v>
      </c>
      <c r="B258" t="s">
        <v>1357</v>
      </c>
      <c r="C258" s="4">
        <v>45751</v>
      </c>
      <c r="D258" t="s">
        <v>1628</v>
      </c>
      <c r="E258" t="s">
        <v>1605</v>
      </c>
      <c r="F258" s="5">
        <v>7.8</v>
      </c>
      <c r="G258" t="s">
        <v>1630</v>
      </c>
      <c r="H258">
        <v>5</v>
      </c>
    </row>
    <row r="259" spans="1:8">
      <c r="A259" t="s">
        <v>1893</v>
      </c>
      <c r="B259" t="s">
        <v>1320</v>
      </c>
      <c r="C259" s="4">
        <v>45064</v>
      </c>
      <c r="D259" t="s">
        <v>1667</v>
      </c>
      <c r="E259" t="s">
        <v>1605</v>
      </c>
      <c r="F259" s="5">
        <v>14.4</v>
      </c>
      <c r="G259" t="s">
        <v>1626</v>
      </c>
      <c r="H259">
        <v>2</v>
      </c>
    </row>
    <row r="260" spans="1:8">
      <c r="A260" t="s">
        <v>1894</v>
      </c>
      <c r="B260" t="s">
        <v>1049</v>
      </c>
      <c r="C260" s="4">
        <v>45864</v>
      </c>
      <c r="D260" t="s">
        <v>1625</v>
      </c>
      <c r="E260" t="s">
        <v>1633</v>
      </c>
      <c r="F260" s="5">
        <v>1.8</v>
      </c>
      <c r="G260" t="s">
        <v>1630</v>
      </c>
      <c r="H260">
        <v>4</v>
      </c>
    </row>
    <row r="261" spans="1:8">
      <c r="A261" t="s">
        <v>1895</v>
      </c>
      <c r="B261" t="s">
        <v>478</v>
      </c>
      <c r="C261" s="4">
        <v>44934</v>
      </c>
      <c r="D261" t="s">
        <v>1641</v>
      </c>
      <c r="E261" t="s">
        <v>1609</v>
      </c>
      <c r="F261" s="5">
        <v>35.200000000000003</v>
      </c>
      <c r="G261" t="s">
        <v>1626</v>
      </c>
      <c r="H261">
        <v>3</v>
      </c>
    </row>
    <row r="262" spans="1:8">
      <c r="A262" t="s">
        <v>1896</v>
      </c>
      <c r="B262" t="s">
        <v>740</v>
      </c>
      <c r="C262" s="4">
        <v>45778</v>
      </c>
      <c r="D262" t="s">
        <v>1632</v>
      </c>
      <c r="E262" t="s">
        <v>1609</v>
      </c>
      <c r="F262" s="5">
        <v>27.9</v>
      </c>
      <c r="G262" t="s">
        <v>1626</v>
      </c>
      <c r="H262">
        <v>1</v>
      </c>
    </row>
    <row r="263" spans="1:8">
      <c r="A263" t="s">
        <v>1897</v>
      </c>
      <c r="B263" t="s">
        <v>374</v>
      </c>
      <c r="C263" s="4">
        <v>45123</v>
      </c>
      <c r="D263" t="s">
        <v>1641</v>
      </c>
      <c r="E263" t="s">
        <v>1648</v>
      </c>
      <c r="F263" s="5">
        <v>11.6</v>
      </c>
      <c r="G263" t="s">
        <v>1630</v>
      </c>
      <c r="H263">
        <v>4</v>
      </c>
    </row>
    <row r="264" spans="1:8">
      <c r="A264" t="s">
        <v>1898</v>
      </c>
      <c r="B264" t="s">
        <v>965</v>
      </c>
      <c r="C264" s="4">
        <v>46060</v>
      </c>
      <c r="D264" t="s">
        <v>1667</v>
      </c>
      <c r="E264" t="s">
        <v>1633</v>
      </c>
      <c r="F264" s="5">
        <v>1</v>
      </c>
      <c r="G264" t="s">
        <v>1630</v>
      </c>
      <c r="H264">
        <v>3</v>
      </c>
    </row>
    <row r="265" spans="1:8">
      <c r="A265" t="s">
        <v>1899</v>
      </c>
      <c r="B265" t="s">
        <v>583</v>
      </c>
      <c r="C265" s="4">
        <v>45566</v>
      </c>
      <c r="D265" t="s">
        <v>1641</v>
      </c>
      <c r="E265" t="s">
        <v>1629</v>
      </c>
      <c r="F265" s="5">
        <v>2.8</v>
      </c>
      <c r="G265" t="s">
        <v>1626</v>
      </c>
      <c r="H265">
        <v>1</v>
      </c>
    </row>
    <row r="266" spans="1:8">
      <c r="A266" t="s">
        <v>1900</v>
      </c>
      <c r="B266" t="s">
        <v>1554</v>
      </c>
      <c r="C266" s="4">
        <v>45541</v>
      </c>
      <c r="D266" t="s">
        <v>1632</v>
      </c>
      <c r="E266" t="s">
        <v>1605</v>
      </c>
      <c r="F266" s="5">
        <v>9.5</v>
      </c>
      <c r="G266" t="s">
        <v>1630</v>
      </c>
      <c r="H266">
        <v>2</v>
      </c>
    </row>
    <row r="267" spans="1:8">
      <c r="A267" t="s">
        <v>1901</v>
      </c>
      <c r="B267" t="s">
        <v>644</v>
      </c>
      <c r="C267" s="4">
        <v>45623</v>
      </c>
      <c r="D267" t="s">
        <v>1655</v>
      </c>
      <c r="E267" t="s">
        <v>1609</v>
      </c>
      <c r="F267" s="5">
        <v>29.6</v>
      </c>
      <c r="G267" t="s">
        <v>1630</v>
      </c>
      <c r="H267">
        <v>4</v>
      </c>
    </row>
    <row r="268" spans="1:8">
      <c r="A268" t="s">
        <v>1902</v>
      </c>
      <c r="B268" t="s">
        <v>690</v>
      </c>
      <c r="C268" s="4">
        <v>45541</v>
      </c>
      <c r="D268" t="s">
        <v>1625</v>
      </c>
      <c r="E268" t="s">
        <v>1609</v>
      </c>
      <c r="F268" s="5">
        <v>31.8</v>
      </c>
      <c r="G268" t="s">
        <v>1630</v>
      </c>
      <c r="H268">
        <v>1</v>
      </c>
    </row>
    <row r="269" spans="1:8">
      <c r="A269" t="s">
        <v>1903</v>
      </c>
      <c r="B269" t="s">
        <v>1470</v>
      </c>
      <c r="C269" s="4">
        <v>45208</v>
      </c>
      <c r="D269" t="s">
        <v>1667</v>
      </c>
      <c r="E269" t="s">
        <v>1648</v>
      </c>
      <c r="F269" s="5">
        <v>7.3</v>
      </c>
      <c r="G269" t="s">
        <v>1630</v>
      </c>
      <c r="H269">
        <v>1</v>
      </c>
    </row>
    <row r="270" spans="1:8">
      <c r="A270" t="s">
        <v>1904</v>
      </c>
      <c r="B270" t="s">
        <v>300</v>
      </c>
      <c r="C270" s="4">
        <v>45468</v>
      </c>
      <c r="D270" t="s">
        <v>1655</v>
      </c>
      <c r="E270" t="s">
        <v>1633</v>
      </c>
      <c r="F270" s="5">
        <v>17.5</v>
      </c>
      <c r="G270" t="s">
        <v>1630</v>
      </c>
      <c r="H270">
        <v>2</v>
      </c>
    </row>
    <row r="271" spans="1:8">
      <c r="A271" t="s">
        <v>1905</v>
      </c>
      <c r="B271" t="s">
        <v>1087</v>
      </c>
      <c r="C271" s="4">
        <v>45088</v>
      </c>
      <c r="D271" t="s">
        <v>1628</v>
      </c>
      <c r="E271" t="s">
        <v>1633</v>
      </c>
      <c r="F271" s="5">
        <v>3</v>
      </c>
      <c r="G271" t="s">
        <v>1630</v>
      </c>
      <c r="H271">
        <v>5</v>
      </c>
    </row>
    <row r="272" spans="1:8">
      <c r="A272" t="s">
        <v>1906</v>
      </c>
      <c r="B272" t="s">
        <v>1524</v>
      </c>
      <c r="C272" s="4">
        <v>45090</v>
      </c>
      <c r="D272" t="s">
        <v>1655</v>
      </c>
      <c r="E272" t="s">
        <v>1648</v>
      </c>
      <c r="F272" s="5">
        <v>21.9</v>
      </c>
      <c r="G272" t="s">
        <v>1626</v>
      </c>
      <c r="H272">
        <v>3</v>
      </c>
    </row>
    <row r="273" spans="1:8">
      <c r="A273" t="s">
        <v>1907</v>
      </c>
      <c r="B273" t="s">
        <v>671</v>
      </c>
      <c r="C273" s="4">
        <v>46058</v>
      </c>
      <c r="D273" t="s">
        <v>1632</v>
      </c>
      <c r="E273" t="s">
        <v>1609</v>
      </c>
      <c r="F273" s="5">
        <v>18.100000000000001</v>
      </c>
      <c r="G273" t="s">
        <v>1630</v>
      </c>
      <c r="H273">
        <v>1</v>
      </c>
    </row>
    <row r="274" spans="1:8">
      <c r="A274" t="s">
        <v>1908</v>
      </c>
      <c r="B274" t="s">
        <v>697</v>
      </c>
      <c r="C274" s="4">
        <v>45787</v>
      </c>
      <c r="D274" t="s">
        <v>1628</v>
      </c>
      <c r="E274" t="s">
        <v>1633</v>
      </c>
      <c r="F274" s="5">
        <v>2.5</v>
      </c>
      <c r="G274" t="s">
        <v>1630</v>
      </c>
      <c r="H274">
        <v>1</v>
      </c>
    </row>
    <row r="275" spans="1:8">
      <c r="A275" t="s">
        <v>1909</v>
      </c>
      <c r="B275" t="s">
        <v>298</v>
      </c>
      <c r="C275" s="4">
        <v>46131</v>
      </c>
      <c r="D275" t="s">
        <v>1628</v>
      </c>
      <c r="E275" t="s">
        <v>1629</v>
      </c>
      <c r="F275" s="5">
        <v>0.3</v>
      </c>
      <c r="G275" t="s">
        <v>1630</v>
      </c>
      <c r="H275">
        <v>4</v>
      </c>
    </row>
    <row r="276" spans="1:8">
      <c r="A276" t="s">
        <v>1910</v>
      </c>
      <c r="B276" t="s">
        <v>1027</v>
      </c>
      <c r="C276" s="4">
        <v>45145</v>
      </c>
      <c r="D276" t="s">
        <v>1628</v>
      </c>
      <c r="E276" t="s">
        <v>1648</v>
      </c>
      <c r="F276" s="5">
        <v>22.5</v>
      </c>
      <c r="G276" t="s">
        <v>1626</v>
      </c>
      <c r="H276">
        <v>1</v>
      </c>
    </row>
    <row r="277" spans="1:8">
      <c r="A277" t="s">
        <v>1911</v>
      </c>
      <c r="B277" t="s">
        <v>270</v>
      </c>
      <c r="C277" s="4">
        <v>45611</v>
      </c>
      <c r="D277" t="s">
        <v>1628</v>
      </c>
      <c r="E277" t="s">
        <v>1648</v>
      </c>
      <c r="F277" s="5">
        <v>9.6999999999999993</v>
      </c>
      <c r="G277" t="s">
        <v>1630</v>
      </c>
      <c r="H277">
        <v>1</v>
      </c>
    </row>
    <row r="278" spans="1:8">
      <c r="A278" t="s">
        <v>1912</v>
      </c>
      <c r="B278" t="s">
        <v>932</v>
      </c>
      <c r="C278" s="4">
        <v>45374</v>
      </c>
      <c r="D278" t="s">
        <v>1632</v>
      </c>
      <c r="E278" t="s">
        <v>1605</v>
      </c>
      <c r="F278" s="5">
        <v>1.5</v>
      </c>
      <c r="G278" t="s">
        <v>1626</v>
      </c>
      <c r="H278">
        <v>3</v>
      </c>
    </row>
    <row r="279" spans="1:8">
      <c r="A279" t="s">
        <v>1913</v>
      </c>
      <c r="B279" t="s">
        <v>985</v>
      </c>
      <c r="C279" s="4">
        <v>45415</v>
      </c>
      <c r="D279" t="s">
        <v>1667</v>
      </c>
      <c r="E279" t="s">
        <v>1609</v>
      </c>
      <c r="F279" s="5">
        <v>9.1999999999999993</v>
      </c>
      <c r="G279" t="s">
        <v>1626</v>
      </c>
      <c r="H279">
        <v>3</v>
      </c>
    </row>
    <row r="280" spans="1:8">
      <c r="A280" t="s">
        <v>1914</v>
      </c>
      <c r="B280" t="s">
        <v>1381</v>
      </c>
      <c r="C280" s="4">
        <v>45311</v>
      </c>
      <c r="D280" t="s">
        <v>1641</v>
      </c>
      <c r="E280" t="s">
        <v>1605</v>
      </c>
      <c r="F280" s="5">
        <v>0.5</v>
      </c>
      <c r="G280" t="s">
        <v>1630</v>
      </c>
      <c r="H280">
        <v>4</v>
      </c>
    </row>
    <row r="281" spans="1:8">
      <c r="A281" t="s">
        <v>1915</v>
      </c>
      <c r="B281" t="s">
        <v>487</v>
      </c>
      <c r="C281" s="4">
        <v>46007</v>
      </c>
      <c r="D281" t="s">
        <v>1625</v>
      </c>
      <c r="E281" t="s">
        <v>1605</v>
      </c>
      <c r="F281" s="5">
        <v>4.0999999999999996</v>
      </c>
      <c r="G281" t="s">
        <v>1630</v>
      </c>
      <c r="H281">
        <v>5</v>
      </c>
    </row>
    <row r="282" spans="1:8">
      <c r="A282" t="s">
        <v>1916</v>
      </c>
      <c r="B282" t="s">
        <v>655</v>
      </c>
      <c r="C282" s="4">
        <v>45478</v>
      </c>
      <c r="D282" t="s">
        <v>1628</v>
      </c>
      <c r="E282" t="s">
        <v>1609</v>
      </c>
      <c r="F282" s="5">
        <v>9.8000000000000007</v>
      </c>
      <c r="G282" t="s">
        <v>1630</v>
      </c>
      <c r="H282">
        <v>5</v>
      </c>
    </row>
    <row r="283" spans="1:8">
      <c r="A283" t="s">
        <v>1917</v>
      </c>
      <c r="B283" t="s">
        <v>968</v>
      </c>
      <c r="C283" s="4">
        <v>44929</v>
      </c>
      <c r="D283" t="s">
        <v>1667</v>
      </c>
      <c r="E283" t="s">
        <v>1629</v>
      </c>
      <c r="F283" s="5">
        <v>7.1</v>
      </c>
      <c r="G283" t="s">
        <v>1630</v>
      </c>
      <c r="H283">
        <v>2</v>
      </c>
    </row>
    <row r="284" spans="1:8">
      <c r="A284" t="s">
        <v>1918</v>
      </c>
      <c r="B284" t="s">
        <v>1079</v>
      </c>
      <c r="C284" s="4">
        <v>45304</v>
      </c>
      <c r="D284" t="s">
        <v>1655</v>
      </c>
      <c r="E284" t="s">
        <v>1648</v>
      </c>
      <c r="F284" s="5">
        <v>1</v>
      </c>
      <c r="G284" t="s">
        <v>1630</v>
      </c>
      <c r="H284">
        <v>2</v>
      </c>
    </row>
    <row r="285" spans="1:8">
      <c r="A285" t="s">
        <v>1919</v>
      </c>
      <c r="B285" t="s">
        <v>1268</v>
      </c>
      <c r="C285" s="4">
        <v>45009</v>
      </c>
      <c r="D285" t="s">
        <v>1628</v>
      </c>
      <c r="E285" t="s">
        <v>1605</v>
      </c>
      <c r="F285" s="5">
        <v>10.9</v>
      </c>
      <c r="G285" t="s">
        <v>1630</v>
      </c>
      <c r="H285">
        <v>4</v>
      </c>
    </row>
    <row r="286" spans="1:8">
      <c r="A286" t="s">
        <v>1920</v>
      </c>
      <c r="B286" t="s">
        <v>372</v>
      </c>
      <c r="C286" s="4">
        <v>45373</v>
      </c>
      <c r="D286" t="s">
        <v>1628</v>
      </c>
      <c r="E286" t="s">
        <v>1609</v>
      </c>
      <c r="F286" s="5">
        <v>6.8</v>
      </c>
      <c r="G286" t="s">
        <v>1630</v>
      </c>
      <c r="H286">
        <v>1</v>
      </c>
    </row>
    <row r="287" spans="1:8">
      <c r="A287" t="s">
        <v>1921</v>
      </c>
      <c r="B287" t="s">
        <v>1422</v>
      </c>
      <c r="C287" s="4">
        <v>44955</v>
      </c>
      <c r="D287" t="s">
        <v>1625</v>
      </c>
      <c r="E287" t="s">
        <v>1633</v>
      </c>
      <c r="F287" s="5">
        <v>1.8</v>
      </c>
      <c r="G287" t="s">
        <v>1630</v>
      </c>
      <c r="H287">
        <v>1</v>
      </c>
    </row>
    <row r="288" spans="1:8">
      <c r="A288" t="s">
        <v>1922</v>
      </c>
      <c r="B288" t="s">
        <v>1469</v>
      </c>
      <c r="C288" s="4">
        <v>45682</v>
      </c>
      <c r="D288" t="s">
        <v>1625</v>
      </c>
      <c r="E288" t="s">
        <v>1629</v>
      </c>
      <c r="F288" s="5">
        <v>3.8</v>
      </c>
      <c r="G288" t="s">
        <v>1630</v>
      </c>
      <c r="H288">
        <v>3</v>
      </c>
    </row>
    <row r="289" spans="1:8">
      <c r="A289" t="s">
        <v>1923</v>
      </c>
      <c r="B289" t="s">
        <v>896</v>
      </c>
      <c r="C289" s="4">
        <v>45339</v>
      </c>
      <c r="D289" t="s">
        <v>1637</v>
      </c>
      <c r="E289" t="s">
        <v>1605</v>
      </c>
      <c r="F289" s="5">
        <v>1.9</v>
      </c>
      <c r="G289" t="s">
        <v>1630</v>
      </c>
      <c r="H289">
        <v>2</v>
      </c>
    </row>
    <row r="290" spans="1:8">
      <c r="A290" t="s">
        <v>1924</v>
      </c>
      <c r="B290" t="s">
        <v>958</v>
      </c>
      <c r="C290" s="4">
        <v>45928</v>
      </c>
      <c r="D290" t="s">
        <v>1667</v>
      </c>
      <c r="E290" t="s">
        <v>1629</v>
      </c>
      <c r="F290" s="5">
        <v>0.4</v>
      </c>
      <c r="G290" t="s">
        <v>1630</v>
      </c>
      <c r="H290">
        <v>4</v>
      </c>
    </row>
    <row r="291" spans="1:8">
      <c r="A291" t="s">
        <v>1925</v>
      </c>
      <c r="B291" t="s">
        <v>421</v>
      </c>
      <c r="C291" s="4">
        <v>45052</v>
      </c>
      <c r="D291" t="s">
        <v>1655</v>
      </c>
      <c r="E291" t="s">
        <v>1609</v>
      </c>
      <c r="F291" s="5">
        <v>11</v>
      </c>
      <c r="G291" t="s">
        <v>1630</v>
      </c>
      <c r="H291">
        <v>2</v>
      </c>
    </row>
    <row r="292" spans="1:8">
      <c r="A292" t="s">
        <v>1926</v>
      </c>
      <c r="B292" t="s">
        <v>849</v>
      </c>
      <c r="C292" s="4">
        <v>45153</v>
      </c>
      <c r="D292" t="s">
        <v>1637</v>
      </c>
      <c r="E292" t="s">
        <v>1605</v>
      </c>
      <c r="F292" s="5">
        <v>2.7</v>
      </c>
      <c r="G292" t="s">
        <v>1630</v>
      </c>
      <c r="H292">
        <v>1</v>
      </c>
    </row>
    <row r="293" spans="1:8">
      <c r="A293" t="s">
        <v>1927</v>
      </c>
      <c r="B293" t="s">
        <v>935</v>
      </c>
      <c r="C293" s="4">
        <v>46011</v>
      </c>
      <c r="D293" t="s">
        <v>1628</v>
      </c>
      <c r="E293" t="s">
        <v>1629</v>
      </c>
      <c r="F293" s="5">
        <v>3.4</v>
      </c>
      <c r="G293" t="s">
        <v>1630</v>
      </c>
      <c r="H293">
        <v>4</v>
      </c>
    </row>
    <row r="294" spans="1:8">
      <c r="A294" t="s">
        <v>1928</v>
      </c>
      <c r="B294" t="s">
        <v>499</v>
      </c>
      <c r="C294" s="4">
        <v>45491</v>
      </c>
      <c r="D294" t="s">
        <v>1655</v>
      </c>
      <c r="E294" t="s">
        <v>1629</v>
      </c>
      <c r="F294" s="5">
        <v>2.5</v>
      </c>
      <c r="G294" t="s">
        <v>1630</v>
      </c>
      <c r="H294">
        <v>4</v>
      </c>
    </row>
    <row r="295" spans="1:8">
      <c r="A295" t="s">
        <v>1929</v>
      </c>
      <c r="B295" t="s">
        <v>1513</v>
      </c>
      <c r="C295" s="4">
        <v>45200</v>
      </c>
      <c r="D295" t="s">
        <v>1628</v>
      </c>
      <c r="E295" t="s">
        <v>1605</v>
      </c>
      <c r="F295" s="5">
        <v>8.3000000000000007</v>
      </c>
      <c r="G295" t="s">
        <v>1630</v>
      </c>
      <c r="H295">
        <v>5</v>
      </c>
    </row>
    <row r="296" spans="1:8">
      <c r="A296" t="s">
        <v>1930</v>
      </c>
      <c r="B296" t="s">
        <v>985</v>
      </c>
      <c r="C296" s="4">
        <v>45223</v>
      </c>
      <c r="D296" t="s">
        <v>1628</v>
      </c>
      <c r="E296" t="s">
        <v>1633</v>
      </c>
      <c r="F296" s="5">
        <v>5.9</v>
      </c>
      <c r="G296" t="s">
        <v>1630</v>
      </c>
      <c r="H296">
        <v>3</v>
      </c>
    </row>
    <row r="297" spans="1:8">
      <c r="A297" t="s">
        <v>1931</v>
      </c>
      <c r="B297" t="s">
        <v>1460</v>
      </c>
      <c r="C297" s="4">
        <v>45984</v>
      </c>
      <c r="D297" t="s">
        <v>1655</v>
      </c>
      <c r="E297" t="s">
        <v>1629</v>
      </c>
      <c r="F297" s="5">
        <v>0.2</v>
      </c>
      <c r="G297" t="s">
        <v>1630</v>
      </c>
      <c r="H297">
        <v>1</v>
      </c>
    </row>
    <row r="298" spans="1:8">
      <c r="A298" t="s">
        <v>1932</v>
      </c>
      <c r="B298" t="s">
        <v>575</v>
      </c>
      <c r="C298" s="4">
        <v>45506</v>
      </c>
      <c r="D298" t="s">
        <v>1628</v>
      </c>
      <c r="E298" t="s">
        <v>1605</v>
      </c>
      <c r="F298" s="5">
        <v>11.3</v>
      </c>
      <c r="G298" t="s">
        <v>1630</v>
      </c>
      <c r="H298">
        <v>5</v>
      </c>
    </row>
    <row r="299" spans="1:8">
      <c r="A299" t="s">
        <v>1933</v>
      </c>
      <c r="B299" t="s">
        <v>1454</v>
      </c>
      <c r="C299" s="4">
        <v>46103</v>
      </c>
      <c r="D299" t="s">
        <v>1655</v>
      </c>
      <c r="E299" t="s">
        <v>1648</v>
      </c>
      <c r="F299" s="5">
        <v>20.399999999999999</v>
      </c>
      <c r="G299" t="s">
        <v>1630</v>
      </c>
      <c r="H299">
        <v>5</v>
      </c>
    </row>
    <row r="300" spans="1:8">
      <c r="A300" t="s">
        <v>1934</v>
      </c>
      <c r="B300" t="s">
        <v>51</v>
      </c>
      <c r="C300" s="4">
        <v>45232</v>
      </c>
      <c r="D300" t="s">
        <v>1667</v>
      </c>
      <c r="E300" t="s">
        <v>1633</v>
      </c>
      <c r="F300" s="5">
        <v>11.7</v>
      </c>
      <c r="G300" t="s">
        <v>1630</v>
      </c>
      <c r="H300">
        <v>4</v>
      </c>
    </row>
    <row r="301" spans="1:8">
      <c r="A301" t="s">
        <v>1935</v>
      </c>
      <c r="B301" t="s">
        <v>1065</v>
      </c>
      <c r="C301" s="4">
        <v>45625</v>
      </c>
      <c r="D301" t="s">
        <v>1628</v>
      </c>
      <c r="E301" t="s">
        <v>1605</v>
      </c>
      <c r="F301" s="5">
        <v>1.7</v>
      </c>
      <c r="G301" t="s">
        <v>1630</v>
      </c>
      <c r="H301">
        <v>4</v>
      </c>
    </row>
    <row r="302" spans="1:8">
      <c r="A302" t="s">
        <v>1936</v>
      </c>
      <c r="B302" t="s">
        <v>594</v>
      </c>
      <c r="C302" s="4">
        <v>45483</v>
      </c>
      <c r="D302" t="s">
        <v>1641</v>
      </c>
      <c r="E302" t="s">
        <v>1629</v>
      </c>
      <c r="F302" s="5">
        <v>8.9</v>
      </c>
      <c r="G302" t="s">
        <v>1626</v>
      </c>
      <c r="H302">
        <v>3</v>
      </c>
    </row>
    <row r="303" spans="1:8">
      <c r="A303" t="s">
        <v>1937</v>
      </c>
      <c r="B303" t="s">
        <v>1059</v>
      </c>
      <c r="C303" s="4">
        <v>45657</v>
      </c>
      <c r="D303" t="s">
        <v>1628</v>
      </c>
      <c r="E303" t="s">
        <v>1629</v>
      </c>
      <c r="F303" s="5">
        <v>7.8</v>
      </c>
      <c r="G303" t="s">
        <v>1626</v>
      </c>
      <c r="H303">
        <v>2</v>
      </c>
    </row>
    <row r="304" spans="1:8">
      <c r="A304" t="s">
        <v>1938</v>
      </c>
      <c r="B304" t="s">
        <v>192</v>
      </c>
      <c r="C304" s="4">
        <v>45615</v>
      </c>
      <c r="D304" t="s">
        <v>1625</v>
      </c>
      <c r="E304" t="s">
        <v>1605</v>
      </c>
      <c r="F304" s="5">
        <v>6.1</v>
      </c>
      <c r="G304" t="s">
        <v>1630</v>
      </c>
      <c r="H304">
        <v>4</v>
      </c>
    </row>
    <row r="305" spans="1:8">
      <c r="A305" t="s">
        <v>1939</v>
      </c>
      <c r="B305" t="s">
        <v>1573</v>
      </c>
      <c r="C305" s="4">
        <v>46078</v>
      </c>
      <c r="D305" t="s">
        <v>1628</v>
      </c>
      <c r="E305" t="s">
        <v>1609</v>
      </c>
      <c r="F305" s="5">
        <v>0.9</v>
      </c>
      <c r="G305" t="s">
        <v>1626</v>
      </c>
      <c r="H305">
        <v>1</v>
      </c>
    </row>
    <row r="306" spans="1:8">
      <c r="A306" t="s">
        <v>1940</v>
      </c>
      <c r="B306" t="s">
        <v>846</v>
      </c>
      <c r="C306" s="4">
        <v>45016</v>
      </c>
      <c r="D306" t="s">
        <v>1628</v>
      </c>
      <c r="E306" t="s">
        <v>1629</v>
      </c>
      <c r="F306" s="5">
        <v>6.1</v>
      </c>
      <c r="G306" t="s">
        <v>1630</v>
      </c>
      <c r="H306">
        <v>1</v>
      </c>
    </row>
    <row r="307" spans="1:8">
      <c r="A307" t="s">
        <v>1941</v>
      </c>
      <c r="B307" t="s">
        <v>1229</v>
      </c>
      <c r="C307" s="4">
        <v>46050</v>
      </c>
      <c r="D307" t="s">
        <v>1625</v>
      </c>
      <c r="E307" t="s">
        <v>1605</v>
      </c>
      <c r="F307" s="5">
        <v>2</v>
      </c>
      <c r="G307" t="s">
        <v>1630</v>
      </c>
      <c r="H307">
        <v>3</v>
      </c>
    </row>
    <row r="308" spans="1:8">
      <c r="A308" t="s">
        <v>1942</v>
      </c>
      <c r="B308" t="s">
        <v>303</v>
      </c>
      <c r="C308" s="4">
        <v>45001</v>
      </c>
      <c r="D308" t="s">
        <v>1628</v>
      </c>
      <c r="E308" t="s">
        <v>1648</v>
      </c>
      <c r="F308" s="5">
        <v>4.2</v>
      </c>
      <c r="G308" t="s">
        <v>1626</v>
      </c>
      <c r="H308">
        <v>3</v>
      </c>
    </row>
    <row r="309" spans="1:8">
      <c r="A309" t="s">
        <v>1943</v>
      </c>
      <c r="B309" t="s">
        <v>1096</v>
      </c>
      <c r="C309" s="4">
        <v>45848</v>
      </c>
      <c r="D309" t="s">
        <v>1637</v>
      </c>
      <c r="E309" t="s">
        <v>1609</v>
      </c>
      <c r="F309" s="5">
        <v>3.3</v>
      </c>
      <c r="G309" t="s">
        <v>1630</v>
      </c>
      <c r="H309">
        <v>1</v>
      </c>
    </row>
    <row r="310" spans="1:8">
      <c r="A310" t="s">
        <v>1944</v>
      </c>
      <c r="B310" t="s">
        <v>295</v>
      </c>
      <c r="C310" s="4">
        <v>45439</v>
      </c>
      <c r="D310" t="s">
        <v>1655</v>
      </c>
      <c r="E310" t="s">
        <v>1648</v>
      </c>
      <c r="F310" s="5">
        <v>11</v>
      </c>
      <c r="G310" t="s">
        <v>1626</v>
      </c>
      <c r="H310">
        <v>1</v>
      </c>
    </row>
    <row r="311" spans="1:8">
      <c r="A311" t="s">
        <v>1945</v>
      </c>
      <c r="B311" t="s">
        <v>190</v>
      </c>
      <c r="C311" s="4">
        <v>45901</v>
      </c>
      <c r="D311" t="s">
        <v>1632</v>
      </c>
      <c r="E311" t="s">
        <v>1648</v>
      </c>
      <c r="F311" s="5">
        <v>1.5</v>
      </c>
      <c r="G311" t="s">
        <v>1630</v>
      </c>
      <c r="H311">
        <v>1</v>
      </c>
    </row>
    <row r="312" spans="1:8">
      <c r="A312" t="s">
        <v>1946</v>
      </c>
      <c r="B312" t="s">
        <v>1540</v>
      </c>
      <c r="C312" s="4">
        <v>45929</v>
      </c>
      <c r="D312" t="s">
        <v>1655</v>
      </c>
      <c r="E312" t="s">
        <v>1605</v>
      </c>
      <c r="F312" s="5">
        <v>12.7</v>
      </c>
      <c r="G312" t="s">
        <v>1626</v>
      </c>
      <c r="H312">
        <v>1</v>
      </c>
    </row>
    <row r="313" spans="1:8">
      <c r="A313" t="s">
        <v>1947</v>
      </c>
      <c r="B313" t="s">
        <v>283</v>
      </c>
      <c r="C313" s="4">
        <v>45958</v>
      </c>
      <c r="D313" t="s">
        <v>1641</v>
      </c>
      <c r="E313" t="s">
        <v>1648</v>
      </c>
      <c r="F313" s="5">
        <v>2.6</v>
      </c>
      <c r="G313" t="s">
        <v>1630</v>
      </c>
      <c r="H313">
        <v>3</v>
      </c>
    </row>
    <row r="314" spans="1:8">
      <c r="A314" t="s">
        <v>1948</v>
      </c>
      <c r="B314" t="s">
        <v>1550</v>
      </c>
      <c r="C314" s="4">
        <v>45657</v>
      </c>
      <c r="D314" t="s">
        <v>1632</v>
      </c>
      <c r="E314" t="s">
        <v>1648</v>
      </c>
      <c r="F314" s="5">
        <v>9.5</v>
      </c>
      <c r="G314" t="s">
        <v>1630</v>
      </c>
      <c r="H314">
        <v>1</v>
      </c>
    </row>
    <row r="315" spans="1:8">
      <c r="A315" t="s">
        <v>1949</v>
      </c>
      <c r="B315" t="s">
        <v>1156</v>
      </c>
      <c r="C315" s="4">
        <v>46097</v>
      </c>
      <c r="D315" t="s">
        <v>1628</v>
      </c>
      <c r="E315" t="s">
        <v>1633</v>
      </c>
      <c r="F315" s="5">
        <v>1.7</v>
      </c>
      <c r="G315" t="s">
        <v>1626</v>
      </c>
      <c r="H315">
        <v>1</v>
      </c>
    </row>
    <row r="316" spans="1:8">
      <c r="A316" t="s">
        <v>1950</v>
      </c>
      <c r="B316" t="s">
        <v>1306</v>
      </c>
      <c r="C316" s="4">
        <v>45019</v>
      </c>
      <c r="D316" t="s">
        <v>1632</v>
      </c>
      <c r="E316" t="s">
        <v>1605</v>
      </c>
      <c r="F316" s="5">
        <v>14</v>
      </c>
      <c r="G316" t="s">
        <v>1630</v>
      </c>
      <c r="H316">
        <v>3</v>
      </c>
    </row>
    <row r="317" spans="1:8">
      <c r="A317" t="s">
        <v>1951</v>
      </c>
      <c r="B317" t="s">
        <v>918</v>
      </c>
      <c r="C317" s="4">
        <v>45052</v>
      </c>
      <c r="D317" t="s">
        <v>1632</v>
      </c>
      <c r="E317" t="s">
        <v>1605</v>
      </c>
      <c r="F317" s="5">
        <v>7.7</v>
      </c>
      <c r="G317" t="s">
        <v>1630</v>
      </c>
      <c r="H317">
        <v>2</v>
      </c>
    </row>
    <row r="318" spans="1:8">
      <c r="A318" t="s">
        <v>1952</v>
      </c>
      <c r="B318" t="s">
        <v>783</v>
      </c>
      <c r="C318" s="4">
        <v>45540</v>
      </c>
      <c r="D318" t="s">
        <v>1655</v>
      </c>
      <c r="E318" t="s">
        <v>1629</v>
      </c>
      <c r="F318" s="5">
        <v>1.3</v>
      </c>
      <c r="G318" t="s">
        <v>1630</v>
      </c>
      <c r="H318">
        <v>2</v>
      </c>
    </row>
    <row r="319" spans="1:8">
      <c r="A319" t="s">
        <v>1953</v>
      </c>
      <c r="B319" t="s">
        <v>937</v>
      </c>
      <c r="C319" s="4">
        <v>45701</v>
      </c>
      <c r="D319" t="s">
        <v>1628</v>
      </c>
      <c r="E319" t="s">
        <v>1633</v>
      </c>
      <c r="F319" s="5">
        <v>0.3</v>
      </c>
      <c r="G319" t="s">
        <v>1630</v>
      </c>
      <c r="H319">
        <v>4</v>
      </c>
    </row>
    <row r="320" spans="1:8">
      <c r="A320" t="s">
        <v>1954</v>
      </c>
      <c r="B320" t="s">
        <v>326</v>
      </c>
      <c r="C320" s="4">
        <v>45100</v>
      </c>
      <c r="D320" t="s">
        <v>1655</v>
      </c>
      <c r="E320" t="s">
        <v>1605</v>
      </c>
      <c r="F320" s="5">
        <v>0.6</v>
      </c>
      <c r="G320" t="s">
        <v>1630</v>
      </c>
      <c r="H320">
        <v>4</v>
      </c>
    </row>
    <row r="321" spans="1:8">
      <c r="A321" t="s">
        <v>1955</v>
      </c>
      <c r="B321" t="s">
        <v>553</v>
      </c>
      <c r="C321" s="4">
        <v>45267</v>
      </c>
      <c r="D321" t="s">
        <v>1628</v>
      </c>
      <c r="E321" t="s">
        <v>1648</v>
      </c>
      <c r="F321" s="5">
        <v>10</v>
      </c>
      <c r="G321" t="s">
        <v>1626</v>
      </c>
      <c r="H321">
        <v>3</v>
      </c>
    </row>
    <row r="322" spans="1:8">
      <c r="A322" t="s">
        <v>1956</v>
      </c>
      <c r="B322" t="s">
        <v>1565</v>
      </c>
      <c r="C322" s="4">
        <v>46138</v>
      </c>
      <c r="D322" t="s">
        <v>1637</v>
      </c>
      <c r="E322" t="s">
        <v>1648</v>
      </c>
      <c r="F322" s="5">
        <v>33.299999999999997</v>
      </c>
      <c r="G322" t="s">
        <v>1626</v>
      </c>
      <c r="H322">
        <v>1</v>
      </c>
    </row>
    <row r="323" spans="1:8">
      <c r="A323" t="s">
        <v>1957</v>
      </c>
      <c r="B323" t="s">
        <v>1421</v>
      </c>
      <c r="C323" s="4">
        <v>46144</v>
      </c>
      <c r="D323" t="s">
        <v>1641</v>
      </c>
      <c r="E323" t="s">
        <v>1648</v>
      </c>
      <c r="F323" s="5">
        <v>1.9</v>
      </c>
      <c r="G323" t="s">
        <v>1630</v>
      </c>
      <c r="H323">
        <v>2</v>
      </c>
    </row>
    <row r="324" spans="1:8">
      <c r="A324" t="s">
        <v>1958</v>
      </c>
      <c r="B324" t="s">
        <v>1133</v>
      </c>
      <c r="C324" s="4">
        <v>45838</v>
      </c>
      <c r="D324" t="s">
        <v>1628</v>
      </c>
      <c r="E324" t="s">
        <v>1633</v>
      </c>
      <c r="F324" s="5">
        <v>7.5</v>
      </c>
      <c r="G324" t="s">
        <v>1626</v>
      </c>
      <c r="H324">
        <v>1</v>
      </c>
    </row>
    <row r="325" spans="1:8">
      <c r="A325" t="s">
        <v>1959</v>
      </c>
      <c r="B325" t="s">
        <v>492</v>
      </c>
      <c r="C325" s="4">
        <v>45758</v>
      </c>
      <c r="D325" t="s">
        <v>1625</v>
      </c>
      <c r="E325" t="s">
        <v>1648</v>
      </c>
      <c r="F325" s="5">
        <v>5</v>
      </c>
      <c r="G325" t="s">
        <v>1630</v>
      </c>
      <c r="H325">
        <v>5</v>
      </c>
    </row>
    <row r="326" spans="1:8">
      <c r="A326" t="s">
        <v>1960</v>
      </c>
      <c r="B326" t="s">
        <v>340</v>
      </c>
      <c r="C326" s="4">
        <v>45186</v>
      </c>
      <c r="D326" t="s">
        <v>1637</v>
      </c>
      <c r="E326" t="s">
        <v>1605</v>
      </c>
      <c r="F326" s="5">
        <v>10.7</v>
      </c>
      <c r="G326" t="s">
        <v>1630</v>
      </c>
      <c r="H326">
        <v>1</v>
      </c>
    </row>
    <row r="327" spans="1:8">
      <c r="A327" t="s">
        <v>1961</v>
      </c>
      <c r="B327" t="s">
        <v>1053</v>
      </c>
      <c r="C327" s="4">
        <v>45908</v>
      </c>
      <c r="D327" t="s">
        <v>1625</v>
      </c>
      <c r="E327" t="s">
        <v>1648</v>
      </c>
      <c r="F327" s="5">
        <v>10</v>
      </c>
      <c r="G327" t="s">
        <v>1630</v>
      </c>
      <c r="H327">
        <v>1</v>
      </c>
    </row>
    <row r="328" spans="1:8">
      <c r="A328" t="s">
        <v>1962</v>
      </c>
      <c r="B328" t="s">
        <v>997</v>
      </c>
      <c r="C328" s="4">
        <v>45295</v>
      </c>
      <c r="D328" t="s">
        <v>1641</v>
      </c>
      <c r="E328" t="s">
        <v>1605</v>
      </c>
      <c r="F328" s="5">
        <v>12.8</v>
      </c>
      <c r="G328" t="s">
        <v>1630</v>
      </c>
      <c r="H328">
        <v>1</v>
      </c>
    </row>
    <row r="329" spans="1:8">
      <c r="A329" t="s">
        <v>1963</v>
      </c>
      <c r="B329" t="s">
        <v>984</v>
      </c>
      <c r="C329" s="4">
        <v>46169</v>
      </c>
      <c r="D329" t="s">
        <v>1641</v>
      </c>
      <c r="E329" t="s">
        <v>1609</v>
      </c>
      <c r="F329" s="5">
        <v>2.2000000000000002</v>
      </c>
      <c r="G329" t="s">
        <v>1630</v>
      </c>
      <c r="H329">
        <v>3</v>
      </c>
    </row>
    <row r="330" spans="1:8">
      <c r="A330" t="s">
        <v>1964</v>
      </c>
      <c r="B330" t="s">
        <v>1007</v>
      </c>
      <c r="C330" s="4">
        <v>46027</v>
      </c>
      <c r="D330" t="s">
        <v>1628</v>
      </c>
      <c r="E330" t="s">
        <v>1633</v>
      </c>
      <c r="F330" s="5">
        <v>3.2</v>
      </c>
      <c r="G330" t="s">
        <v>1630</v>
      </c>
      <c r="H330">
        <v>2</v>
      </c>
    </row>
    <row r="331" spans="1:8">
      <c r="A331" t="s">
        <v>1965</v>
      </c>
      <c r="B331" t="s">
        <v>190</v>
      </c>
      <c r="C331" s="4">
        <v>45802</v>
      </c>
      <c r="D331" t="s">
        <v>1641</v>
      </c>
      <c r="E331" t="s">
        <v>1605</v>
      </c>
      <c r="F331" s="5">
        <v>1.2</v>
      </c>
      <c r="G331" t="s">
        <v>1630</v>
      </c>
      <c r="H331">
        <v>1</v>
      </c>
    </row>
    <row r="332" spans="1:8">
      <c r="A332" t="s">
        <v>1966</v>
      </c>
      <c r="B332" t="s">
        <v>997</v>
      </c>
      <c r="C332" s="4">
        <v>45229</v>
      </c>
      <c r="D332" t="s">
        <v>1641</v>
      </c>
      <c r="E332" t="s">
        <v>1609</v>
      </c>
      <c r="F332" s="5">
        <v>4.4000000000000004</v>
      </c>
      <c r="G332" t="s">
        <v>1630</v>
      </c>
      <c r="H332">
        <v>1</v>
      </c>
    </row>
    <row r="333" spans="1:8">
      <c r="A333" t="s">
        <v>1967</v>
      </c>
      <c r="B333" t="s">
        <v>1306</v>
      </c>
      <c r="C333" s="4">
        <v>45586</v>
      </c>
      <c r="D333" t="s">
        <v>1641</v>
      </c>
      <c r="E333" t="s">
        <v>1633</v>
      </c>
      <c r="F333" s="5">
        <v>39.4</v>
      </c>
      <c r="G333" t="s">
        <v>1630</v>
      </c>
      <c r="H333">
        <v>1</v>
      </c>
    </row>
    <row r="334" spans="1:8">
      <c r="A334" t="s">
        <v>1968</v>
      </c>
      <c r="B334" t="s">
        <v>1341</v>
      </c>
      <c r="C334" s="4">
        <v>44950</v>
      </c>
      <c r="D334" t="s">
        <v>1655</v>
      </c>
      <c r="E334" t="s">
        <v>1609</v>
      </c>
      <c r="F334" s="5">
        <v>15.9</v>
      </c>
      <c r="G334" t="s">
        <v>1630</v>
      </c>
      <c r="H334">
        <v>1</v>
      </c>
    </row>
    <row r="335" spans="1:8">
      <c r="A335" t="s">
        <v>1969</v>
      </c>
      <c r="B335" t="s">
        <v>715</v>
      </c>
      <c r="C335" s="4">
        <v>45264</v>
      </c>
      <c r="D335" t="s">
        <v>1632</v>
      </c>
      <c r="E335" t="s">
        <v>1648</v>
      </c>
      <c r="F335" s="5">
        <v>0.7</v>
      </c>
      <c r="G335" t="s">
        <v>1630</v>
      </c>
      <c r="H335">
        <v>4</v>
      </c>
    </row>
    <row r="336" spans="1:8">
      <c r="A336" t="s">
        <v>1970</v>
      </c>
      <c r="B336" t="s">
        <v>1568</v>
      </c>
      <c r="C336" s="4">
        <v>45128</v>
      </c>
      <c r="D336" t="s">
        <v>1625</v>
      </c>
      <c r="E336" t="s">
        <v>1648</v>
      </c>
      <c r="F336" s="5">
        <v>8.3000000000000007</v>
      </c>
      <c r="G336" t="s">
        <v>1630</v>
      </c>
      <c r="H336">
        <v>5</v>
      </c>
    </row>
    <row r="337" spans="1:8">
      <c r="A337" t="s">
        <v>1971</v>
      </c>
      <c r="B337" t="s">
        <v>138</v>
      </c>
      <c r="C337" s="4">
        <v>45233</v>
      </c>
      <c r="D337" t="s">
        <v>1667</v>
      </c>
      <c r="E337" t="s">
        <v>1633</v>
      </c>
      <c r="F337" s="5">
        <v>3.8</v>
      </c>
      <c r="G337" t="s">
        <v>1630</v>
      </c>
      <c r="H337">
        <v>5</v>
      </c>
    </row>
    <row r="338" spans="1:8">
      <c r="A338" t="s">
        <v>1972</v>
      </c>
      <c r="B338" t="s">
        <v>1178</v>
      </c>
      <c r="C338" s="4">
        <v>45520</v>
      </c>
      <c r="D338" t="s">
        <v>1632</v>
      </c>
      <c r="E338" t="s">
        <v>1633</v>
      </c>
      <c r="F338" s="5">
        <v>1.4</v>
      </c>
      <c r="G338" t="s">
        <v>1630</v>
      </c>
      <c r="H338">
        <v>2</v>
      </c>
    </row>
    <row r="339" spans="1:8">
      <c r="A339" t="s">
        <v>1973</v>
      </c>
      <c r="B339" t="s">
        <v>1115</v>
      </c>
      <c r="C339" s="4">
        <v>46107</v>
      </c>
      <c r="D339" t="s">
        <v>1641</v>
      </c>
      <c r="E339" t="s">
        <v>1633</v>
      </c>
      <c r="F339" s="5">
        <v>5.4</v>
      </c>
      <c r="G339" t="s">
        <v>1626</v>
      </c>
      <c r="H339">
        <v>1</v>
      </c>
    </row>
    <row r="340" spans="1:8">
      <c r="A340" t="s">
        <v>1974</v>
      </c>
      <c r="B340" t="s">
        <v>407</v>
      </c>
      <c r="C340" s="4">
        <v>45286</v>
      </c>
      <c r="D340" t="s">
        <v>1655</v>
      </c>
      <c r="E340" t="s">
        <v>1633</v>
      </c>
      <c r="F340" s="5">
        <v>5.6</v>
      </c>
      <c r="G340" t="s">
        <v>1630</v>
      </c>
      <c r="H340">
        <v>3</v>
      </c>
    </row>
    <row r="341" spans="1:8">
      <c r="A341" t="s">
        <v>1975</v>
      </c>
      <c r="B341" t="s">
        <v>800</v>
      </c>
      <c r="C341" s="4">
        <v>45887</v>
      </c>
      <c r="D341" t="s">
        <v>1628</v>
      </c>
      <c r="E341" t="s">
        <v>1629</v>
      </c>
      <c r="F341" s="5">
        <v>5</v>
      </c>
      <c r="G341" t="s">
        <v>1630</v>
      </c>
      <c r="H341">
        <v>1</v>
      </c>
    </row>
    <row r="342" spans="1:8">
      <c r="A342" t="s">
        <v>1976</v>
      </c>
      <c r="B342" t="s">
        <v>46</v>
      </c>
      <c r="C342" s="4">
        <v>45462</v>
      </c>
      <c r="D342" t="s">
        <v>1637</v>
      </c>
      <c r="E342" t="s">
        <v>1629</v>
      </c>
      <c r="F342" s="5">
        <v>3.4</v>
      </c>
      <c r="G342" t="s">
        <v>1630</v>
      </c>
      <c r="H342">
        <v>3</v>
      </c>
    </row>
    <row r="343" spans="1:8">
      <c r="A343" t="s">
        <v>1977</v>
      </c>
      <c r="B343" t="s">
        <v>1286</v>
      </c>
      <c r="C343" s="4">
        <v>45983</v>
      </c>
      <c r="D343" t="s">
        <v>1628</v>
      </c>
      <c r="E343" t="s">
        <v>1605</v>
      </c>
      <c r="F343" s="5">
        <v>4.2</v>
      </c>
      <c r="G343" t="s">
        <v>1630</v>
      </c>
      <c r="H343">
        <v>2</v>
      </c>
    </row>
    <row r="344" spans="1:8">
      <c r="A344" t="s">
        <v>1978</v>
      </c>
      <c r="B344" t="s">
        <v>848</v>
      </c>
      <c r="C344" s="4">
        <v>45232</v>
      </c>
      <c r="D344" t="s">
        <v>1655</v>
      </c>
      <c r="E344" t="s">
        <v>1648</v>
      </c>
      <c r="F344" s="5">
        <v>2.1</v>
      </c>
      <c r="G344" t="s">
        <v>1630</v>
      </c>
      <c r="H344">
        <v>1</v>
      </c>
    </row>
    <row r="345" spans="1:8">
      <c r="A345" t="s">
        <v>1979</v>
      </c>
      <c r="B345" t="s">
        <v>781</v>
      </c>
      <c r="C345" s="4">
        <v>45562</v>
      </c>
      <c r="D345" t="s">
        <v>1655</v>
      </c>
      <c r="E345" t="s">
        <v>1648</v>
      </c>
      <c r="F345" s="5">
        <v>3.8</v>
      </c>
      <c r="G345" t="s">
        <v>1630</v>
      </c>
      <c r="H345">
        <v>1</v>
      </c>
    </row>
    <row r="346" spans="1:8">
      <c r="A346" t="s">
        <v>1980</v>
      </c>
      <c r="B346" t="s">
        <v>1154</v>
      </c>
      <c r="C346" s="4">
        <v>45889</v>
      </c>
      <c r="D346" t="s">
        <v>1628</v>
      </c>
      <c r="E346" t="s">
        <v>1605</v>
      </c>
      <c r="F346" s="5">
        <v>2.2000000000000002</v>
      </c>
      <c r="G346" t="s">
        <v>1630</v>
      </c>
      <c r="H346">
        <v>5</v>
      </c>
    </row>
    <row r="347" spans="1:8">
      <c r="A347" t="s">
        <v>1981</v>
      </c>
      <c r="B347" t="s">
        <v>1051</v>
      </c>
      <c r="C347" s="4">
        <v>45869</v>
      </c>
      <c r="D347" t="s">
        <v>1641</v>
      </c>
      <c r="E347" t="s">
        <v>1609</v>
      </c>
      <c r="F347" s="5">
        <v>11.8</v>
      </c>
      <c r="G347" t="s">
        <v>1630</v>
      </c>
      <c r="H347">
        <v>5</v>
      </c>
    </row>
    <row r="348" spans="1:8">
      <c r="A348" t="s">
        <v>1982</v>
      </c>
      <c r="B348" t="s">
        <v>472</v>
      </c>
      <c r="C348" s="4">
        <v>45184</v>
      </c>
      <c r="D348" t="s">
        <v>1628</v>
      </c>
      <c r="E348" t="s">
        <v>1633</v>
      </c>
      <c r="F348" s="5">
        <v>13</v>
      </c>
      <c r="G348" t="s">
        <v>1626</v>
      </c>
      <c r="H348">
        <v>2</v>
      </c>
    </row>
    <row r="349" spans="1:8">
      <c r="A349" t="s">
        <v>1983</v>
      </c>
      <c r="B349" t="s">
        <v>595</v>
      </c>
      <c r="C349" s="4">
        <v>46009</v>
      </c>
      <c r="D349" t="s">
        <v>1628</v>
      </c>
      <c r="E349" t="s">
        <v>1648</v>
      </c>
      <c r="F349" s="5">
        <v>19.7</v>
      </c>
      <c r="G349" t="s">
        <v>1630</v>
      </c>
      <c r="H349">
        <v>3</v>
      </c>
    </row>
    <row r="350" spans="1:8">
      <c r="A350" t="s">
        <v>1984</v>
      </c>
      <c r="B350" t="s">
        <v>1154</v>
      </c>
      <c r="C350" s="4">
        <v>45456</v>
      </c>
      <c r="D350" t="s">
        <v>1667</v>
      </c>
      <c r="E350" t="s">
        <v>1605</v>
      </c>
      <c r="F350" s="5">
        <v>6.3</v>
      </c>
      <c r="G350" t="s">
        <v>1630</v>
      </c>
      <c r="H350">
        <v>2</v>
      </c>
    </row>
    <row r="351" spans="1:8">
      <c r="A351" t="s">
        <v>1985</v>
      </c>
      <c r="B351" t="s">
        <v>994</v>
      </c>
      <c r="C351" s="4">
        <v>45324</v>
      </c>
      <c r="D351" t="s">
        <v>1625</v>
      </c>
      <c r="E351" t="s">
        <v>1605</v>
      </c>
      <c r="F351" s="5">
        <v>6</v>
      </c>
      <c r="G351" t="s">
        <v>1630</v>
      </c>
      <c r="H351">
        <v>3</v>
      </c>
    </row>
    <row r="352" spans="1:8">
      <c r="A352" t="s">
        <v>1986</v>
      </c>
      <c r="B352" t="s">
        <v>577</v>
      </c>
      <c r="C352" s="4">
        <v>45244</v>
      </c>
      <c r="D352" t="s">
        <v>1632</v>
      </c>
      <c r="E352" t="s">
        <v>1605</v>
      </c>
      <c r="F352" s="5">
        <v>9.5</v>
      </c>
      <c r="G352" t="s">
        <v>1630</v>
      </c>
      <c r="H352">
        <v>3</v>
      </c>
    </row>
    <row r="353" spans="1:8">
      <c r="A353" t="s">
        <v>1987</v>
      </c>
      <c r="B353" t="s">
        <v>1289</v>
      </c>
      <c r="C353" s="4">
        <v>45276</v>
      </c>
      <c r="D353" t="s">
        <v>1641</v>
      </c>
      <c r="E353" t="s">
        <v>1633</v>
      </c>
      <c r="F353" s="5">
        <v>4.2</v>
      </c>
      <c r="G353" t="s">
        <v>1630</v>
      </c>
      <c r="H353">
        <v>2</v>
      </c>
    </row>
    <row r="354" spans="1:8">
      <c r="A354" t="s">
        <v>1988</v>
      </c>
      <c r="B354" t="s">
        <v>1482</v>
      </c>
      <c r="C354" s="4">
        <v>45786</v>
      </c>
      <c r="D354" t="s">
        <v>1632</v>
      </c>
      <c r="E354" t="s">
        <v>1605</v>
      </c>
      <c r="F354" s="5">
        <v>3.7</v>
      </c>
      <c r="G354" t="s">
        <v>1630</v>
      </c>
      <c r="H354">
        <v>5</v>
      </c>
    </row>
    <row r="355" spans="1:8">
      <c r="A355" t="s">
        <v>1989</v>
      </c>
      <c r="B355" t="s">
        <v>876</v>
      </c>
      <c r="C355" s="4">
        <v>45365</v>
      </c>
      <c r="D355" t="s">
        <v>1628</v>
      </c>
      <c r="E355" t="s">
        <v>1633</v>
      </c>
      <c r="F355" s="5">
        <v>0.7</v>
      </c>
      <c r="G355" t="s">
        <v>1626</v>
      </c>
      <c r="H355">
        <v>2</v>
      </c>
    </row>
    <row r="356" spans="1:8">
      <c r="A356" t="s">
        <v>1990</v>
      </c>
      <c r="B356" t="s">
        <v>662</v>
      </c>
      <c r="C356" s="4">
        <v>45725</v>
      </c>
      <c r="D356" t="s">
        <v>1628</v>
      </c>
      <c r="E356" t="s">
        <v>1633</v>
      </c>
      <c r="F356" s="5">
        <v>11.3</v>
      </c>
      <c r="G356" t="s">
        <v>1626</v>
      </c>
      <c r="H356">
        <v>1</v>
      </c>
    </row>
    <row r="357" spans="1:8">
      <c r="A357" t="s">
        <v>1991</v>
      </c>
      <c r="B357" t="s">
        <v>476</v>
      </c>
      <c r="C357" s="4">
        <v>45752</v>
      </c>
      <c r="D357" t="s">
        <v>1655</v>
      </c>
      <c r="E357" t="s">
        <v>1633</v>
      </c>
      <c r="F357" s="5">
        <v>3.3</v>
      </c>
      <c r="G357" t="s">
        <v>1630</v>
      </c>
      <c r="H357">
        <v>3</v>
      </c>
    </row>
    <row r="358" spans="1:8">
      <c r="A358" t="s">
        <v>1992</v>
      </c>
      <c r="B358" t="s">
        <v>486</v>
      </c>
      <c r="C358" s="4">
        <v>44974</v>
      </c>
      <c r="D358" t="s">
        <v>1632</v>
      </c>
      <c r="E358" t="s">
        <v>1629</v>
      </c>
      <c r="F358" s="5">
        <v>3.8</v>
      </c>
      <c r="G358" t="s">
        <v>1630</v>
      </c>
      <c r="H358">
        <v>3</v>
      </c>
    </row>
    <row r="359" spans="1:8">
      <c r="A359" t="s">
        <v>1993</v>
      </c>
      <c r="B359" t="s">
        <v>1461</v>
      </c>
      <c r="C359" s="4">
        <v>45522</v>
      </c>
      <c r="D359" t="s">
        <v>1641</v>
      </c>
      <c r="E359" t="s">
        <v>1648</v>
      </c>
      <c r="F359" s="5">
        <v>5.6</v>
      </c>
      <c r="G359" t="s">
        <v>1626</v>
      </c>
      <c r="H359">
        <v>1</v>
      </c>
    </row>
    <row r="360" spans="1:8">
      <c r="A360" t="s">
        <v>1994</v>
      </c>
      <c r="B360" t="s">
        <v>1296</v>
      </c>
      <c r="C360" s="4">
        <v>45150</v>
      </c>
      <c r="D360" t="s">
        <v>1625</v>
      </c>
      <c r="E360" t="s">
        <v>1648</v>
      </c>
      <c r="F360" s="5">
        <v>9.6</v>
      </c>
      <c r="G360" t="s">
        <v>1630</v>
      </c>
      <c r="H360">
        <v>3</v>
      </c>
    </row>
    <row r="361" spans="1:8">
      <c r="A361" t="s">
        <v>1995</v>
      </c>
      <c r="B361" t="s">
        <v>728</v>
      </c>
      <c r="C361" s="4">
        <v>45201</v>
      </c>
      <c r="D361" t="s">
        <v>1641</v>
      </c>
      <c r="E361" t="s">
        <v>1609</v>
      </c>
      <c r="F361" s="5">
        <v>9</v>
      </c>
      <c r="G361" t="s">
        <v>1630</v>
      </c>
      <c r="H361">
        <v>3</v>
      </c>
    </row>
    <row r="362" spans="1:8">
      <c r="A362" t="s">
        <v>1996</v>
      </c>
      <c r="B362" t="s">
        <v>1238</v>
      </c>
      <c r="C362" s="4">
        <v>45044</v>
      </c>
      <c r="D362" t="s">
        <v>1667</v>
      </c>
      <c r="E362" t="s">
        <v>1633</v>
      </c>
      <c r="F362" s="5">
        <v>2.2000000000000002</v>
      </c>
      <c r="G362" t="s">
        <v>1626</v>
      </c>
      <c r="H362">
        <v>1</v>
      </c>
    </row>
    <row r="363" spans="1:8">
      <c r="A363" t="s">
        <v>1997</v>
      </c>
      <c r="B363" t="s">
        <v>1589</v>
      </c>
      <c r="C363" s="4">
        <v>45654</v>
      </c>
      <c r="D363" t="s">
        <v>1628</v>
      </c>
      <c r="E363" t="s">
        <v>1648</v>
      </c>
      <c r="F363" s="5">
        <v>2.4</v>
      </c>
      <c r="G363" t="s">
        <v>1630</v>
      </c>
      <c r="H363">
        <v>1</v>
      </c>
    </row>
    <row r="364" spans="1:8">
      <c r="A364" t="s">
        <v>1998</v>
      </c>
      <c r="B364" t="s">
        <v>822</v>
      </c>
      <c r="C364" s="4">
        <v>45381</v>
      </c>
      <c r="D364" t="s">
        <v>1655</v>
      </c>
      <c r="E364" t="s">
        <v>1609</v>
      </c>
      <c r="F364" s="5">
        <v>0.8</v>
      </c>
      <c r="G364" t="s">
        <v>1630</v>
      </c>
      <c r="H364">
        <v>4</v>
      </c>
    </row>
    <row r="365" spans="1:8">
      <c r="A365" t="s">
        <v>1999</v>
      </c>
      <c r="B365" t="s">
        <v>1009</v>
      </c>
      <c r="C365" s="4">
        <v>45882</v>
      </c>
      <c r="D365" t="s">
        <v>1632</v>
      </c>
      <c r="E365" t="s">
        <v>1609</v>
      </c>
      <c r="F365" s="5">
        <v>6.3</v>
      </c>
      <c r="G365" t="s">
        <v>1630</v>
      </c>
      <c r="H365">
        <v>2</v>
      </c>
    </row>
    <row r="366" spans="1:8">
      <c r="A366" t="s">
        <v>2000</v>
      </c>
      <c r="B366" t="s">
        <v>574</v>
      </c>
      <c r="C366" s="4">
        <v>46142</v>
      </c>
      <c r="D366" t="s">
        <v>1628</v>
      </c>
      <c r="E366" t="s">
        <v>1605</v>
      </c>
      <c r="F366" s="5">
        <v>5.4</v>
      </c>
      <c r="G366" t="s">
        <v>1630</v>
      </c>
      <c r="H366">
        <v>3</v>
      </c>
    </row>
    <row r="367" spans="1:8">
      <c r="A367" t="s">
        <v>2001</v>
      </c>
      <c r="B367" t="s">
        <v>548</v>
      </c>
      <c r="C367" s="4">
        <v>45007</v>
      </c>
      <c r="D367" t="s">
        <v>1637</v>
      </c>
      <c r="E367" t="s">
        <v>1609</v>
      </c>
      <c r="F367" s="5">
        <v>10.3</v>
      </c>
      <c r="G367" t="s">
        <v>1626</v>
      </c>
      <c r="H367">
        <v>3</v>
      </c>
    </row>
    <row r="368" spans="1:8">
      <c r="A368" t="s">
        <v>2002</v>
      </c>
      <c r="B368" t="s">
        <v>1336</v>
      </c>
      <c r="C368" s="4">
        <v>45961</v>
      </c>
      <c r="D368" t="s">
        <v>1641</v>
      </c>
      <c r="E368" t="s">
        <v>1633</v>
      </c>
      <c r="F368" s="5">
        <v>38.1</v>
      </c>
      <c r="G368" t="s">
        <v>1630</v>
      </c>
      <c r="H368">
        <v>5</v>
      </c>
    </row>
    <row r="369" spans="1:8">
      <c r="A369" t="s">
        <v>2003</v>
      </c>
      <c r="B369" t="s">
        <v>1456</v>
      </c>
      <c r="C369" s="4">
        <v>45760</v>
      </c>
      <c r="D369" t="s">
        <v>1655</v>
      </c>
      <c r="E369" t="s">
        <v>1648</v>
      </c>
      <c r="F369" s="5">
        <v>17.8</v>
      </c>
      <c r="G369" t="s">
        <v>1630</v>
      </c>
      <c r="H369">
        <v>2</v>
      </c>
    </row>
    <row r="370" spans="1:8">
      <c r="A370" t="s">
        <v>2004</v>
      </c>
      <c r="B370" t="s">
        <v>514</v>
      </c>
      <c r="C370" s="4">
        <v>44981</v>
      </c>
      <c r="D370" t="s">
        <v>1667</v>
      </c>
      <c r="E370" t="s">
        <v>1609</v>
      </c>
      <c r="F370" s="5">
        <v>7.1</v>
      </c>
      <c r="G370" t="s">
        <v>1630</v>
      </c>
      <c r="H370">
        <v>4</v>
      </c>
    </row>
    <row r="371" spans="1:8">
      <c r="A371" t="s">
        <v>2005</v>
      </c>
      <c r="B371" t="s">
        <v>332</v>
      </c>
      <c r="C371" s="4">
        <v>46052</v>
      </c>
      <c r="D371" t="s">
        <v>1628</v>
      </c>
      <c r="E371" t="s">
        <v>1648</v>
      </c>
      <c r="F371" s="5">
        <v>5.9</v>
      </c>
      <c r="G371" t="s">
        <v>1630</v>
      </c>
      <c r="H371">
        <v>4</v>
      </c>
    </row>
    <row r="372" spans="1:8">
      <c r="A372" t="s">
        <v>2006</v>
      </c>
      <c r="B372" t="s">
        <v>731</v>
      </c>
      <c r="C372" s="4">
        <v>45894</v>
      </c>
      <c r="D372" t="s">
        <v>1641</v>
      </c>
      <c r="E372" t="s">
        <v>1629</v>
      </c>
      <c r="F372" s="5">
        <v>2.5</v>
      </c>
      <c r="G372" t="s">
        <v>1630</v>
      </c>
      <c r="H372">
        <v>5</v>
      </c>
    </row>
    <row r="373" spans="1:8">
      <c r="A373" t="s">
        <v>2007</v>
      </c>
      <c r="B373" t="s">
        <v>347</v>
      </c>
      <c r="C373" s="4">
        <v>45777</v>
      </c>
      <c r="D373" t="s">
        <v>1637</v>
      </c>
      <c r="E373" t="s">
        <v>1648</v>
      </c>
      <c r="F373" s="5">
        <v>9.1</v>
      </c>
      <c r="G373" t="s">
        <v>1630</v>
      </c>
      <c r="H373">
        <v>5</v>
      </c>
    </row>
    <row r="374" spans="1:8">
      <c r="A374" t="s">
        <v>2008</v>
      </c>
      <c r="B374" t="s">
        <v>1379</v>
      </c>
      <c r="C374" s="4">
        <v>45635</v>
      </c>
      <c r="D374" t="s">
        <v>1628</v>
      </c>
      <c r="E374" t="s">
        <v>1609</v>
      </c>
      <c r="F374" s="5">
        <v>0.6</v>
      </c>
      <c r="G374" t="s">
        <v>1630</v>
      </c>
      <c r="H374">
        <v>1</v>
      </c>
    </row>
    <row r="375" spans="1:8">
      <c r="A375" t="s">
        <v>2009</v>
      </c>
      <c r="B375" t="s">
        <v>1471</v>
      </c>
      <c r="C375" s="4">
        <v>46004</v>
      </c>
      <c r="D375" t="s">
        <v>1641</v>
      </c>
      <c r="E375" t="s">
        <v>1648</v>
      </c>
      <c r="F375" s="5">
        <v>2.7</v>
      </c>
      <c r="G375" t="s">
        <v>1630</v>
      </c>
      <c r="H375">
        <v>2</v>
      </c>
    </row>
    <row r="376" spans="1:8">
      <c r="A376" t="s">
        <v>2010</v>
      </c>
      <c r="B376" t="s">
        <v>557</v>
      </c>
      <c r="C376" s="4">
        <v>45740</v>
      </c>
      <c r="D376" t="s">
        <v>1641</v>
      </c>
      <c r="E376" t="s">
        <v>1633</v>
      </c>
      <c r="F376" s="5">
        <v>14.6</v>
      </c>
      <c r="G376" t="s">
        <v>1630</v>
      </c>
      <c r="H376">
        <v>4</v>
      </c>
    </row>
    <row r="377" spans="1:8">
      <c r="A377" t="s">
        <v>2011</v>
      </c>
      <c r="B377" t="s">
        <v>490</v>
      </c>
      <c r="C377" s="4">
        <v>45276</v>
      </c>
      <c r="D377" t="s">
        <v>1655</v>
      </c>
      <c r="E377" t="s">
        <v>1605</v>
      </c>
      <c r="F377" s="5">
        <v>22.7</v>
      </c>
      <c r="G377" t="s">
        <v>1630</v>
      </c>
      <c r="H377">
        <v>5</v>
      </c>
    </row>
    <row r="378" spans="1:8">
      <c r="A378" t="s">
        <v>2012</v>
      </c>
      <c r="B378" t="s">
        <v>401</v>
      </c>
      <c r="C378" s="4">
        <v>45077</v>
      </c>
      <c r="D378" t="s">
        <v>1628</v>
      </c>
      <c r="E378" t="s">
        <v>1633</v>
      </c>
      <c r="F378" s="5">
        <v>3.3</v>
      </c>
      <c r="G378" t="s">
        <v>1630</v>
      </c>
      <c r="H378">
        <v>1</v>
      </c>
    </row>
    <row r="379" spans="1:8">
      <c r="A379" t="s">
        <v>2013</v>
      </c>
      <c r="B379" t="s">
        <v>600</v>
      </c>
      <c r="C379" s="4">
        <v>45001</v>
      </c>
      <c r="D379" t="s">
        <v>1632</v>
      </c>
      <c r="E379" t="s">
        <v>1633</v>
      </c>
      <c r="F379" s="5">
        <v>1.1000000000000001</v>
      </c>
      <c r="G379" t="s">
        <v>1630</v>
      </c>
      <c r="H379">
        <v>1</v>
      </c>
    </row>
    <row r="380" spans="1:8">
      <c r="A380" t="s">
        <v>2014</v>
      </c>
      <c r="B380" t="s">
        <v>1422</v>
      </c>
      <c r="C380" s="4">
        <v>45678</v>
      </c>
      <c r="D380" t="s">
        <v>1641</v>
      </c>
      <c r="E380" t="s">
        <v>1633</v>
      </c>
      <c r="F380" s="5">
        <v>2.2000000000000002</v>
      </c>
      <c r="G380" t="s">
        <v>1626</v>
      </c>
      <c r="H380">
        <v>2</v>
      </c>
    </row>
    <row r="381" spans="1:8">
      <c r="A381" t="s">
        <v>2015</v>
      </c>
      <c r="B381" t="s">
        <v>883</v>
      </c>
      <c r="C381" s="4">
        <v>45021</v>
      </c>
      <c r="D381" t="s">
        <v>1641</v>
      </c>
      <c r="E381" t="s">
        <v>1609</v>
      </c>
      <c r="F381" s="5">
        <v>1</v>
      </c>
      <c r="G381" t="s">
        <v>1630</v>
      </c>
      <c r="H381">
        <v>1</v>
      </c>
    </row>
    <row r="382" spans="1:8">
      <c r="A382" t="s">
        <v>2016</v>
      </c>
      <c r="B382" t="s">
        <v>1554</v>
      </c>
      <c r="C382" s="4">
        <v>45013</v>
      </c>
      <c r="D382" t="s">
        <v>1667</v>
      </c>
      <c r="E382" t="s">
        <v>1609</v>
      </c>
      <c r="F382" s="5">
        <v>5.9</v>
      </c>
      <c r="G382" t="s">
        <v>1630</v>
      </c>
      <c r="H382">
        <v>4</v>
      </c>
    </row>
    <row r="383" spans="1:8">
      <c r="A383" t="s">
        <v>2017</v>
      </c>
      <c r="B383" t="s">
        <v>827</v>
      </c>
      <c r="C383" s="4">
        <v>45108</v>
      </c>
      <c r="D383" t="s">
        <v>1655</v>
      </c>
      <c r="E383" t="s">
        <v>1609</v>
      </c>
      <c r="F383" s="5">
        <v>3.9</v>
      </c>
      <c r="G383" t="s">
        <v>1630</v>
      </c>
      <c r="H383">
        <v>1</v>
      </c>
    </row>
    <row r="384" spans="1:8">
      <c r="A384" t="s">
        <v>2018</v>
      </c>
      <c r="B384" t="s">
        <v>712</v>
      </c>
      <c r="C384" s="4">
        <v>45362</v>
      </c>
      <c r="D384" t="s">
        <v>1628</v>
      </c>
      <c r="E384" t="s">
        <v>1605</v>
      </c>
      <c r="F384" s="5">
        <v>11.7</v>
      </c>
      <c r="G384" t="s">
        <v>1630</v>
      </c>
      <c r="H384">
        <v>3</v>
      </c>
    </row>
    <row r="385" spans="1:8">
      <c r="A385" t="s">
        <v>2019</v>
      </c>
      <c r="B385" t="s">
        <v>766</v>
      </c>
      <c r="C385" s="4">
        <v>45033</v>
      </c>
      <c r="D385" t="s">
        <v>1655</v>
      </c>
      <c r="E385" t="s">
        <v>1648</v>
      </c>
      <c r="F385" s="5">
        <v>6.4</v>
      </c>
      <c r="G385" t="s">
        <v>1630</v>
      </c>
      <c r="H385">
        <v>1</v>
      </c>
    </row>
    <row r="386" spans="1:8">
      <c r="A386" t="s">
        <v>2020</v>
      </c>
      <c r="B386" t="s">
        <v>952</v>
      </c>
      <c r="C386" s="4">
        <v>45920</v>
      </c>
      <c r="D386" t="s">
        <v>1625</v>
      </c>
      <c r="E386" t="s">
        <v>1648</v>
      </c>
      <c r="F386" s="5">
        <v>8.3000000000000007</v>
      </c>
      <c r="G386" t="s">
        <v>1630</v>
      </c>
      <c r="H386">
        <v>2</v>
      </c>
    </row>
    <row r="387" spans="1:8">
      <c r="A387" t="s">
        <v>2021</v>
      </c>
      <c r="B387" t="s">
        <v>1007</v>
      </c>
      <c r="C387" s="4">
        <v>45467</v>
      </c>
      <c r="D387" t="s">
        <v>1625</v>
      </c>
      <c r="E387" t="s">
        <v>1609</v>
      </c>
      <c r="F387" s="5">
        <v>1</v>
      </c>
      <c r="G387" t="s">
        <v>1630</v>
      </c>
      <c r="H387">
        <v>5</v>
      </c>
    </row>
    <row r="388" spans="1:8">
      <c r="A388" t="s">
        <v>2022</v>
      </c>
      <c r="B388" t="s">
        <v>63</v>
      </c>
      <c r="C388" s="4">
        <v>46007</v>
      </c>
      <c r="D388" t="s">
        <v>1667</v>
      </c>
      <c r="E388" t="s">
        <v>1605</v>
      </c>
      <c r="F388" s="5">
        <v>3.4</v>
      </c>
      <c r="G388" t="s">
        <v>1630</v>
      </c>
      <c r="H388">
        <v>5</v>
      </c>
    </row>
    <row r="389" spans="1:8">
      <c r="A389" t="s">
        <v>2023</v>
      </c>
      <c r="B389" t="s">
        <v>1304</v>
      </c>
      <c r="C389" s="4">
        <v>46009</v>
      </c>
      <c r="D389" t="s">
        <v>1628</v>
      </c>
      <c r="E389" t="s">
        <v>1609</v>
      </c>
      <c r="F389" s="5">
        <v>1.9</v>
      </c>
      <c r="G389" t="s">
        <v>1630</v>
      </c>
      <c r="H389">
        <v>5</v>
      </c>
    </row>
    <row r="390" spans="1:8">
      <c r="A390" t="s">
        <v>2024</v>
      </c>
      <c r="B390" t="s">
        <v>1286</v>
      </c>
      <c r="C390" s="4">
        <v>45181</v>
      </c>
      <c r="D390" t="s">
        <v>1628</v>
      </c>
      <c r="E390" t="s">
        <v>1633</v>
      </c>
      <c r="F390" s="5">
        <v>4.8</v>
      </c>
      <c r="G390" t="s">
        <v>1630</v>
      </c>
      <c r="H390">
        <v>5</v>
      </c>
    </row>
    <row r="391" spans="1:8">
      <c r="A391" t="s">
        <v>2025</v>
      </c>
      <c r="B391" t="s">
        <v>1413</v>
      </c>
      <c r="C391" s="4">
        <v>45024</v>
      </c>
      <c r="D391" t="s">
        <v>1641</v>
      </c>
      <c r="E391" t="s">
        <v>1648</v>
      </c>
      <c r="F391" s="5">
        <v>7</v>
      </c>
      <c r="G391" t="s">
        <v>1630</v>
      </c>
      <c r="H391">
        <v>3</v>
      </c>
    </row>
    <row r="392" spans="1:8">
      <c r="A392" t="s">
        <v>2026</v>
      </c>
      <c r="B392" t="s">
        <v>651</v>
      </c>
      <c r="C392" s="4">
        <v>46102</v>
      </c>
      <c r="D392" t="s">
        <v>1628</v>
      </c>
      <c r="E392" t="s">
        <v>1609</v>
      </c>
      <c r="F392" s="5">
        <v>10</v>
      </c>
      <c r="G392" t="s">
        <v>1630</v>
      </c>
      <c r="H392">
        <v>3</v>
      </c>
    </row>
    <row r="393" spans="1:8">
      <c r="A393" t="s">
        <v>2027</v>
      </c>
      <c r="B393" t="s">
        <v>1087</v>
      </c>
      <c r="C393" s="4">
        <v>45266</v>
      </c>
      <c r="D393" t="s">
        <v>1625</v>
      </c>
      <c r="E393" t="s">
        <v>1648</v>
      </c>
      <c r="F393" s="5">
        <v>9.8000000000000007</v>
      </c>
      <c r="G393" t="s">
        <v>1630</v>
      </c>
      <c r="H393">
        <v>4</v>
      </c>
    </row>
    <row r="394" spans="1:8">
      <c r="A394" t="s">
        <v>2028</v>
      </c>
      <c r="B394" t="s">
        <v>1344</v>
      </c>
      <c r="C394" s="4">
        <v>46099</v>
      </c>
      <c r="D394" t="s">
        <v>1655</v>
      </c>
      <c r="E394" t="s">
        <v>1633</v>
      </c>
      <c r="F394" s="5">
        <v>14.2</v>
      </c>
      <c r="G394" t="s">
        <v>1630</v>
      </c>
      <c r="H394">
        <v>5</v>
      </c>
    </row>
    <row r="395" spans="1:8">
      <c r="A395" t="s">
        <v>2029</v>
      </c>
      <c r="B395" t="s">
        <v>1317</v>
      </c>
      <c r="C395" s="4">
        <v>45861</v>
      </c>
      <c r="D395" t="s">
        <v>1628</v>
      </c>
      <c r="E395" t="s">
        <v>1648</v>
      </c>
      <c r="F395" s="5">
        <v>2.8</v>
      </c>
      <c r="G395" t="s">
        <v>1630</v>
      </c>
      <c r="H395">
        <v>3</v>
      </c>
    </row>
    <row r="396" spans="1:8">
      <c r="A396" t="s">
        <v>2030</v>
      </c>
      <c r="B396" t="s">
        <v>1083</v>
      </c>
      <c r="C396" s="4">
        <v>45713</v>
      </c>
      <c r="D396" t="s">
        <v>1641</v>
      </c>
      <c r="E396" t="s">
        <v>1648</v>
      </c>
      <c r="F396" s="5">
        <v>2.2999999999999998</v>
      </c>
      <c r="G396" t="s">
        <v>1630</v>
      </c>
      <c r="H396">
        <v>1</v>
      </c>
    </row>
    <row r="397" spans="1:8">
      <c r="A397" t="s">
        <v>2031</v>
      </c>
      <c r="B397" t="s">
        <v>666</v>
      </c>
      <c r="C397" s="4">
        <v>44970</v>
      </c>
      <c r="D397" t="s">
        <v>1655</v>
      </c>
      <c r="E397" t="s">
        <v>1633</v>
      </c>
      <c r="F397" s="5">
        <v>6.7</v>
      </c>
      <c r="G397" t="s">
        <v>1630</v>
      </c>
      <c r="H397">
        <v>2</v>
      </c>
    </row>
    <row r="398" spans="1:8">
      <c r="A398" t="s">
        <v>2032</v>
      </c>
      <c r="B398" t="s">
        <v>1569</v>
      </c>
      <c r="C398" s="4">
        <v>45285</v>
      </c>
      <c r="D398" t="s">
        <v>1637</v>
      </c>
      <c r="E398" t="s">
        <v>1609</v>
      </c>
      <c r="F398" s="5">
        <v>1.6</v>
      </c>
      <c r="G398" t="s">
        <v>1630</v>
      </c>
      <c r="H398">
        <v>2</v>
      </c>
    </row>
    <row r="399" spans="1:8">
      <c r="A399" t="s">
        <v>2033</v>
      </c>
      <c r="B399" t="s">
        <v>666</v>
      </c>
      <c r="C399" s="4">
        <v>45216</v>
      </c>
      <c r="D399" t="s">
        <v>1655</v>
      </c>
      <c r="E399" t="s">
        <v>1629</v>
      </c>
      <c r="F399" s="5">
        <v>4.0999999999999996</v>
      </c>
      <c r="G399" t="s">
        <v>1630</v>
      </c>
      <c r="H399">
        <v>1</v>
      </c>
    </row>
    <row r="400" spans="1:8">
      <c r="A400" t="s">
        <v>2034</v>
      </c>
      <c r="B400" t="s">
        <v>842</v>
      </c>
      <c r="C400" s="4">
        <v>44974</v>
      </c>
      <c r="D400" t="s">
        <v>1667</v>
      </c>
      <c r="E400" t="s">
        <v>1629</v>
      </c>
      <c r="F400" s="5">
        <v>1.3</v>
      </c>
      <c r="G400" t="s">
        <v>1630</v>
      </c>
      <c r="H400">
        <v>4</v>
      </c>
    </row>
    <row r="401" spans="1:8">
      <c r="A401" t="s">
        <v>2035</v>
      </c>
      <c r="B401" t="s">
        <v>1340</v>
      </c>
      <c r="C401" s="4">
        <v>45782</v>
      </c>
      <c r="D401" t="s">
        <v>1667</v>
      </c>
      <c r="E401" t="s">
        <v>1609</v>
      </c>
      <c r="F401" s="5">
        <v>8.1999999999999993</v>
      </c>
      <c r="G401" t="s">
        <v>1630</v>
      </c>
      <c r="H401">
        <v>2</v>
      </c>
    </row>
    <row r="402" spans="1:8">
      <c r="A402" t="s">
        <v>2036</v>
      </c>
      <c r="B402" t="s">
        <v>691</v>
      </c>
      <c r="C402" s="4">
        <v>46077</v>
      </c>
      <c r="D402" t="s">
        <v>1667</v>
      </c>
      <c r="E402" t="s">
        <v>1605</v>
      </c>
      <c r="F402" s="5">
        <v>5.9</v>
      </c>
      <c r="G402" t="s">
        <v>1630</v>
      </c>
      <c r="H402">
        <v>5</v>
      </c>
    </row>
    <row r="403" spans="1:8">
      <c r="A403" t="s">
        <v>2037</v>
      </c>
      <c r="B403" t="s">
        <v>1517</v>
      </c>
      <c r="C403" s="4">
        <v>45667</v>
      </c>
      <c r="D403" t="s">
        <v>1632</v>
      </c>
      <c r="E403" t="s">
        <v>1648</v>
      </c>
      <c r="F403" s="5">
        <v>1.2</v>
      </c>
      <c r="G403" t="s">
        <v>1626</v>
      </c>
      <c r="H403">
        <v>1</v>
      </c>
    </row>
    <row r="404" spans="1:8">
      <c r="A404" t="s">
        <v>2038</v>
      </c>
      <c r="B404" t="s">
        <v>1430</v>
      </c>
      <c r="C404" s="4">
        <v>45510</v>
      </c>
      <c r="D404" t="s">
        <v>1655</v>
      </c>
      <c r="E404" t="s">
        <v>1633</v>
      </c>
      <c r="F404" s="5">
        <v>25.8</v>
      </c>
      <c r="G404" t="s">
        <v>1626</v>
      </c>
      <c r="H404">
        <v>1</v>
      </c>
    </row>
    <row r="405" spans="1:8">
      <c r="A405" t="s">
        <v>2039</v>
      </c>
      <c r="B405" t="s">
        <v>389</v>
      </c>
      <c r="C405" s="4">
        <v>46086</v>
      </c>
      <c r="D405" t="s">
        <v>1641</v>
      </c>
      <c r="E405" t="s">
        <v>1633</v>
      </c>
      <c r="F405" s="5">
        <v>0.2</v>
      </c>
      <c r="G405" t="s">
        <v>1630</v>
      </c>
      <c r="H405">
        <v>2</v>
      </c>
    </row>
    <row r="406" spans="1:8">
      <c r="A406" t="s">
        <v>2040</v>
      </c>
      <c r="B406" t="s">
        <v>839</v>
      </c>
      <c r="C406" s="4">
        <v>46136</v>
      </c>
      <c r="D406" t="s">
        <v>1655</v>
      </c>
      <c r="E406" t="s">
        <v>1648</v>
      </c>
      <c r="F406" s="5">
        <v>9</v>
      </c>
      <c r="G406" t="s">
        <v>1630</v>
      </c>
      <c r="H406">
        <v>3</v>
      </c>
    </row>
    <row r="407" spans="1:8">
      <c r="A407" t="s">
        <v>2041</v>
      </c>
      <c r="B407" t="s">
        <v>295</v>
      </c>
      <c r="C407" s="4">
        <v>46054</v>
      </c>
      <c r="D407" t="s">
        <v>1625</v>
      </c>
      <c r="E407" t="s">
        <v>1629</v>
      </c>
      <c r="F407" s="5">
        <v>3.4</v>
      </c>
      <c r="G407" t="s">
        <v>1630</v>
      </c>
      <c r="H407">
        <v>2</v>
      </c>
    </row>
    <row r="408" spans="1:8">
      <c r="A408" t="s">
        <v>2042</v>
      </c>
      <c r="B408" t="s">
        <v>110</v>
      </c>
      <c r="C408" s="4">
        <v>46077</v>
      </c>
      <c r="D408" t="s">
        <v>1641</v>
      </c>
      <c r="E408" t="s">
        <v>1629</v>
      </c>
      <c r="F408" s="5">
        <v>0.8</v>
      </c>
      <c r="G408" t="s">
        <v>1626</v>
      </c>
      <c r="H408">
        <v>1</v>
      </c>
    </row>
    <row r="409" spans="1:8">
      <c r="A409" t="s">
        <v>2043</v>
      </c>
      <c r="B409" t="s">
        <v>1343</v>
      </c>
      <c r="C409" s="4">
        <v>45316</v>
      </c>
      <c r="D409" t="s">
        <v>1655</v>
      </c>
      <c r="E409" t="s">
        <v>1633</v>
      </c>
      <c r="F409" s="5">
        <v>6.8</v>
      </c>
      <c r="G409" t="s">
        <v>1626</v>
      </c>
      <c r="H409">
        <v>1</v>
      </c>
    </row>
    <row r="410" spans="1:8">
      <c r="A410" t="s">
        <v>2044</v>
      </c>
      <c r="B410" t="s">
        <v>594</v>
      </c>
      <c r="C410" s="4">
        <v>45320</v>
      </c>
      <c r="D410" t="s">
        <v>1655</v>
      </c>
      <c r="E410" t="s">
        <v>1629</v>
      </c>
      <c r="F410" s="5">
        <v>6.2</v>
      </c>
      <c r="G410" t="s">
        <v>1630</v>
      </c>
      <c r="H410">
        <v>3</v>
      </c>
    </row>
    <row r="411" spans="1:8">
      <c r="A411" t="s">
        <v>2045</v>
      </c>
      <c r="B411" t="s">
        <v>1445</v>
      </c>
      <c r="C411" s="4">
        <v>45969</v>
      </c>
      <c r="D411" t="s">
        <v>1628</v>
      </c>
      <c r="E411" t="s">
        <v>1609</v>
      </c>
      <c r="F411" s="5">
        <v>15.4</v>
      </c>
      <c r="G411" t="s">
        <v>1626</v>
      </c>
      <c r="H411">
        <v>1</v>
      </c>
    </row>
    <row r="412" spans="1:8">
      <c r="A412" t="s">
        <v>2046</v>
      </c>
      <c r="B412" t="s">
        <v>942</v>
      </c>
      <c r="C412" s="4">
        <v>45385</v>
      </c>
      <c r="D412" t="s">
        <v>1628</v>
      </c>
      <c r="E412" t="s">
        <v>1648</v>
      </c>
      <c r="F412" s="5">
        <v>4.5999999999999996</v>
      </c>
      <c r="G412" t="s">
        <v>1630</v>
      </c>
      <c r="H412">
        <v>4</v>
      </c>
    </row>
    <row r="413" spans="1:8">
      <c r="A413" t="s">
        <v>2047</v>
      </c>
      <c r="B413" t="s">
        <v>233</v>
      </c>
      <c r="C413" s="4">
        <v>45039</v>
      </c>
      <c r="D413" t="s">
        <v>1628</v>
      </c>
      <c r="E413" t="s">
        <v>1629</v>
      </c>
      <c r="F413" s="5">
        <v>5.6</v>
      </c>
      <c r="G413" t="s">
        <v>1630</v>
      </c>
      <c r="H413">
        <v>2</v>
      </c>
    </row>
    <row r="414" spans="1:8">
      <c r="A414" t="s">
        <v>2048</v>
      </c>
      <c r="B414" t="s">
        <v>1403</v>
      </c>
      <c r="C414" s="4">
        <v>45612</v>
      </c>
      <c r="D414" t="s">
        <v>1655</v>
      </c>
      <c r="E414" t="s">
        <v>1609</v>
      </c>
      <c r="F414" s="5">
        <v>0.4</v>
      </c>
      <c r="G414" t="s">
        <v>1630</v>
      </c>
      <c r="H414">
        <v>5</v>
      </c>
    </row>
    <row r="415" spans="1:8">
      <c r="A415" t="s">
        <v>2049</v>
      </c>
      <c r="B415" t="s">
        <v>218</v>
      </c>
      <c r="C415" s="4">
        <v>45498</v>
      </c>
      <c r="D415" t="s">
        <v>1628</v>
      </c>
      <c r="E415" t="s">
        <v>1648</v>
      </c>
      <c r="F415" s="5">
        <v>0.6</v>
      </c>
      <c r="G415" t="s">
        <v>1630</v>
      </c>
      <c r="H415">
        <v>1</v>
      </c>
    </row>
    <row r="416" spans="1:8">
      <c r="A416" t="s">
        <v>2050</v>
      </c>
      <c r="B416" t="s">
        <v>909</v>
      </c>
      <c r="C416" s="4">
        <v>45762</v>
      </c>
      <c r="D416" t="s">
        <v>1655</v>
      </c>
      <c r="E416" t="s">
        <v>1648</v>
      </c>
      <c r="F416" s="5">
        <v>1.7</v>
      </c>
      <c r="G416" t="s">
        <v>1630</v>
      </c>
      <c r="H416">
        <v>4</v>
      </c>
    </row>
    <row r="417" spans="1:8">
      <c r="A417" t="s">
        <v>2051</v>
      </c>
      <c r="B417" t="s">
        <v>1173</v>
      </c>
      <c r="C417" s="4">
        <v>45769</v>
      </c>
      <c r="D417" t="s">
        <v>1641</v>
      </c>
      <c r="E417" t="s">
        <v>1609</v>
      </c>
      <c r="F417" s="5">
        <v>10.5</v>
      </c>
      <c r="G417" t="s">
        <v>1630</v>
      </c>
      <c r="H417">
        <v>3</v>
      </c>
    </row>
    <row r="418" spans="1:8">
      <c r="A418" t="s">
        <v>2052</v>
      </c>
      <c r="B418" t="s">
        <v>626</v>
      </c>
      <c r="C418" s="4">
        <v>44961</v>
      </c>
      <c r="D418" t="s">
        <v>1637</v>
      </c>
      <c r="E418" t="s">
        <v>1629</v>
      </c>
      <c r="F418" s="5">
        <v>4.7</v>
      </c>
      <c r="G418" t="s">
        <v>1630</v>
      </c>
      <c r="H418">
        <v>2</v>
      </c>
    </row>
    <row r="419" spans="1:8">
      <c r="A419" t="s">
        <v>2053</v>
      </c>
      <c r="B419" t="s">
        <v>223</v>
      </c>
      <c r="C419" s="4">
        <v>45846</v>
      </c>
      <c r="D419" t="s">
        <v>1637</v>
      </c>
      <c r="E419" t="s">
        <v>1629</v>
      </c>
      <c r="F419" s="5">
        <v>11.5</v>
      </c>
      <c r="G419" t="s">
        <v>1630</v>
      </c>
      <c r="H419">
        <v>2</v>
      </c>
    </row>
    <row r="420" spans="1:8">
      <c r="A420" t="s">
        <v>2054</v>
      </c>
      <c r="B420" t="s">
        <v>1107</v>
      </c>
      <c r="C420" s="4">
        <v>45207</v>
      </c>
      <c r="D420" t="s">
        <v>1625</v>
      </c>
      <c r="E420" t="s">
        <v>1648</v>
      </c>
      <c r="F420" s="5">
        <v>12.8</v>
      </c>
      <c r="G420" t="s">
        <v>1630</v>
      </c>
      <c r="H420">
        <v>4</v>
      </c>
    </row>
    <row r="421" spans="1:8">
      <c r="A421" t="s">
        <v>2055</v>
      </c>
      <c r="B421" t="s">
        <v>1287</v>
      </c>
      <c r="C421" s="4">
        <v>45898</v>
      </c>
      <c r="D421" t="s">
        <v>1667</v>
      </c>
      <c r="E421" t="s">
        <v>1609</v>
      </c>
      <c r="F421" s="5">
        <v>32.1</v>
      </c>
      <c r="G421" t="s">
        <v>1630</v>
      </c>
      <c r="H421">
        <v>5</v>
      </c>
    </row>
    <row r="422" spans="1:8">
      <c r="A422" t="s">
        <v>2056</v>
      </c>
      <c r="B422" t="s">
        <v>241</v>
      </c>
      <c r="C422" s="4">
        <v>45466</v>
      </c>
      <c r="D422" t="s">
        <v>1628</v>
      </c>
      <c r="E422" t="s">
        <v>1648</v>
      </c>
      <c r="F422" s="5">
        <v>9</v>
      </c>
      <c r="G422" t="s">
        <v>1630</v>
      </c>
      <c r="H422">
        <v>2</v>
      </c>
    </row>
    <row r="423" spans="1:8">
      <c r="A423" t="s">
        <v>2057</v>
      </c>
      <c r="B423" t="s">
        <v>496</v>
      </c>
      <c r="C423" s="4">
        <v>45342</v>
      </c>
      <c r="D423" t="s">
        <v>1625</v>
      </c>
      <c r="E423" t="s">
        <v>1609</v>
      </c>
      <c r="F423" s="5">
        <v>22.1</v>
      </c>
      <c r="G423" t="s">
        <v>1626</v>
      </c>
      <c r="H423">
        <v>2</v>
      </c>
    </row>
    <row r="424" spans="1:8">
      <c r="A424" t="s">
        <v>2058</v>
      </c>
      <c r="B424" t="s">
        <v>769</v>
      </c>
      <c r="C424" s="4">
        <v>45277</v>
      </c>
      <c r="D424" t="s">
        <v>1628</v>
      </c>
      <c r="E424" t="s">
        <v>1629</v>
      </c>
      <c r="F424" s="5">
        <v>0.9</v>
      </c>
      <c r="G424" t="s">
        <v>1630</v>
      </c>
      <c r="H424">
        <v>1</v>
      </c>
    </row>
    <row r="425" spans="1:8">
      <c r="A425" t="s">
        <v>2059</v>
      </c>
      <c r="B425" t="s">
        <v>924</v>
      </c>
      <c r="C425" s="4">
        <v>44948</v>
      </c>
      <c r="D425" t="s">
        <v>1628</v>
      </c>
      <c r="E425" t="s">
        <v>1605</v>
      </c>
      <c r="F425" s="5">
        <v>9.1</v>
      </c>
      <c r="G425" t="s">
        <v>1630</v>
      </c>
      <c r="H425">
        <v>2</v>
      </c>
    </row>
    <row r="426" spans="1:8">
      <c r="A426" t="s">
        <v>2060</v>
      </c>
      <c r="B426" t="s">
        <v>26</v>
      </c>
      <c r="C426" s="4">
        <v>45704</v>
      </c>
      <c r="D426" t="s">
        <v>1628</v>
      </c>
      <c r="E426" t="s">
        <v>1629</v>
      </c>
      <c r="F426" s="5">
        <v>2.2000000000000002</v>
      </c>
      <c r="G426" t="s">
        <v>1630</v>
      </c>
      <c r="H426">
        <v>3</v>
      </c>
    </row>
    <row r="427" spans="1:8">
      <c r="A427" t="s">
        <v>2061</v>
      </c>
      <c r="B427" t="s">
        <v>370</v>
      </c>
      <c r="C427" s="4">
        <v>45884</v>
      </c>
      <c r="D427" t="s">
        <v>1641</v>
      </c>
      <c r="E427" t="s">
        <v>1648</v>
      </c>
      <c r="F427" s="5">
        <v>30</v>
      </c>
      <c r="G427" t="s">
        <v>1630</v>
      </c>
      <c r="H427">
        <v>2</v>
      </c>
    </row>
    <row r="428" spans="1:8">
      <c r="A428" t="s">
        <v>2062</v>
      </c>
      <c r="B428" t="s">
        <v>535</v>
      </c>
      <c r="C428" s="4">
        <v>45843</v>
      </c>
      <c r="D428" t="s">
        <v>1628</v>
      </c>
      <c r="E428" t="s">
        <v>1648</v>
      </c>
      <c r="F428" s="5">
        <v>2.8</v>
      </c>
      <c r="G428" t="s">
        <v>1630</v>
      </c>
      <c r="H428">
        <v>1</v>
      </c>
    </row>
    <row r="429" spans="1:8">
      <c r="A429" t="s">
        <v>2063</v>
      </c>
      <c r="B429" t="s">
        <v>1289</v>
      </c>
      <c r="C429" s="4">
        <v>45272</v>
      </c>
      <c r="D429" t="s">
        <v>1637</v>
      </c>
      <c r="E429" t="s">
        <v>1633</v>
      </c>
      <c r="F429" s="5">
        <v>0.4</v>
      </c>
      <c r="G429" t="s">
        <v>1626</v>
      </c>
      <c r="H429">
        <v>2</v>
      </c>
    </row>
    <row r="430" spans="1:8">
      <c r="A430" t="s">
        <v>2064</v>
      </c>
      <c r="B430" t="s">
        <v>987</v>
      </c>
      <c r="C430" s="4">
        <v>45015</v>
      </c>
      <c r="D430" t="s">
        <v>1667</v>
      </c>
      <c r="E430" t="s">
        <v>1609</v>
      </c>
      <c r="F430" s="5">
        <v>4.5</v>
      </c>
      <c r="G430" t="s">
        <v>1630</v>
      </c>
      <c r="H430">
        <v>1</v>
      </c>
    </row>
    <row r="431" spans="1:8">
      <c r="A431" t="s">
        <v>2065</v>
      </c>
      <c r="B431" t="s">
        <v>568</v>
      </c>
      <c r="C431" s="4">
        <v>45852</v>
      </c>
      <c r="D431" t="s">
        <v>1628</v>
      </c>
      <c r="E431" t="s">
        <v>1633</v>
      </c>
      <c r="F431" s="5">
        <v>14.3</v>
      </c>
      <c r="G431" t="s">
        <v>1630</v>
      </c>
      <c r="H431">
        <v>5</v>
      </c>
    </row>
    <row r="432" spans="1:8">
      <c r="A432" t="s">
        <v>2066</v>
      </c>
      <c r="B432" t="s">
        <v>325</v>
      </c>
      <c r="C432" s="4">
        <v>45217</v>
      </c>
      <c r="D432" t="s">
        <v>1637</v>
      </c>
      <c r="E432" t="s">
        <v>1629</v>
      </c>
      <c r="F432" s="5">
        <v>8.8000000000000007</v>
      </c>
      <c r="G432" t="s">
        <v>1630</v>
      </c>
      <c r="H432">
        <v>2</v>
      </c>
    </row>
    <row r="433" spans="1:8">
      <c r="A433" t="s">
        <v>2067</v>
      </c>
      <c r="B433" t="s">
        <v>257</v>
      </c>
      <c r="C433" s="4">
        <v>44955</v>
      </c>
      <c r="D433" t="s">
        <v>1655</v>
      </c>
      <c r="E433" t="s">
        <v>1609</v>
      </c>
      <c r="F433" s="5">
        <v>16.8</v>
      </c>
      <c r="G433" t="s">
        <v>1626</v>
      </c>
      <c r="H433">
        <v>3</v>
      </c>
    </row>
    <row r="434" spans="1:8">
      <c r="A434" t="s">
        <v>2068</v>
      </c>
      <c r="B434" t="s">
        <v>1022</v>
      </c>
      <c r="C434" s="4">
        <v>45300</v>
      </c>
      <c r="D434" t="s">
        <v>1628</v>
      </c>
      <c r="E434" t="s">
        <v>1605</v>
      </c>
      <c r="F434" s="5">
        <v>2.4</v>
      </c>
      <c r="G434" t="s">
        <v>1626</v>
      </c>
      <c r="H434">
        <v>2</v>
      </c>
    </row>
    <row r="435" spans="1:8">
      <c r="A435" t="s">
        <v>2069</v>
      </c>
      <c r="B435" t="s">
        <v>446</v>
      </c>
      <c r="C435" s="4">
        <v>46099</v>
      </c>
      <c r="D435" t="s">
        <v>1641</v>
      </c>
      <c r="E435" t="s">
        <v>1629</v>
      </c>
      <c r="F435" s="5">
        <v>12.3</v>
      </c>
      <c r="G435" t="s">
        <v>1630</v>
      </c>
      <c r="H435">
        <v>4</v>
      </c>
    </row>
    <row r="436" spans="1:8">
      <c r="A436" t="s">
        <v>2070</v>
      </c>
      <c r="B436" t="s">
        <v>563</v>
      </c>
      <c r="C436" s="4">
        <v>45799</v>
      </c>
      <c r="D436" t="s">
        <v>1637</v>
      </c>
      <c r="E436" t="s">
        <v>1605</v>
      </c>
      <c r="F436" s="5">
        <v>16.600000000000001</v>
      </c>
      <c r="G436" t="s">
        <v>1630</v>
      </c>
      <c r="H436">
        <v>1</v>
      </c>
    </row>
    <row r="437" spans="1:8">
      <c r="A437" t="s">
        <v>2071</v>
      </c>
      <c r="B437" t="s">
        <v>1443</v>
      </c>
      <c r="C437" s="4">
        <v>45982</v>
      </c>
      <c r="D437" t="s">
        <v>1628</v>
      </c>
      <c r="E437" t="s">
        <v>1633</v>
      </c>
      <c r="F437" s="5">
        <v>4.2</v>
      </c>
      <c r="G437" t="s">
        <v>1630</v>
      </c>
      <c r="H437">
        <v>5</v>
      </c>
    </row>
    <row r="438" spans="1:8">
      <c r="A438" t="s">
        <v>2072</v>
      </c>
      <c r="B438" t="s">
        <v>1325</v>
      </c>
      <c r="C438" s="4">
        <v>45847</v>
      </c>
      <c r="D438" t="s">
        <v>1667</v>
      </c>
      <c r="E438" t="s">
        <v>1609</v>
      </c>
      <c r="F438" s="5">
        <v>5.4</v>
      </c>
      <c r="G438" t="s">
        <v>1630</v>
      </c>
      <c r="H438">
        <v>5</v>
      </c>
    </row>
    <row r="439" spans="1:8">
      <c r="A439" t="s">
        <v>2073</v>
      </c>
      <c r="B439" t="s">
        <v>1280</v>
      </c>
      <c r="C439" s="4">
        <v>45804</v>
      </c>
      <c r="D439" t="s">
        <v>1625</v>
      </c>
      <c r="E439" t="s">
        <v>1609</v>
      </c>
      <c r="F439" s="5">
        <v>4.8</v>
      </c>
      <c r="G439" t="s">
        <v>1630</v>
      </c>
      <c r="H439">
        <v>4</v>
      </c>
    </row>
    <row r="440" spans="1:8">
      <c r="A440" t="s">
        <v>2074</v>
      </c>
      <c r="B440" t="s">
        <v>1459</v>
      </c>
      <c r="C440" s="4">
        <v>45943</v>
      </c>
      <c r="D440" t="s">
        <v>1628</v>
      </c>
      <c r="E440" t="s">
        <v>1629</v>
      </c>
      <c r="F440" s="5">
        <v>5.8</v>
      </c>
      <c r="G440" t="s">
        <v>1630</v>
      </c>
      <c r="H440">
        <v>1</v>
      </c>
    </row>
    <row r="441" spans="1:8">
      <c r="A441" t="s">
        <v>2075</v>
      </c>
      <c r="B441" t="s">
        <v>779</v>
      </c>
      <c r="C441" s="4">
        <v>44931</v>
      </c>
      <c r="D441" t="s">
        <v>1625</v>
      </c>
      <c r="E441" t="s">
        <v>1605</v>
      </c>
      <c r="F441" s="5">
        <v>0.7</v>
      </c>
      <c r="G441" t="s">
        <v>1626</v>
      </c>
      <c r="H441">
        <v>1</v>
      </c>
    </row>
    <row r="442" spans="1:8">
      <c r="A442" t="s">
        <v>2076</v>
      </c>
      <c r="B442" t="s">
        <v>544</v>
      </c>
      <c r="C442" s="4">
        <v>45642</v>
      </c>
      <c r="D442" t="s">
        <v>1625</v>
      </c>
      <c r="E442" t="s">
        <v>1605</v>
      </c>
      <c r="F442" s="5">
        <v>0.7</v>
      </c>
      <c r="G442" t="s">
        <v>1630</v>
      </c>
      <c r="H442">
        <v>3</v>
      </c>
    </row>
    <row r="443" spans="1:8">
      <c r="A443" t="s">
        <v>2077</v>
      </c>
      <c r="B443" t="s">
        <v>110</v>
      </c>
      <c r="C443" s="4">
        <v>45613</v>
      </c>
      <c r="D443" t="s">
        <v>1641</v>
      </c>
      <c r="E443" t="s">
        <v>1629</v>
      </c>
      <c r="F443" s="5">
        <v>22.1</v>
      </c>
      <c r="G443" t="s">
        <v>1630</v>
      </c>
      <c r="H443">
        <v>4</v>
      </c>
    </row>
    <row r="444" spans="1:8">
      <c r="A444" t="s">
        <v>2078</v>
      </c>
      <c r="B444" t="s">
        <v>1069</v>
      </c>
      <c r="C444" s="4">
        <v>45234</v>
      </c>
      <c r="D444" t="s">
        <v>1632</v>
      </c>
      <c r="E444" t="s">
        <v>1648</v>
      </c>
      <c r="F444" s="5">
        <v>8.4</v>
      </c>
      <c r="G444" t="s">
        <v>1626</v>
      </c>
      <c r="H444">
        <v>1</v>
      </c>
    </row>
    <row r="445" spans="1:8">
      <c r="A445" t="s">
        <v>2079</v>
      </c>
      <c r="B445" t="s">
        <v>1070</v>
      </c>
      <c r="C445" s="4">
        <v>45211</v>
      </c>
      <c r="D445" t="s">
        <v>1625</v>
      </c>
      <c r="E445" t="s">
        <v>1629</v>
      </c>
      <c r="F445" s="5">
        <v>27.8</v>
      </c>
      <c r="G445" t="s">
        <v>1630</v>
      </c>
      <c r="H445">
        <v>1</v>
      </c>
    </row>
    <row r="446" spans="1:8">
      <c r="A446" t="s">
        <v>2080</v>
      </c>
      <c r="B446" t="s">
        <v>1049</v>
      </c>
      <c r="C446" s="4">
        <v>46136</v>
      </c>
      <c r="D446" t="s">
        <v>1641</v>
      </c>
      <c r="E446" t="s">
        <v>1633</v>
      </c>
      <c r="F446" s="5">
        <v>2.1</v>
      </c>
      <c r="G446" t="s">
        <v>1630</v>
      </c>
      <c r="H446">
        <v>5</v>
      </c>
    </row>
    <row r="447" spans="1:8">
      <c r="A447" t="s">
        <v>2081</v>
      </c>
      <c r="B447" t="s">
        <v>657</v>
      </c>
      <c r="C447" s="4">
        <v>46046</v>
      </c>
      <c r="D447" t="s">
        <v>1637</v>
      </c>
      <c r="E447" t="s">
        <v>1605</v>
      </c>
      <c r="F447" s="5">
        <v>1.1000000000000001</v>
      </c>
      <c r="G447" t="s">
        <v>1626</v>
      </c>
      <c r="H447">
        <v>2</v>
      </c>
    </row>
    <row r="448" spans="1:8">
      <c r="A448" t="s">
        <v>2082</v>
      </c>
      <c r="B448" t="s">
        <v>1385</v>
      </c>
      <c r="C448" s="4">
        <v>44996</v>
      </c>
      <c r="D448" t="s">
        <v>1667</v>
      </c>
      <c r="E448" t="s">
        <v>1605</v>
      </c>
      <c r="F448" s="5">
        <v>8.6999999999999993</v>
      </c>
      <c r="G448" t="s">
        <v>1630</v>
      </c>
      <c r="H448">
        <v>5</v>
      </c>
    </row>
    <row r="449" spans="1:8">
      <c r="A449" t="s">
        <v>2083</v>
      </c>
      <c r="B449" t="s">
        <v>1275</v>
      </c>
      <c r="C449" s="4">
        <v>45440</v>
      </c>
      <c r="D449" t="s">
        <v>1641</v>
      </c>
      <c r="E449" t="s">
        <v>1633</v>
      </c>
      <c r="F449" s="5">
        <v>8.4</v>
      </c>
      <c r="G449" t="s">
        <v>1630</v>
      </c>
      <c r="H449">
        <v>5</v>
      </c>
    </row>
    <row r="450" spans="1:8">
      <c r="A450" t="s">
        <v>2084</v>
      </c>
      <c r="B450" t="s">
        <v>738</v>
      </c>
      <c r="C450" s="4">
        <v>45975</v>
      </c>
      <c r="D450" t="s">
        <v>1641</v>
      </c>
      <c r="E450" t="s">
        <v>1609</v>
      </c>
      <c r="F450" s="5">
        <v>8.3000000000000007</v>
      </c>
      <c r="G450" t="s">
        <v>1630</v>
      </c>
      <c r="H450">
        <v>4</v>
      </c>
    </row>
    <row r="451" spans="1:8">
      <c r="A451" t="s">
        <v>2085</v>
      </c>
      <c r="B451" t="s">
        <v>1155</v>
      </c>
      <c r="C451" s="4">
        <v>46044</v>
      </c>
      <c r="D451" t="s">
        <v>1641</v>
      </c>
      <c r="E451" t="s">
        <v>1609</v>
      </c>
      <c r="F451" s="5">
        <v>9.5</v>
      </c>
      <c r="G451" t="s">
        <v>1630</v>
      </c>
      <c r="H451">
        <v>3</v>
      </c>
    </row>
    <row r="452" spans="1:8">
      <c r="A452" t="s">
        <v>2086</v>
      </c>
      <c r="B452" t="s">
        <v>1537</v>
      </c>
      <c r="C452" s="4">
        <v>45293</v>
      </c>
      <c r="D452" t="s">
        <v>1628</v>
      </c>
      <c r="E452" t="s">
        <v>1648</v>
      </c>
      <c r="F452" s="5">
        <v>4.0999999999999996</v>
      </c>
      <c r="G452" t="s">
        <v>1630</v>
      </c>
      <c r="H452">
        <v>2</v>
      </c>
    </row>
    <row r="453" spans="1:8">
      <c r="A453" t="s">
        <v>2087</v>
      </c>
      <c r="B453" t="s">
        <v>1025</v>
      </c>
      <c r="C453" s="4">
        <v>45309</v>
      </c>
      <c r="D453" t="s">
        <v>1628</v>
      </c>
      <c r="E453" t="s">
        <v>1648</v>
      </c>
      <c r="F453" s="5">
        <v>4.8</v>
      </c>
      <c r="G453" t="s">
        <v>1630</v>
      </c>
      <c r="H453">
        <v>1</v>
      </c>
    </row>
    <row r="454" spans="1:8">
      <c r="A454" t="s">
        <v>2088</v>
      </c>
      <c r="B454" t="s">
        <v>1581</v>
      </c>
      <c r="C454" s="4">
        <v>45057</v>
      </c>
      <c r="D454" t="s">
        <v>1632</v>
      </c>
      <c r="E454" t="s">
        <v>1629</v>
      </c>
      <c r="F454" s="5">
        <v>5.5</v>
      </c>
      <c r="G454" t="s">
        <v>1630</v>
      </c>
      <c r="H454">
        <v>4</v>
      </c>
    </row>
    <row r="455" spans="1:8">
      <c r="A455" t="s">
        <v>2089</v>
      </c>
      <c r="B455" t="s">
        <v>1027</v>
      </c>
      <c r="C455" s="4">
        <v>45234</v>
      </c>
      <c r="D455" t="s">
        <v>1637</v>
      </c>
      <c r="E455" t="s">
        <v>1648</v>
      </c>
      <c r="F455" s="5">
        <v>19.8</v>
      </c>
      <c r="G455" t="s">
        <v>1630</v>
      </c>
      <c r="H455">
        <v>2</v>
      </c>
    </row>
    <row r="456" spans="1:8">
      <c r="A456" t="s">
        <v>2090</v>
      </c>
      <c r="B456" t="s">
        <v>1431</v>
      </c>
      <c r="C456" s="4">
        <v>45192</v>
      </c>
      <c r="D456" t="s">
        <v>1625</v>
      </c>
      <c r="E456" t="s">
        <v>1648</v>
      </c>
      <c r="F456" s="5">
        <v>1.7</v>
      </c>
      <c r="G456" t="s">
        <v>1626</v>
      </c>
      <c r="H456">
        <v>1</v>
      </c>
    </row>
    <row r="457" spans="1:8">
      <c r="A457" t="s">
        <v>2091</v>
      </c>
      <c r="B457" t="s">
        <v>1376</v>
      </c>
      <c r="C457" s="4">
        <v>46016</v>
      </c>
      <c r="D457" t="s">
        <v>1625</v>
      </c>
      <c r="E457" t="s">
        <v>1648</v>
      </c>
      <c r="F457" s="5">
        <v>0.2</v>
      </c>
      <c r="G457" t="s">
        <v>1630</v>
      </c>
      <c r="H457">
        <v>2</v>
      </c>
    </row>
    <row r="458" spans="1:8">
      <c r="A458" t="s">
        <v>2092</v>
      </c>
      <c r="B458" t="s">
        <v>786</v>
      </c>
      <c r="C458" s="4">
        <v>45033</v>
      </c>
      <c r="D458" t="s">
        <v>1632</v>
      </c>
      <c r="E458" t="s">
        <v>1609</v>
      </c>
      <c r="F458" s="5">
        <v>8.6999999999999993</v>
      </c>
      <c r="G458" t="s">
        <v>1626</v>
      </c>
      <c r="H458">
        <v>2</v>
      </c>
    </row>
    <row r="459" spans="1:8">
      <c r="A459" t="s">
        <v>2093</v>
      </c>
      <c r="B459" t="s">
        <v>802</v>
      </c>
      <c r="C459" s="4">
        <v>45606</v>
      </c>
      <c r="D459" t="s">
        <v>1632</v>
      </c>
      <c r="E459" t="s">
        <v>1648</v>
      </c>
      <c r="F459" s="5">
        <v>0.3</v>
      </c>
      <c r="G459" t="s">
        <v>1630</v>
      </c>
      <c r="H459">
        <v>2</v>
      </c>
    </row>
    <row r="460" spans="1:8">
      <c r="A460" t="s">
        <v>2094</v>
      </c>
      <c r="B460" t="s">
        <v>643</v>
      </c>
      <c r="C460" s="4">
        <v>46036</v>
      </c>
      <c r="D460" t="s">
        <v>1628</v>
      </c>
      <c r="E460" t="s">
        <v>1633</v>
      </c>
      <c r="F460" s="5">
        <v>15.3</v>
      </c>
      <c r="G460" t="s">
        <v>1630</v>
      </c>
      <c r="H460">
        <v>2</v>
      </c>
    </row>
    <row r="461" spans="1:8">
      <c r="A461" t="s">
        <v>2095</v>
      </c>
      <c r="B461" t="s">
        <v>1549</v>
      </c>
      <c r="C461" s="4">
        <v>45999</v>
      </c>
      <c r="D461" t="s">
        <v>1625</v>
      </c>
      <c r="E461" t="s">
        <v>1648</v>
      </c>
      <c r="F461" s="5">
        <v>4</v>
      </c>
      <c r="G461" t="s">
        <v>1630</v>
      </c>
      <c r="H461">
        <v>5</v>
      </c>
    </row>
    <row r="462" spans="1:8">
      <c r="A462" t="s">
        <v>2096</v>
      </c>
      <c r="B462" t="s">
        <v>666</v>
      </c>
      <c r="C462" s="4">
        <v>45307</v>
      </c>
      <c r="D462" t="s">
        <v>1641</v>
      </c>
      <c r="E462" t="s">
        <v>1605</v>
      </c>
      <c r="F462" s="5">
        <v>9.1999999999999993</v>
      </c>
      <c r="G462" t="s">
        <v>1630</v>
      </c>
      <c r="H462">
        <v>3</v>
      </c>
    </row>
    <row r="463" spans="1:8">
      <c r="A463" t="s">
        <v>2097</v>
      </c>
      <c r="B463" t="s">
        <v>1375</v>
      </c>
      <c r="C463" s="4">
        <v>45728</v>
      </c>
      <c r="D463" t="s">
        <v>1655</v>
      </c>
      <c r="E463" t="s">
        <v>1605</v>
      </c>
      <c r="F463" s="5">
        <v>16.100000000000001</v>
      </c>
      <c r="G463" t="s">
        <v>1630</v>
      </c>
      <c r="H463">
        <v>5</v>
      </c>
    </row>
    <row r="464" spans="1:8">
      <c r="A464" t="s">
        <v>2098</v>
      </c>
      <c r="B464" t="s">
        <v>1549</v>
      </c>
      <c r="C464" s="4">
        <v>45138</v>
      </c>
      <c r="D464" t="s">
        <v>1625</v>
      </c>
      <c r="E464" t="s">
        <v>1605</v>
      </c>
      <c r="F464" s="5">
        <v>2.4</v>
      </c>
      <c r="G464" t="s">
        <v>1630</v>
      </c>
      <c r="H464">
        <v>3</v>
      </c>
    </row>
    <row r="465" spans="1:8">
      <c r="A465" t="s">
        <v>2099</v>
      </c>
      <c r="B465" t="s">
        <v>476</v>
      </c>
      <c r="C465" s="4">
        <v>46018</v>
      </c>
      <c r="D465" t="s">
        <v>1655</v>
      </c>
      <c r="E465" t="s">
        <v>1629</v>
      </c>
      <c r="F465" s="5">
        <v>1.6</v>
      </c>
      <c r="G465" t="s">
        <v>1626</v>
      </c>
      <c r="H465">
        <v>2</v>
      </c>
    </row>
    <row r="466" spans="1:8">
      <c r="A466" t="s">
        <v>2100</v>
      </c>
      <c r="B466" t="s">
        <v>439</v>
      </c>
      <c r="C466" s="4">
        <v>46105</v>
      </c>
      <c r="D466" t="s">
        <v>1628</v>
      </c>
      <c r="E466" t="s">
        <v>1648</v>
      </c>
      <c r="F466" s="5">
        <v>2</v>
      </c>
      <c r="G466" t="s">
        <v>1630</v>
      </c>
      <c r="H466">
        <v>3</v>
      </c>
    </row>
    <row r="467" spans="1:8">
      <c r="A467" t="s">
        <v>2101</v>
      </c>
      <c r="B467" t="s">
        <v>1013</v>
      </c>
      <c r="C467" s="4">
        <v>45684</v>
      </c>
      <c r="D467" t="s">
        <v>1628</v>
      </c>
      <c r="E467" t="s">
        <v>1648</v>
      </c>
      <c r="F467" s="5">
        <v>0.9</v>
      </c>
      <c r="G467" t="s">
        <v>1630</v>
      </c>
      <c r="H467">
        <v>3</v>
      </c>
    </row>
    <row r="468" spans="1:8">
      <c r="A468" t="s">
        <v>2102</v>
      </c>
      <c r="B468" t="s">
        <v>781</v>
      </c>
      <c r="C468" s="4">
        <v>44979</v>
      </c>
      <c r="D468" t="s">
        <v>1667</v>
      </c>
      <c r="E468" t="s">
        <v>1629</v>
      </c>
      <c r="F468" s="5">
        <v>5.9</v>
      </c>
      <c r="G468" t="s">
        <v>1626</v>
      </c>
      <c r="H468">
        <v>3</v>
      </c>
    </row>
    <row r="469" spans="1:8">
      <c r="A469" t="s">
        <v>2103</v>
      </c>
      <c r="B469" t="s">
        <v>718</v>
      </c>
      <c r="C469" s="4">
        <v>44959</v>
      </c>
      <c r="D469" t="s">
        <v>1641</v>
      </c>
      <c r="E469" t="s">
        <v>1629</v>
      </c>
      <c r="F469" s="5">
        <v>11.9</v>
      </c>
      <c r="G469" t="s">
        <v>1630</v>
      </c>
      <c r="H469">
        <v>3</v>
      </c>
    </row>
    <row r="470" spans="1:8">
      <c r="A470" t="s">
        <v>2104</v>
      </c>
      <c r="B470" t="s">
        <v>544</v>
      </c>
      <c r="C470" s="4">
        <v>44942</v>
      </c>
      <c r="D470" t="s">
        <v>1628</v>
      </c>
      <c r="E470" t="s">
        <v>1648</v>
      </c>
      <c r="F470" s="5">
        <v>1</v>
      </c>
      <c r="G470" t="s">
        <v>1630</v>
      </c>
      <c r="H470">
        <v>5</v>
      </c>
    </row>
    <row r="471" spans="1:8">
      <c r="A471" t="s">
        <v>2105</v>
      </c>
      <c r="B471" t="s">
        <v>1416</v>
      </c>
      <c r="C471" s="4">
        <v>46108</v>
      </c>
      <c r="D471" t="s">
        <v>1628</v>
      </c>
      <c r="E471" t="s">
        <v>1609</v>
      </c>
      <c r="F471" s="5">
        <v>19.600000000000001</v>
      </c>
      <c r="G471" t="s">
        <v>1630</v>
      </c>
      <c r="H471">
        <v>2</v>
      </c>
    </row>
    <row r="472" spans="1:8">
      <c r="A472" t="s">
        <v>2106</v>
      </c>
      <c r="B472" t="s">
        <v>197</v>
      </c>
      <c r="C472" s="4">
        <v>45334</v>
      </c>
      <c r="D472" t="s">
        <v>1641</v>
      </c>
      <c r="E472" t="s">
        <v>1633</v>
      </c>
      <c r="F472" s="5">
        <v>7</v>
      </c>
      <c r="G472" t="s">
        <v>1630</v>
      </c>
      <c r="H472">
        <v>1</v>
      </c>
    </row>
    <row r="473" spans="1:8">
      <c r="A473" t="s">
        <v>2107</v>
      </c>
      <c r="B473" t="s">
        <v>279</v>
      </c>
      <c r="C473" s="4">
        <v>45672</v>
      </c>
      <c r="D473" t="s">
        <v>1628</v>
      </c>
      <c r="E473" t="s">
        <v>1633</v>
      </c>
      <c r="F473" s="5">
        <v>0.7</v>
      </c>
      <c r="G473" t="s">
        <v>1630</v>
      </c>
      <c r="H473">
        <v>1</v>
      </c>
    </row>
    <row r="474" spans="1:8">
      <c r="A474" t="s">
        <v>2108</v>
      </c>
      <c r="B474" t="s">
        <v>720</v>
      </c>
      <c r="C474" s="4">
        <v>45598</v>
      </c>
      <c r="D474" t="s">
        <v>1628</v>
      </c>
      <c r="E474" t="s">
        <v>1605</v>
      </c>
      <c r="F474" s="5">
        <v>10.4</v>
      </c>
      <c r="G474" t="s">
        <v>1630</v>
      </c>
      <c r="H474">
        <v>2</v>
      </c>
    </row>
    <row r="475" spans="1:8">
      <c r="A475" t="s">
        <v>2109</v>
      </c>
      <c r="B475" t="s">
        <v>1408</v>
      </c>
      <c r="C475" s="4">
        <v>45786</v>
      </c>
      <c r="D475" t="s">
        <v>1641</v>
      </c>
      <c r="E475" t="s">
        <v>1648</v>
      </c>
      <c r="F475" s="5">
        <v>0.8</v>
      </c>
      <c r="G475" t="s">
        <v>1630</v>
      </c>
      <c r="H475">
        <v>4</v>
      </c>
    </row>
    <row r="476" spans="1:8">
      <c r="A476" t="s">
        <v>2110</v>
      </c>
      <c r="B476" t="s">
        <v>1446</v>
      </c>
      <c r="C476" s="4">
        <v>45576</v>
      </c>
      <c r="D476" t="s">
        <v>1628</v>
      </c>
      <c r="E476" t="s">
        <v>1648</v>
      </c>
      <c r="F476" s="5">
        <v>2.5</v>
      </c>
      <c r="G476" t="s">
        <v>1626</v>
      </c>
      <c r="H476">
        <v>3</v>
      </c>
    </row>
    <row r="477" spans="1:8">
      <c r="A477" t="s">
        <v>2111</v>
      </c>
      <c r="B477" t="s">
        <v>1463</v>
      </c>
      <c r="C477" s="4">
        <v>45150</v>
      </c>
      <c r="D477" t="s">
        <v>1625</v>
      </c>
      <c r="E477" t="s">
        <v>1609</v>
      </c>
      <c r="F477" s="5">
        <v>0.3</v>
      </c>
      <c r="G477" t="s">
        <v>1630</v>
      </c>
      <c r="H477">
        <v>4</v>
      </c>
    </row>
    <row r="478" spans="1:8">
      <c r="A478" t="s">
        <v>2112</v>
      </c>
      <c r="B478" t="s">
        <v>804</v>
      </c>
      <c r="C478" s="4">
        <v>46010</v>
      </c>
      <c r="D478" t="s">
        <v>1667</v>
      </c>
      <c r="E478" t="s">
        <v>1609</v>
      </c>
      <c r="F478" s="5">
        <v>9.5</v>
      </c>
      <c r="G478" t="s">
        <v>1630</v>
      </c>
      <c r="H478">
        <v>5</v>
      </c>
    </row>
    <row r="479" spans="1:8">
      <c r="A479" t="s">
        <v>2113</v>
      </c>
      <c r="B479" t="s">
        <v>227</v>
      </c>
      <c r="C479" s="4">
        <v>46166</v>
      </c>
      <c r="D479" t="s">
        <v>1632</v>
      </c>
      <c r="E479" t="s">
        <v>1605</v>
      </c>
      <c r="F479" s="5">
        <v>11.3</v>
      </c>
      <c r="G479" t="s">
        <v>1630</v>
      </c>
      <c r="H479">
        <v>3</v>
      </c>
    </row>
    <row r="480" spans="1:8">
      <c r="A480" t="s">
        <v>2114</v>
      </c>
      <c r="B480" t="s">
        <v>365</v>
      </c>
      <c r="C480" s="4">
        <v>45408</v>
      </c>
      <c r="D480" t="s">
        <v>1655</v>
      </c>
      <c r="E480" t="s">
        <v>1648</v>
      </c>
      <c r="F480" s="5">
        <v>6.5</v>
      </c>
      <c r="G480" t="s">
        <v>1630</v>
      </c>
      <c r="H480">
        <v>4</v>
      </c>
    </row>
    <row r="481" spans="1:8">
      <c r="A481" t="s">
        <v>2115</v>
      </c>
      <c r="B481" t="s">
        <v>430</v>
      </c>
      <c r="C481" s="4">
        <v>45207</v>
      </c>
      <c r="D481" t="s">
        <v>1667</v>
      </c>
      <c r="E481" t="s">
        <v>1648</v>
      </c>
      <c r="F481" s="5">
        <v>13.2</v>
      </c>
      <c r="G481" t="s">
        <v>1630</v>
      </c>
      <c r="H481">
        <v>4</v>
      </c>
    </row>
    <row r="482" spans="1:8">
      <c r="A482" t="s">
        <v>2116</v>
      </c>
      <c r="B482" t="s">
        <v>853</v>
      </c>
      <c r="C482" s="4">
        <v>45046</v>
      </c>
      <c r="D482" t="s">
        <v>1667</v>
      </c>
      <c r="E482" t="s">
        <v>1648</v>
      </c>
      <c r="F482" s="5">
        <v>5.6</v>
      </c>
      <c r="G482" t="s">
        <v>1630</v>
      </c>
      <c r="H482">
        <v>4</v>
      </c>
    </row>
    <row r="483" spans="1:8">
      <c r="A483" t="s">
        <v>2117</v>
      </c>
      <c r="B483" t="s">
        <v>1024</v>
      </c>
      <c r="C483" s="4">
        <v>45832</v>
      </c>
      <c r="D483" t="s">
        <v>1628</v>
      </c>
      <c r="E483" t="s">
        <v>1605</v>
      </c>
      <c r="F483" s="5">
        <v>1.2</v>
      </c>
      <c r="G483" t="s">
        <v>1630</v>
      </c>
      <c r="H483">
        <v>5</v>
      </c>
    </row>
    <row r="484" spans="1:8">
      <c r="A484" t="s">
        <v>2118</v>
      </c>
      <c r="B484" t="s">
        <v>738</v>
      </c>
      <c r="C484" s="4">
        <v>45499</v>
      </c>
      <c r="D484" t="s">
        <v>1641</v>
      </c>
      <c r="E484" t="s">
        <v>1633</v>
      </c>
      <c r="F484" s="5">
        <v>10.6</v>
      </c>
      <c r="G484" t="s">
        <v>1630</v>
      </c>
      <c r="H484">
        <v>3</v>
      </c>
    </row>
    <row r="485" spans="1:8">
      <c r="A485" t="s">
        <v>2119</v>
      </c>
      <c r="B485" t="s">
        <v>1383</v>
      </c>
      <c r="C485" s="4">
        <v>45576</v>
      </c>
      <c r="D485" t="s">
        <v>1655</v>
      </c>
      <c r="E485" t="s">
        <v>1648</v>
      </c>
      <c r="F485" s="5">
        <v>2.7</v>
      </c>
      <c r="G485" t="s">
        <v>1630</v>
      </c>
      <c r="H485">
        <v>3</v>
      </c>
    </row>
    <row r="486" spans="1:8">
      <c r="A486" t="s">
        <v>2120</v>
      </c>
      <c r="B486" t="s">
        <v>1573</v>
      </c>
      <c r="C486" s="4">
        <v>45170</v>
      </c>
      <c r="D486" t="s">
        <v>1667</v>
      </c>
      <c r="E486" t="s">
        <v>1629</v>
      </c>
      <c r="F486" s="5">
        <v>33.799999999999997</v>
      </c>
      <c r="G486" t="s">
        <v>1630</v>
      </c>
      <c r="H486">
        <v>1</v>
      </c>
    </row>
    <row r="487" spans="1:8">
      <c r="A487" t="s">
        <v>2121</v>
      </c>
      <c r="B487" t="s">
        <v>1486</v>
      </c>
      <c r="C487" s="4">
        <v>45007</v>
      </c>
      <c r="D487" t="s">
        <v>1628</v>
      </c>
      <c r="E487" t="s">
        <v>1633</v>
      </c>
      <c r="F487" s="5">
        <v>3.7</v>
      </c>
      <c r="G487" t="s">
        <v>1630</v>
      </c>
      <c r="H487">
        <v>2</v>
      </c>
    </row>
    <row r="488" spans="1:8">
      <c r="A488" t="s">
        <v>2122</v>
      </c>
      <c r="B488" t="s">
        <v>253</v>
      </c>
      <c r="C488" s="4">
        <v>45411</v>
      </c>
      <c r="D488" t="s">
        <v>1628</v>
      </c>
      <c r="E488" t="s">
        <v>1609</v>
      </c>
      <c r="F488" s="5">
        <v>12.8</v>
      </c>
      <c r="G488" t="s">
        <v>1626</v>
      </c>
      <c r="H488">
        <v>1</v>
      </c>
    </row>
    <row r="489" spans="1:8">
      <c r="A489" t="s">
        <v>2123</v>
      </c>
      <c r="B489" t="s">
        <v>514</v>
      </c>
      <c r="C489" s="4">
        <v>44938</v>
      </c>
      <c r="D489" t="s">
        <v>1625</v>
      </c>
      <c r="E489" t="s">
        <v>1629</v>
      </c>
      <c r="F489" s="5">
        <v>0.3</v>
      </c>
      <c r="G489" t="s">
        <v>1630</v>
      </c>
      <c r="H489">
        <v>4</v>
      </c>
    </row>
    <row r="490" spans="1:8">
      <c r="A490" t="s">
        <v>2124</v>
      </c>
      <c r="B490" t="s">
        <v>1047</v>
      </c>
      <c r="C490" s="4">
        <v>45300</v>
      </c>
      <c r="D490" t="s">
        <v>1632</v>
      </c>
      <c r="E490" t="s">
        <v>1633</v>
      </c>
      <c r="F490" s="5">
        <v>2.9</v>
      </c>
      <c r="G490" t="s">
        <v>1626</v>
      </c>
      <c r="H490">
        <v>3</v>
      </c>
    </row>
    <row r="491" spans="1:8">
      <c r="A491" t="s">
        <v>2125</v>
      </c>
      <c r="B491" t="s">
        <v>1140</v>
      </c>
      <c r="C491" s="4">
        <v>45711</v>
      </c>
      <c r="D491" t="s">
        <v>1625</v>
      </c>
      <c r="E491" t="s">
        <v>1648</v>
      </c>
      <c r="F491" s="5">
        <v>42.5</v>
      </c>
      <c r="G491" t="s">
        <v>1630</v>
      </c>
      <c r="H491">
        <v>4</v>
      </c>
    </row>
    <row r="492" spans="1:8">
      <c r="A492" t="s">
        <v>2126</v>
      </c>
      <c r="B492" t="s">
        <v>1581</v>
      </c>
      <c r="C492" s="4">
        <v>45381</v>
      </c>
      <c r="D492" t="s">
        <v>1625</v>
      </c>
      <c r="E492" t="s">
        <v>1629</v>
      </c>
      <c r="F492" s="5">
        <v>10.199999999999999</v>
      </c>
      <c r="G492" t="s">
        <v>1630</v>
      </c>
      <c r="H492">
        <v>4</v>
      </c>
    </row>
    <row r="493" spans="1:8">
      <c r="A493" t="s">
        <v>2127</v>
      </c>
      <c r="B493" t="s">
        <v>405</v>
      </c>
      <c r="C493" s="4">
        <v>44940</v>
      </c>
      <c r="D493" t="s">
        <v>1628</v>
      </c>
      <c r="E493" t="s">
        <v>1648</v>
      </c>
      <c r="F493" s="5">
        <v>33.5</v>
      </c>
      <c r="G493" t="s">
        <v>1630</v>
      </c>
      <c r="H493">
        <v>3</v>
      </c>
    </row>
    <row r="494" spans="1:8">
      <c r="A494" t="s">
        <v>2128</v>
      </c>
      <c r="B494" t="s">
        <v>655</v>
      </c>
      <c r="C494" s="4">
        <v>45355</v>
      </c>
      <c r="D494" t="s">
        <v>1667</v>
      </c>
      <c r="E494" t="s">
        <v>1609</v>
      </c>
      <c r="F494" s="5">
        <v>6</v>
      </c>
      <c r="G494" t="s">
        <v>1630</v>
      </c>
      <c r="H494">
        <v>2</v>
      </c>
    </row>
    <row r="495" spans="1:8">
      <c r="A495" t="s">
        <v>2129</v>
      </c>
      <c r="B495" t="s">
        <v>1262</v>
      </c>
      <c r="C495" s="4">
        <v>46039</v>
      </c>
      <c r="D495" t="s">
        <v>1655</v>
      </c>
      <c r="E495" t="s">
        <v>1609</v>
      </c>
      <c r="F495" s="5">
        <v>10.7</v>
      </c>
      <c r="G495" t="s">
        <v>1630</v>
      </c>
      <c r="H495">
        <v>1</v>
      </c>
    </row>
    <row r="496" spans="1:8">
      <c r="A496" t="s">
        <v>2130</v>
      </c>
      <c r="B496" t="s">
        <v>361</v>
      </c>
      <c r="C496" s="4">
        <v>45336</v>
      </c>
      <c r="D496" t="s">
        <v>1641</v>
      </c>
      <c r="E496" t="s">
        <v>1609</v>
      </c>
      <c r="F496" s="5">
        <v>7.9</v>
      </c>
      <c r="G496" t="s">
        <v>1630</v>
      </c>
      <c r="H496">
        <v>1</v>
      </c>
    </row>
    <row r="497" spans="1:8">
      <c r="A497" t="s">
        <v>2131</v>
      </c>
      <c r="B497" t="s">
        <v>797</v>
      </c>
      <c r="C497" s="4">
        <v>44943</v>
      </c>
      <c r="D497" t="s">
        <v>1637</v>
      </c>
      <c r="E497" t="s">
        <v>1648</v>
      </c>
      <c r="F497" s="5">
        <v>2.2000000000000002</v>
      </c>
      <c r="G497" t="s">
        <v>1630</v>
      </c>
      <c r="H497">
        <v>2</v>
      </c>
    </row>
    <row r="498" spans="1:8">
      <c r="A498" t="s">
        <v>2132</v>
      </c>
      <c r="B498" t="s">
        <v>504</v>
      </c>
      <c r="C498" s="4">
        <v>46059</v>
      </c>
      <c r="D498" t="s">
        <v>1641</v>
      </c>
      <c r="E498" t="s">
        <v>1609</v>
      </c>
      <c r="F498" s="5">
        <v>6.1</v>
      </c>
      <c r="G498" t="s">
        <v>1630</v>
      </c>
      <c r="H498">
        <v>4</v>
      </c>
    </row>
    <row r="499" spans="1:8">
      <c r="A499" t="s">
        <v>2133</v>
      </c>
      <c r="B499" t="s">
        <v>998</v>
      </c>
      <c r="C499" s="4">
        <v>45105</v>
      </c>
      <c r="D499" t="s">
        <v>1632</v>
      </c>
      <c r="E499" t="s">
        <v>1605</v>
      </c>
      <c r="F499" s="5">
        <v>12.4</v>
      </c>
      <c r="G499" t="s">
        <v>1626</v>
      </c>
      <c r="H499">
        <v>2</v>
      </c>
    </row>
    <row r="500" spans="1:8">
      <c r="A500" t="s">
        <v>2134</v>
      </c>
      <c r="B500" t="s">
        <v>924</v>
      </c>
      <c r="C500" s="4">
        <v>45584</v>
      </c>
      <c r="D500" t="s">
        <v>1628</v>
      </c>
      <c r="E500" t="s">
        <v>1633</v>
      </c>
      <c r="F500" s="5">
        <v>6.6</v>
      </c>
      <c r="G500" t="s">
        <v>1630</v>
      </c>
      <c r="H500">
        <v>2</v>
      </c>
    </row>
    <row r="501" spans="1:8">
      <c r="A501" t="s">
        <v>2135</v>
      </c>
      <c r="B501" t="s">
        <v>800</v>
      </c>
      <c r="C501" s="4">
        <v>45243</v>
      </c>
      <c r="D501" t="s">
        <v>1637</v>
      </c>
      <c r="E501" t="s">
        <v>1609</v>
      </c>
      <c r="F501" s="5">
        <v>3.1</v>
      </c>
      <c r="G501" t="s">
        <v>1630</v>
      </c>
      <c r="H501">
        <v>5</v>
      </c>
    </row>
    <row r="502" spans="1:8">
      <c r="A502" t="s">
        <v>2136</v>
      </c>
      <c r="B502" t="s">
        <v>1407</v>
      </c>
      <c r="C502" s="4">
        <v>45855</v>
      </c>
      <c r="D502" t="s">
        <v>1625</v>
      </c>
      <c r="E502" t="s">
        <v>1648</v>
      </c>
      <c r="F502" s="5">
        <v>2.2000000000000002</v>
      </c>
      <c r="G502" t="s">
        <v>1630</v>
      </c>
      <c r="H502">
        <v>1</v>
      </c>
    </row>
    <row r="503" spans="1:8">
      <c r="A503" t="s">
        <v>2137</v>
      </c>
      <c r="B503" t="s">
        <v>1038</v>
      </c>
      <c r="C503" s="4">
        <v>45299</v>
      </c>
      <c r="D503" t="s">
        <v>1632</v>
      </c>
      <c r="E503" t="s">
        <v>1609</v>
      </c>
      <c r="F503" s="5">
        <v>8.3000000000000007</v>
      </c>
      <c r="G503" t="s">
        <v>1630</v>
      </c>
      <c r="H503">
        <v>4</v>
      </c>
    </row>
    <row r="504" spans="1:8">
      <c r="A504" t="s">
        <v>2138</v>
      </c>
      <c r="B504" t="s">
        <v>1238</v>
      </c>
      <c r="C504" s="4">
        <v>45367</v>
      </c>
      <c r="D504" t="s">
        <v>1628</v>
      </c>
      <c r="E504" t="s">
        <v>1605</v>
      </c>
      <c r="F504" s="5">
        <v>20.8</v>
      </c>
      <c r="G504" t="s">
        <v>1630</v>
      </c>
      <c r="H504">
        <v>2</v>
      </c>
    </row>
    <row r="505" spans="1:8">
      <c r="A505" t="s">
        <v>2139</v>
      </c>
      <c r="B505" t="s">
        <v>1572</v>
      </c>
      <c r="C505" s="4">
        <v>44986</v>
      </c>
      <c r="D505" t="s">
        <v>1625</v>
      </c>
      <c r="E505" t="s">
        <v>1605</v>
      </c>
      <c r="F505" s="5">
        <v>1.3</v>
      </c>
      <c r="G505" t="s">
        <v>1626</v>
      </c>
      <c r="H505">
        <v>3</v>
      </c>
    </row>
    <row r="506" spans="1:8">
      <c r="A506" t="s">
        <v>2140</v>
      </c>
      <c r="B506" t="s">
        <v>527</v>
      </c>
      <c r="C506" s="4">
        <v>45770</v>
      </c>
      <c r="D506" t="s">
        <v>1637</v>
      </c>
      <c r="E506" t="s">
        <v>1609</v>
      </c>
      <c r="F506" s="5">
        <v>10.6</v>
      </c>
      <c r="G506" t="s">
        <v>1630</v>
      </c>
      <c r="H506">
        <v>5</v>
      </c>
    </row>
    <row r="507" spans="1:8">
      <c r="A507" t="s">
        <v>2141</v>
      </c>
      <c r="B507" t="s">
        <v>259</v>
      </c>
      <c r="C507" s="4">
        <v>45547</v>
      </c>
      <c r="D507" t="s">
        <v>1628</v>
      </c>
      <c r="E507" t="s">
        <v>1648</v>
      </c>
      <c r="F507" s="5">
        <v>1.2</v>
      </c>
      <c r="G507" t="s">
        <v>1626</v>
      </c>
      <c r="H507">
        <v>2</v>
      </c>
    </row>
    <row r="508" spans="1:8">
      <c r="A508" t="s">
        <v>2142</v>
      </c>
      <c r="B508" t="s">
        <v>1187</v>
      </c>
      <c r="C508" s="4">
        <v>45671</v>
      </c>
      <c r="D508" t="s">
        <v>1632</v>
      </c>
      <c r="E508" t="s">
        <v>1605</v>
      </c>
      <c r="F508" s="5">
        <v>12.5</v>
      </c>
      <c r="G508" t="s">
        <v>1626</v>
      </c>
      <c r="H508">
        <v>3</v>
      </c>
    </row>
    <row r="509" spans="1:8">
      <c r="A509" t="s">
        <v>2143</v>
      </c>
      <c r="B509" t="s">
        <v>504</v>
      </c>
      <c r="C509" s="4">
        <v>45582</v>
      </c>
      <c r="D509" t="s">
        <v>1641</v>
      </c>
      <c r="E509" t="s">
        <v>1633</v>
      </c>
      <c r="F509" s="5">
        <v>2.5</v>
      </c>
      <c r="G509" t="s">
        <v>1630</v>
      </c>
      <c r="H509">
        <v>4</v>
      </c>
    </row>
    <row r="510" spans="1:8">
      <c r="A510" t="s">
        <v>2144</v>
      </c>
      <c r="B510" t="s">
        <v>1304</v>
      </c>
      <c r="C510" s="4">
        <v>45936</v>
      </c>
      <c r="D510" t="s">
        <v>1628</v>
      </c>
      <c r="E510" t="s">
        <v>1629</v>
      </c>
      <c r="F510" s="5">
        <v>2.7</v>
      </c>
      <c r="G510" t="s">
        <v>1626</v>
      </c>
      <c r="H510">
        <v>3</v>
      </c>
    </row>
    <row r="511" spans="1:8">
      <c r="A511" t="s">
        <v>2145</v>
      </c>
      <c r="B511" t="s">
        <v>729</v>
      </c>
      <c r="C511" s="4">
        <v>45461</v>
      </c>
      <c r="D511" t="s">
        <v>1637</v>
      </c>
      <c r="E511" t="s">
        <v>1648</v>
      </c>
      <c r="F511" s="5">
        <v>13.3</v>
      </c>
      <c r="G511" t="s">
        <v>1630</v>
      </c>
      <c r="H511">
        <v>5</v>
      </c>
    </row>
    <row r="512" spans="1:8">
      <c r="A512" t="s">
        <v>2146</v>
      </c>
      <c r="B512" t="s">
        <v>1274</v>
      </c>
      <c r="C512" s="4">
        <v>45165</v>
      </c>
      <c r="D512" t="s">
        <v>1628</v>
      </c>
      <c r="E512" t="s">
        <v>1629</v>
      </c>
      <c r="F512" s="5">
        <v>7.4</v>
      </c>
      <c r="G512" t="s">
        <v>1626</v>
      </c>
      <c r="H512">
        <v>3</v>
      </c>
    </row>
    <row r="513" spans="1:8">
      <c r="A513" t="s">
        <v>2147</v>
      </c>
      <c r="B513" t="s">
        <v>890</v>
      </c>
      <c r="C513" s="4">
        <v>44932</v>
      </c>
      <c r="D513" t="s">
        <v>1628</v>
      </c>
      <c r="E513" t="s">
        <v>1605</v>
      </c>
      <c r="F513" s="5">
        <v>4.5999999999999996</v>
      </c>
      <c r="G513" t="s">
        <v>1630</v>
      </c>
      <c r="H513">
        <v>3</v>
      </c>
    </row>
    <row r="514" spans="1:8">
      <c r="A514" t="s">
        <v>2148</v>
      </c>
      <c r="B514" t="s">
        <v>585</v>
      </c>
      <c r="C514" s="4">
        <v>46147</v>
      </c>
      <c r="D514" t="s">
        <v>1641</v>
      </c>
      <c r="E514" t="s">
        <v>1648</v>
      </c>
      <c r="F514" s="5">
        <v>19.3</v>
      </c>
      <c r="G514" t="s">
        <v>1630</v>
      </c>
      <c r="H514">
        <v>2</v>
      </c>
    </row>
    <row r="515" spans="1:8">
      <c r="A515" t="s">
        <v>2149</v>
      </c>
      <c r="B515" t="s">
        <v>960</v>
      </c>
      <c r="C515" s="4">
        <v>45596</v>
      </c>
      <c r="D515" t="s">
        <v>1628</v>
      </c>
      <c r="E515" t="s">
        <v>1648</v>
      </c>
      <c r="F515" s="5">
        <v>23.3</v>
      </c>
      <c r="G515" t="s">
        <v>1630</v>
      </c>
      <c r="H515">
        <v>2</v>
      </c>
    </row>
    <row r="516" spans="1:8">
      <c r="A516" t="s">
        <v>2150</v>
      </c>
      <c r="B516" t="s">
        <v>403</v>
      </c>
      <c r="C516" s="4">
        <v>44984</v>
      </c>
      <c r="D516" t="s">
        <v>1655</v>
      </c>
      <c r="E516" t="s">
        <v>1609</v>
      </c>
      <c r="F516" s="5">
        <v>1.2</v>
      </c>
      <c r="G516" t="s">
        <v>1630</v>
      </c>
      <c r="H516">
        <v>1</v>
      </c>
    </row>
    <row r="517" spans="1:8">
      <c r="A517" t="s">
        <v>2151</v>
      </c>
      <c r="B517" t="s">
        <v>1036</v>
      </c>
      <c r="C517" s="4">
        <v>45312</v>
      </c>
      <c r="D517" t="s">
        <v>1628</v>
      </c>
      <c r="E517" t="s">
        <v>1609</v>
      </c>
      <c r="F517" s="5">
        <v>2.5</v>
      </c>
      <c r="G517" t="s">
        <v>1630</v>
      </c>
      <c r="H517">
        <v>5</v>
      </c>
    </row>
    <row r="518" spans="1:8">
      <c r="A518" t="s">
        <v>2152</v>
      </c>
      <c r="B518" t="s">
        <v>1400</v>
      </c>
      <c r="C518" s="4">
        <v>45880</v>
      </c>
      <c r="D518" t="s">
        <v>1641</v>
      </c>
      <c r="E518" t="s">
        <v>1648</v>
      </c>
      <c r="F518" s="5">
        <v>15.9</v>
      </c>
      <c r="G518" t="s">
        <v>1630</v>
      </c>
      <c r="H518">
        <v>2</v>
      </c>
    </row>
    <row r="519" spans="1:8">
      <c r="A519" t="s">
        <v>2153</v>
      </c>
      <c r="B519" t="s">
        <v>1244</v>
      </c>
      <c r="C519" s="4">
        <v>45689</v>
      </c>
      <c r="D519" t="s">
        <v>1632</v>
      </c>
      <c r="E519" t="s">
        <v>1633</v>
      </c>
      <c r="F519" s="5">
        <v>1.6</v>
      </c>
      <c r="G519" t="s">
        <v>1630</v>
      </c>
      <c r="H519">
        <v>4</v>
      </c>
    </row>
    <row r="520" spans="1:8">
      <c r="A520" t="s">
        <v>2154</v>
      </c>
      <c r="B520" t="s">
        <v>1538</v>
      </c>
      <c r="C520" s="4">
        <v>45051</v>
      </c>
      <c r="D520" t="s">
        <v>1655</v>
      </c>
      <c r="E520" t="s">
        <v>1609</v>
      </c>
      <c r="F520" s="5">
        <v>1.8</v>
      </c>
      <c r="G520" t="s">
        <v>1630</v>
      </c>
      <c r="H520">
        <v>3</v>
      </c>
    </row>
    <row r="521" spans="1:8">
      <c r="A521" t="s">
        <v>2155</v>
      </c>
      <c r="B521" t="s">
        <v>566</v>
      </c>
      <c r="C521" s="4">
        <v>45721</v>
      </c>
      <c r="D521" t="s">
        <v>1632</v>
      </c>
      <c r="E521" t="s">
        <v>1648</v>
      </c>
      <c r="F521" s="5">
        <v>15.5</v>
      </c>
      <c r="G521" t="s">
        <v>1630</v>
      </c>
      <c r="H521">
        <v>1</v>
      </c>
    </row>
    <row r="522" spans="1:8">
      <c r="A522" t="s">
        <v>2156</v>
      </c>
      <c r="B522" t="s">
        <v>918</v>
      </c>
      <c r="C522" s="4">
        <v>45063</v>
      </c>
      <c r="D522" t="s">
        <v>1625</v>
      </c>
      <c r="E522" t="s">
        <v>1605</v>
      </c>
      <c r="F522" s="5">
        <v>24.6</v>
      </c>
      <c r="G522" t="s">
        <v>1626</v>
      </c>
      <c r="H522">
        <v>3</v>
      </c>
    </row>
    <row r="523" spans="1:8">
      <c r="A523" t="s">
        <v>2157</v>
      </c>
      <c r="B523" t="s">
        <v>1506</v>
      </c>
      <c r="C523" s="4">
        <v>45118</v>
      </c>
      <c r="D523" t="s">
        <v>1628</v>
      </c>
      <c r="E523" t="s">
        <v>1605</v>
      </c>
      <c r="F523" s="5">
        <v>8.1999999999999993</v>
      </c>
      <c r="G523" t="s">
        <v>1630</v>
      </c>
      <c r="H523">
        <v>5</v>
      </c>
    </row>
    <row r="524" spans="1:8">
      <c r="A524" t="s">
        <v>2158</v>
      </c>
      <c r="B524" t="s">
        <v>1323</v>
      </c>
      <c r="C524" s="4">
        <v>45640</v>
      </c>
      <c r="D524" t="s">
        <v>1632</v>
      </c>
      <c r="E524" t="s">
        <v>1609</v>
      </c>
      <c r="F524" s="5">
        <v>2.9</v>
      </c>
      <c r="G524" t="s">
        <v>1630</v>
      </c>
      <c r="H524">
        <v>5</v>
      </c>
    </row>
    <row r="525" spans="1:8">
      <c r="A525" t="s">
        <v>2159</v>
      </c>
      <c r="B525" t="s">
        <v>487</v>
      </c>
      <c r="C525" s="4">
        <v>45043</v>
      </c>
      <c r="D525" t="s">
        <v>1641</v>
      </c>
      <c r="E525" t="s">
        <v>1605</v>
      </c>
      <c r="F525" s="5">
        <v>19.399999999999999</v>
      </c>
      <c r="G525" t="s">
        <v>1630</v>
      </c>
      <c r="H525">
        <v>4</v>
      </c>
    </row>
    <row r="526" spans="1:8">
      <c r="A526" t="s">
        <v>2160</v>
      </c>
      <c r="B526" t="s">
        <v>272</v>
      </c>
      <c r="C526" s="4">
        <v>45357</v>
      </c>
      <c r="D526" t="s">
        <v>1632</v>
      </c>
      <c r="E526" t="s">
        <v>1629</v>
      </c>
      <c r="F526" s="5">
        <v>0.8</v>
      </c>
      <c r="G526" t="s">
        <v>1626</v>
      </c>
      <c r="H526">
        <v>1</v>
      </c>
    </row>
    <row r="527" spans="1:8">
      <c r="A527" t="s">
        <v>2161</v>
      </c>
      <c r="B527" t="s">
        <v>827</v>
      </c>
      <c r="C527" s="4">
        <v>45026</v>
      </c>
      <c r="D527" t="s">
        <v>1641</v>
      </c>
      <c r="E527" t="s">
        <v>1605</v>
      </c>
      <c r="F527" s="5">
        <v>1</v>
      </c>
      <c r="G527" t="s">
        <v>1630</v>
      </c>
      <c r="H527">
        <v>4</v>
      </c>
    </row>
    <row r="528" spans="1:8">
      <c r="A528" t="s">
        <v>2162</v>
      </c>
      <c r="B528" t="s">
        <v>845</v>
      </c>
      <c r="C528" s="4">
        <v>45882</v>
      </c>
      <c r="D528" t="s">
        <v>1632</v>
      </c>
      <c r="E528" t="s">
        <v>1605</v>
      </c>
      <c r="F528" s="5">
        <v>0.4</v>
      </c>
      <c r="G528" t="s">
        <v>1630</v>
      </c>
      <c r="H528">
        <v>1</v>
      </c>
    </row>
    <row r="529" spans="1:8">
      <c r="A529" t="s">
        <v>2163</v>
      </c>
      <c r="B529" t="s">
        <v>340</v>
      </c>
      <c r="C529" s="4">
        <v>45157</v>
      </c>
      <c r="D529" t="s">
        <v>1625</v>
      </c>
      <c r="E529" t="s">
        <v>1609</v>
      </c>
      <c r="F529" s="5">
        <v>1.1000000000000001</v>
      </c>
      <c r="G529" t="s">
        <v>1630</v>
      </c>
      <c r="H529">
        <v>1</v>
      </c>
    </row>
    <row r="530" spans="1:8">
      <c r="A530" t="s">
        <v>2164</v>
      </c>
      <c r="B530" t="s">
        <v>1141</v>
      </c>
      <c r="C530" s="4">
        <v>44992</v>
      </c>
      <c r="D530" t="s">
        <v>1625</v>
      </c>
      <c r="E530" t="s">
        <v>1633</v>
      </c>
      <c r="F530" s="5">
        <v>8.6999999999999993</v>
      </c>
      <c r="G530" t="s">
        <v>1626</v>
      </c>
      <c r="H530">
        <v>2</v>
      </c>
    </row>
    <row r="531" spans="1:8">
      <c r="A531" t="s">
        <v>2165</v>
      </c>
      <c r="B531" t="s">
        <v>1546</v>
      </c>
      <c r="C531" s="4">
        <v>45436</v>
      </c>
      <c r="D531" t="s">
        <v>1628</v>
      </c>
      <c r="E531" t="s">
        <v>1648</v>
      </c>
      <c r="F531" s="5">
        <v>11</v>
      </c>
      <c r="G531" t="s">
        <v>1630</v>
      </c>
      <c r="H531">
        <v>3</v>
      </c>
    </row>
    <row r="532" spans="1:8">
      <c r="A532" t="s">
        <v>2166</v>
      </c>
      <c r="B532" t="s">
        <v>1071</v>
      </c>
      <c r="C532" s="4">
        <v>45321</v>
      </c>
      <c r="D532" t="s">
        <v>1625</v>
      </c>
      <c r="E532" t="s">
        <v>1633</v>
      </c>
      <c r="F532" s="5">
        <v>1.9</v>
      </c>
      <c r="G532" t="s">
        <v>1630</v>
      </c>
      <c r="H532">
        <v>2</v>
      </c>
    </row>
    <row r="533" spans="1:8">
      <c r="A533" t="s">
        <v>2167</v>
      </c>
      <c r="B533" t="s">
        <v>911</v>
      </c>
      <c r="C533" s="4">
        <v>45544</v>
      </c>
      <c r="D533" t="s">
        <v>1655</v>
      </c>
      <c r="E533" t="s">
        <v>1609</v>
      </c>
      <c r="F533" s="5">
        <v>1.3</v>
      </c>
      <c r="G533" t="s">
        <v>1630</v>
      </c>
      <c r="H533">
        <v>2</v>
      </c>
    </row>
    <row r="534" spans="1:8">
      <c r="A534" t="s">
        <v>2168</v>
      </c>
      <c r="B534" t="s">
        <v>309</v>
      </c>
      <c r="C534" s="4">
        <v>45111</v>
      </c>
      <c r="D534" t="s">
        <v>1625</v>
      </c>
      <c r="E534" t="s">
        <v>1648</v>
      </c>
      <c r="F534" s="5">
        <v>9.1999999999999993</v>
      </c>
      <c r="G534" t="s">
        <v>1630</v>
      </c>
      <c r="H534">
        <v>2</v>
      </c>
    </row>
    <row r="535" spans="1:8">
      <c r="A535" t="s">
        <v>2169</v>
      </c>
      <c r="B535" t="s">
        <v>1536</v>
      </c>
      <c r="C535" s="4">
        <v>45617</v>
      </c>
      <c r="D535" t="s">
        <v>1637</v>
      </c>
      <c r="E535" t="s">
        <v>1648</v>
      </c>
      <c r="F535" s="5">
        <v>8.6999999999999993</v>
      </c>
      <c r="G535" t="s">
        <v>1626</v>
      </c>
      <c r="H535">
        <v>1</v>
      </c>
    </row>
    <row r="536" spans="1:8">
      <c r="A536" t="s">
        <v>2170</v>
      </c>
      <c r="B536" t="s">
        <v>1107</v>
      </c>
      <c r="C536" s="4">
        <v>45514</v>
      </c>
      <c r="D536" t="s">
        <v>1625</v>
      </c>
      <c r="E536" t="s">
        <v>1609</v>
      </c>
      <c r="F536" s="5">
        <v>14.7</v>
      </c>
      <c r="G536" t="s">
        <v>1630</v>
      </c>
      <c r="H536">
        <v>3</v>
      </c>
    </row>
    <row r="537" spans="1:8">
      <c r="A537" t="s">
        <v>2171</v>
      </c>
      <c r="B537" t="s">
        <v>1585</v>
      </c>
      <c r="C537" s="4">
        <v>45643</v>
      </c>
      <c r="D537" t="s">
        <v>1632</v>
      </c>
      <c r="E537" t="s">
        <v>1609</v>
      </c>
      <c r="F537" s="5">
        <v>13.3</v>
      </c>
      <c r="G537" t="s">
        <v>1630</v>
      </c>
      <c r="H537">
        <v>1</v>
      </c>
    </row>
    <row r="538" spans="1:8">
      <c r="A538" t="s">
        <v>2172</v>
      </c>
      <c r="B538" t="s">
        <v>1393</v>
      </c>
      <c r="C538" s="4">
        <v>45366</v>
      </c>
      <c r="D538" t="s">
        <v>1632</v>
      </c>
      <c r="E538" t="s">
        <v>1648</v>
      </c>
      <c r="F538" s="5">
        <v>7.3</v>
      </c>
      <c r="G538" t="s">
        <v>1630</v>
      </c>
      <c r="H538">
        <v>5</v>
      </c>
    </row>
    <row r="539" spans="1:8">
      <c r="A539" t="s">
        <v>2173</v>
      </c>
      <c r="B539" t="s">
        <v>967</v>
      </c>
      <c r="C539" s="4">
        <v>44961</v>
      </c>
      <c r="D539" t="s">
        <v>1655</v>
      </c>
      <c r="E539" t="s">
        <v>1605</v>
      </c>
      <c r="F539" s="5">
        <v>27.8</v>
      </c>
      <c r="G539" t="s">
        <v>1630</v>
      </c>
      <c r="H539">
        <v>3</v>
      </c>
    </row>
    <row r="540" spans="1:8">
      <c r="A540" t="s">
        <v>2174</v>
      </c>
      <c r="B540" t="s">
        <v>484</v>
      </c>
      <c r="C540" s="4">
        <v>45795</v>
      </c>
      <c r="D540" t="s">
        <v>1667</v>
      </c>
      <c r="E540" t="s">
        <v>1648</v>
      </c>
      <c r="F540" s="5">
        <v>3.2</v>
      </c>
      <c r="G540" t="s">
        <v>1630</v>
      </c>
      <c r="H540">
        <v>3</v>
      </c>
    </row>
    <row r="541" spans="1:8">
      <c r="A541" t="s">
        <v>2175</v>
      </c>
      <c r="B541" t="s">
        <v>1337</v>
      </c>
      <c r="C541" s="4">
        <v>45193</v>
      </c>
      <c r="D541" t="s">
        <v>1628</v>
      </c>
      <c r="E541" t="s">
        <v>1609</v>
      </c>
      <c r="F541" s="5">
        <v>2.4</v>
      </c>
      <c r="G541" t="s">
        <v>1630</v>
      </c>
      <c r="H541">
        <v>2</v>
      </c>
    </row>
    <row r="542" spans="1:8">
      <c r="A542" t="s">
        <v>2176</v>
      </c>
      <c r="B542" t="s">
        <v>138</v>
      </c>
      <c r="C542" s="4">
        <v>45215</v>
      </c>
      <c r="D542" t="s">
        <v>1667</v>
      </c>
      <c r="E542" t="s">
        <v>1609</v>
      </c>
      <c r="F542" s="5">
        <v>4.4000000000000004</v>
      </c>
      <c r="G542" t="s">
        <v>1630</v>
      </c>
      <c r="H542">
        <v>2</v>
      </c>
    </row>
    <row r="543" spans="1:8">
      <c r="A543" t="s">
        <v>2177</v>
      </c>
      <c r="B543" t="s">
        <v>944</v>
      </c>
      <c r="C543" s="4">
        <v>45399</v>
      </c>
      <c r="D543" t="s">
        <v>1641</v>
      </c>
      <c r="E543" t="s">
        <v>1633</v>
      </c>
      <c r="F543" s="5">
        <v>0.5</v>
      </c>
      <c r="G543" t="s">
        <v>1630</v>
      </c>
      <c r="H543">
        <v>1</v>
      </c>
    </row>
    <row r="544" spans="1:8">
      <c r="A544" t="s">
        <v>2178</v>
      </c>
      <c r="B544" t="s">
        <v>895</v>
      </c>
      <c r="C544" s="4">
        <v>45101</v>
      </c>
      <c r="D544" t="s">
        <v>1625</v>
      </c>
      <c r="E544" t="s">
        <v>1648</v>
      </c>
      <c r="F544" s="5">
        <v>0.2</v>
      </c>
      <c r="G544" t="s">
        <v>1630</v>
      </c>
      <c r="H544">
        <v>2</v>
      </c>
    </row>
    <row r="545" spans="1:8">
      <c r="A545" t="s">
        <v>2179</v>
      </c>
      <c r="B545" t="s">
        <v>1458</v>
      </c>
      <c r="C545" s="4">
        <v>45503</v>
      </c>
      <c r="D545" t="s">
        <v>1641</v>
      </c>
      <c r="E545" t="s">
        <v>1609</v>
      </c>
      <c r="F545" s="5">
        <v>3.4</v>
      </c>
      <c r="G545" t="s">
        <v>1630</v>
      </c>
      <c r="H545">
        <v>2</v>
      </c>
    </row>
    <row r="546" spans="1:8">
      <c r="A546" t="s">
        <v>2180</v>
      </c>
      <c r="B546" t="s">
        <v>1420</v>
      </c>
      <c r="C546" s="4">
        <v>44942</v>
      </c>
      <c r="D546" t="s">
        <v>1628</v>
      </c>
      <c r="E546" t="s">
        <v>1633</v>
      </c>
      <c r="F546" s="5">
        <v>0.3</v>
      </c>
      <c r="G546" t="s">
        <v>1630</v>
      </c>
      <c r="H546">
        <v>1</v>
      </c>
    </row>
    <row r="547" spans="1:8">
      <c r="A547" t="s">
        <v>2181</v>
      </c>
      <c r="B547" t="s">
        <v>1139</v>
      </c>
      <c r="C547" s="4">
        <v>45670</v>
      </c>
      <c r="D547" t="s">
        <v>1637</v>
      </c>
      <c r="E547" t="s">
        <v>1629</v>
      </c>
      <c r="F547" s="5">
        <v>25.1</v>
      </c>
      <c r="G547" t="s">
        <v>1630</v>
      </c>
      <c r="H547">
        <v>4</v>
      </c>
    </row>
    <row r="548" spans="1:8">
      <c r="A548" t="s">
        <v>2182</v>
      </c>
      <c r="B548" t="s">
        <v>786</v>
      </c>
      <c r="C548" s="4">
        <v>45793</v>
      </c>
      <c r="D548" t="s">
        <v>1637</v>
      </c>
      <c r="E548" t="s">
        <v>1633</v>
      </c>
      <c r="F548" s="5">
        <v>7.8</v>
      </c>
      <c r="G548" t="s">
        <v>1630</v>
      </c>
      <c r="H548">
        <v>5</v>
      </c>
    </row>
    <row r="549" spans="1:8">
      <c r="A549" t="s">
        <v>2183</v>
      </c>
      <c r="B549" t="s">
        <v>1224</v>
      </c>
      <c r="C549" s="4">
        <v>45639</v>
      </c>
      <c r="D549" t="s">
        <v>1625</v>
      </c>
      <c r="E549" t="s">
        <v>1629</v>
      </c>
      <c r="F549" s="5">
        <v>14.8</v>
      </c>
      <c r="G549" t="s">
        <v>1626</v>
      </c>
      <c r="H549">
        <v>2</v>
      </c>
    </row>
    <row r="550" spans="1:8">
      <c r="A550" t="s">
        <v>2184</v>
      </c>
      <c r="B550" t="s">
        <v>946</v>
      </c>
      <c r="C550" s="4">
        <v>45144</v>
      </c>
      <c r="D550" t="s">
        <v>1628</v>
      </c>
      <c r="E550" t="s">
        <v>1633</v>
      </c>
      <c r="F550" s="5">
        <v>5</v>
      </c>
      <c r="G550" t="s">
        <v>1630</v>
      </c>
      <c r="H550">
        <v>1</v>
      </c>
    </row>
    <row r="551" spans="1:8">
      <c r="A551" t="s">
        <v>2185</v>
      </c>
      <c r="B551" t="s">
        <v>1047</v>
      </c>
      <c r="C551" s="4">
        <v>45048</v>
      </c>
      <c r="D551" t="s">
        <v>1655</v>
      </c>
      <c r="E551" t="s">
        <v>1648</v>
      </c>
      <c r="F551" s="5">
        <v>1</v>
      </c>
      <c r="G551" t="s">
        <v>1630</v>
      </c>
      <c r="H551">
        <v>4</v>
      </c>
    </row>
    <row r="552" spans="1:8">
      <c r="A552" t="s">
        <v>2186</v>
      </c>
      <c r="B552" t="s">
        <v>1045</v>
      </c>
      <c r="C552" s="4">
        <v>45397</v>
      </c>
      <c r="D552" t="s">
        <v>1628</v>
      </c>
      <c r="E552" t="s">
        <v>1629</v>
      </c>
      <c r="F552" s="5">
        <v>2.6</v>
      </c>
      <c r="G552" t="s">
        <v>1626</v>
      </c>
      <c r="H552">
        <v>2</v>
      </c>
    </row>
    <row r="553" spans="1:8">
      <c r="A553" t="s">
        <v>2187</v>
      </c>
      <c r="B553" t="s">
        <v>428</v>
      </c>
      <c r="C553" s="4">
        <v>45794</v>
      </c>
      <c r="D553" t="s">
        <v>1641</v>
      </c>
      <c r="E553" t="s">
        <v>1648</v>
      </c>
      <c r="F553" s="5">
        <v>0.2</v>
      </c>
      <c r="G553" t="s">
        <v>1630</v>
      </c>
      <c r="H553">
        <v>3</v>
      </c>
    </row>
    <row r="554" spans="1:8">
      <c r="A554" t="s">
        <v>2188</v>
      </c>
      <c r="B554" t="s">
        <v>901</v>
      </c>
      <c r="C554" s="4">
        <v>45146</v>
      </c>
      <c r="D554" t="s">
        <v>1628</v>
      </c>
      <c r="E554" t="s">
        <v>1609</v>
      </c>
      <c r="F554" s="5">
        <v>16.2</v>
      </c>
      <c r="G554" t="s">
        <v>1630</v>
      </c>
      <c r="H554">
        <v>3</v>
      </c>
    </row>
    <row r="555" spans="1:8">
      <c r="A555" t="s">
        <v>2189</v>
      </c>
      <c r="B555" t="s">
        <v>1258</v>
      </c>
      <c r="C555" s="4">
        <v>45051</v>
      </c>
      <c r="D555" t="s">
        <v>1641</v>
      </c>
      <c r="E555" t="s">
        <v>1605</v>
      </c>
      <c r="F555" s="5">
        <v>5.7</v>
      </c>
      <c r="G555" t="s">
        <v>1630</v>
      </c>
      <c r="H555">
        <v>1</v>
      </c>
    </row>
    <row r="556" spans="1:8">
      <c r="A556" t="s">
        <v>2190</v>
      </c>
      <c r="B556" t="s">
        <v>585</v>
      </c>
      <c r="C556" s="4">
        <v>45037</v>
      </c>
      <c r="D556" t="s">
        <v>1641</v>
      </c>
      <c r="E556" t="s">
        <v>1605</v>
      </c>
      <c r="F556" s="5">
        <v>3.2</v>
      </c>
      <c r="G556" t="s">
        <v>1626</v>
      </c>
      <c r="H556">
        <v>2</v>
      </c>
    </row>
    <row r="557" spans="1:8">
      <c r="A557" t="s">
        <v>2191</v>
      </c>
      <c r="B557" t="s">
        <v>772</v>
      </c>
      <c r="C557" s="4">
        <v>46013</v>
      </c>
      <c r="D557" t="s">
        <v>1667</v>
      </c>
      <c r="E557" t="s">
        <v>1629</v>
      </c>
      <c r="F557" s="5">
        <v>2.9</v>
      </c>
      <c r="G557" t="s">
        <v>1630</v>
      </c>
      <c r="H557">
        <v>2</v>
      </c>
    </row>
    <row r="558" spans="1:8">
      <c r="A558" t="s">
        <v>2192</v>
      </c>
      <c r="B558" t="s">
        <v>336</v>
      </c>
      <c r="C558" s="4">
        <v>45329</v>
      </c>
      <c r="D558" t="s">
        <v>1628</v>
      </c>
      <c r="E558" t="s">
        <v>1648</v>
      </c>
      <c r="F558" s="5">
        <v>4.5999999999999996</v>
      </c>
      <c r="G558" t="s">
        <v>1630</v>
      </c>
      <c r="H558">
        <v>5</v>
      </c>
    </row>
    <row r="559" spans="1:8">
      <c r="A559" t="s">
        <v>2193</v>
      </c>
      <c r="B559" t="s">
        <v>1222</v>
      </c>
      <c r="C559" s="4">
        <v>45654</v>
      </c>
      <c r="D559" t="s">
        <v>1625</v>
      </c>
      <c r="E559" t="s">
        <v>1629</v>
      </c>
      <c r="F559" s="5">
        <v>7.3</v>
      </c>
      <c r="G559" t="s">
        <v>1630</v>
      </c>
      <c r="H559">
        <v>2</v>
      </c>
    </row>
    <row r="560" spans="1:8">
      <c r="A560" t="s">
        <v>2194</v>
      </c>
      <c r="B560" t="s">
        <v>349</v>
      </c>
      <c r="C560" s="4">
        <v>46076</v>
      </c>
      <c r="D560" t="s">
        <v>1628</v>
      </c>
      <c r="E560" t="s">
        <v>1605</v>
      </c>
      <c r="F560" s="5">
        <v>66.599999999999994</v>
      </c>
      <c r="G560" t="s">
        <v>1630</v>
      </c>
      <c r="H560">
        <v>2</v>
      </c>
    </row>
    <row r="561" spans="1:8">
      <c r="A561" t="s">
        <v>2195</v>
      </c>
      <c r="B561" t="s">
        <v>1126</v>
      </c>
      <c r="C561" s="4">
        <v>45751</v>
      </c>
      <c r="D561" t="s">
        <v>1628</v>
      </c>
      <c r="E561" t="s">
        <v>1629</v>
      </c>
      <c r="F561" s="5">
        <v>20.399999999999999</v>
      </c>
      <c r="G561" t="s">
        <v>1626</v>
      </c>
      <c r="H561">
        <v>2</v>
      </c>
    </row>
    <row r="562" spans="1:8">
      <c r="A562" t="s">
        <v>2196</v>
      </c>
      <c r="B562" t="s">
        <v>886</v>
      </c>
      <c r="C562" s="4">
        <v>45231</v>
      </c>
      <c r="D562" t="s">
        <v>1628</v>
      </c>
      <c r="E562" t="s">
        <v>1648</v>
      </c>
      <c r="F562" s="5">
        <v>0.5</v>
      </c>
      <c r="G562" t="s">
        <v>1630</v>
      </c>
      <c r="H562">
        <v>2</v>
      </c>
    </row>
    <row r="563" spans="1:8">
      <c r="A563" t="s">
        <v>2197</v>
      </c>
      <c r="B563" t="s">
        <v>1252</v>
      </c>
      <c r="C563" s="4">
        <v>45899</v>
      </c>
      <c r="D563" t="s">
        <v>1628</v>
      </c>
      <c r="E563" t="s">
        <v>1609</v>
      </c>
      <c r="F563" s="5">
        <v>31.2</v>
      </c>
      <c r="G563" t="s">
        <v>1630</v>
      </c>
      <c r="H563">
        <v>4</v>
      </c>
    </row>
    <row r="564" spans="1:8">
      <c r="A564" t="s">
        <v>2198</v>
      </c>
      <c r="B564" t="s">
        <v>309</v>
      </c>
      <c r="C564" s="4">
        <v>45563</v>
      </c>
      <c r="D564" t="s">
        <v>1667</v>
      </c>
      <c r="E564" t="s">
        <v>1648</v>
      </c>
      <c r="F564" s="5">
        <v>0.2</v>
      </c>
      <c r="G564" t="s">
        <v>1630</v>
      </c>
      <c r="H564">
        <v>1</v>
      </c>
    </row>
    <row r="565" spans="1:8">
      <c r="A565" t="s">
        <v>2199</v>
      </c>
      <c r="B565" t="s">
        <v>204</v>
      </c>
      <c r="C565" s="4">
        <v>45842</v>
      </c>
      <c r="D565" t="s">
        <v>1641</v>
      </c>
      <c r="E565" t="s">
        <v>1629</v>
      </c>
      <c r="F565" s="5">
        <v>1.1000000000000001</v>
      </c>
      <c r="G565" t="s">
        <v>1630</v>
      </c>
      <c r="H565">
        <v>1</v>
      </c>
    </row>
    <row r="566" spans="1:8">
      <c r="A566" t="s">
        <v>2200</v>
      </c>
      <c r="B566" t="s">
        <v>1321</v>
      </c>
      <c r="C566" s="4">
        <v>45464</v>
      </c>
      <c r="D566" t="s">
        <v>1641</v>
      </c>
      <c r="E566" t="s">
        <v>1648</v>
      </c>
      <c r="F566" s="5">
        <v>11.7</v>
      </c>
      <c r="G566" t="s">
        <v>1630</v>
      </c>
      <c r="H566">
        <v>5</v>
      </c>
    </row>
    <row r="567" spans="1:8">
      <c r="A567" t="s">
        <v>2201</v>
      </c>
      <c r="B567" t="s">
        <v>1332</v>
      </c>
      <c r="C567" s="4">
        <v>45479</v>
      </c>
      <c r="D567" t="s">
        <v>1641</v>
      </c>
      <c r="E567" t="s">
        <v>1633</v>
      </c>
      <c r="F567" s="5">
        <v>2.2999999999999998</v>
      </c>
      <c r="G567" t="s">
        <v>1626</v>
      </c>
      <c r="H567">
        <v>1</v>
      </c>
    </row>
    <row r="568" spans="1:8">
      <c r="A568" t="s">
        <v>2202</v>
      </c>
      <c r="B568" t="s">
        <v>705</v>
      </c>
      <c r="C568" s="4">
        <v>45279</v>
      </c>
      <c r="D568" t="s">
        <v>1628</v>
      </c>
      <c r="E568" t="s">
        <v>1648</v>
      </c>
      <c r="F568" s="5">
        <v>7.5</v>
      </c>
      <c r="G568" t="s">
        <v>1630</v>
      </c>
      <c r="H568">
        <v>5</v>
      </c>
    </row>
    <row r="569" spans="1:8">
      <c r="A569" t="s">
        <v>2203</v>
      </c>
      <c r="B569" t="s">
        <v>671</v>
      </c>
      <c r="C569" s="4">
        <v>46151</v>
      </c>
      <c r="D569" t="s">
        <v>1655</v>
      </c>
      <c r="E569" t="s">
        <v>1629</v>
      </c>
      <c r="F569" s="5">
        <v>12.2</v>
      </c>
      <c r="G569" t="s">
        <v>1630</v>
      </c>
      <c r="H569">
        <v>4</v>
      </c>
    </row>
    <row r="570" spans="1:8">
      <c r="A570" t="s">
        <v>2204</v>
      </c>
      <c r="B570" t="s">
        <v>1170</v>
      </c>
      <c r="C570" s="4">
        <v>45385</v>
      </c>
      <c r="D570" t="s">
        <v>1632</v>
      </c>
      <c r="E570" t="s">
        <v>1605</v>
      </c>
      <c r="F570" s="5">
        <v>5</v>
      </c>
      <c r="G570" t="s">
        <v>1630</v>
      </c>
      <c r="H570">
        <v>1</v>
      </c>
    </row>
    <row r="571" spans="1:8">
      <c r="A571" t="s">
        <v>2205</v>
      </c>
      <c r="B571" t="s">
        <v>1403</v>
      </c>
      <c r="C571" s="4">
        <v>45776</v>
      </c>
      <c r="D571" t="s">
        <v>1625</v>
      </c>
      <c r="E571" t="s">
        <v>1648</v>
      </c>
      <c r="F571" s="5">
        <v>11.1</v>
      </c>
      <c r="G571" t="s">
        <v>1630</v>
      </c>
      <c r="H571">
        <v>4</v>
      </c>
    </row>
    <row r="572" spans="1:8">
      <c r="A572" t="s">
        <v>2206</v>
      </c>
      <c r="B572" t="s">
        <v>1571</v>
      </c>
      <c r="C572" s="4">
        <v>45130</v>
      </c>
      <c r="D572" t="s">
        <v>1628</v>
      </c>
      <c r="E572" t="s">
        <v>1629</v>
      </c>
      <c r="F572" s="5">
        <v>2.7</v>
      </c>
      <c r="G572" t="s">
        <v>1630</v>
      </c>
      <c r="H572">
        <v>4</v>
      </c>
    </row>
    <row r="573" spans="1:8">
      <c r="A573" t="s">
        <v>2207</v>
      </c>
      <c r="B573" t="s">
        <v>1070</v>
      </c>
      <c r="C573" s="4">
        <v>45472</v>
      </c>
      <c r="D573" t="s">
        <v>1628</v>
      </c>
      <c r="E573" t="s">
        <v>1605</v>
      </c>
      <c r="F573" s="5">
        <v>11.5</v>
      </c>
      <c r="G573" t="s">
        <v>1630</v>
      </c>
      <c r="H573">
        <v>2</v>
      </c>
    </row>
    <row r="574" spans="1:8">
      <c r="A574" t="s">
        <v>2208</v>
      </c>
      <c r="B574" t="s">
        <v>1304</v>
      </c>
      <c r="C574" s="4">
        <v>45982</v>
      </c>
      <c r="D574" t="s">
        <v>1632</v>
      </c>
      <c r="E574" t="s">
        <v>1648</v>
      </c>
      <c r="F574" s="5">
        <v>2.7</v>
      </c>
      <c r="G574" t="s">
        <v>1630</v>
      </c>
      <c r="H574">
        <v>1</v>
      </c>
    </row>
    <row r="575" spans="1:8">
      <c r="A575" t="s">
        <v>2209</v>
      </c>
      <c r="B575" t="s">
        <v>1133</v>
      </c>
      <c r="C575" s="4">
        <v>45840</v>
      </c>
      <c r="D575" t="s">
        <v>1655</v>
      </c>
      <c r="E575" t="s">
        <v>1609</v>
      </c>
      <c r="F575" s="5">
        <v>9.9</v>
      </c>
      <c r="G575" t="s">
        <v>1626</v>
      </c>
      <c r="H575">
        <v>1</v>
      </c>
    </row>
    <row r="576" spans="1:8">
      <c r="A576" t="s">
        <v>2210</v>
      </c>
      <c r="B576" t="s">
        <v>1487</v>
      </c>
      <c r="C576" s="4">
        <v>45809</v>
      </c>
      <c r="D576" t="s">
        <v>1655</v>
      </c>
      <c r="E576" t="s">
        <v>1605</v>
      </c>
      <c r="F576" s="5">
        <v>0.2</v>
      </c>
      <c r="G576" t="s">
        <v>1630</v>
      </c>
      <c r="H576">
        <v>5</v>
      </c>
    </row>
    <row r="577" spans="1:8">
      <c r="A577" t="s">
        <v>2211</v>
      </c>
      <c r="B577" t="s">
        <v>918</v>
      </c>
      <c r="C577" s="4">
        <v>46034</v>
      </c>
      <c r="D577" t="s">
        <v>1655</v>
      </c>
      <c r="E577" t="s">
        <v>1609</v>
      </c>
      <c r="F577" s="5">
        <v>0.7</v>
      </c>
      <c r="G577" t="s">
        <v>1630</v>
      </c>
      <c r="H577">
        <v>2</v>
      </c>
    </row>
    <row r="578" spans="1:8">
      <c r="A578" t="s">
        <v>2212</v>
      </c>
      <c r="B578" t="s">
        <v>1200</v>
      </c>
      <c r="C578" s="4">
        <v>44983</v>
      </c>
      <c r="D578" t="s">
        <v>1641</v>
      </c>
      <c r="E578" t="s">
        <v>1633</v>
      </c>
      <c r="F578" s="5">
        <v>0.8</v>
      </c>
      <c r="G578" t="s">
        <v>1626</v>
      </c>
      <c r="H578">
        <v>3</v>
      </c>
    </row>
    <row r="579" spans="1:8">
      <c r="A579" t="s">
        <v>2213</v>
      </c>
      <c r="B579" t="s">
        <v>1559</v>
      </c>
      <c r="C579" s="4">
        <v>45098</v>
      </c>
      <c r="D579" t="s">
        <v>1628</v>
      </c>
      <c r="E579" t="s">
        <v>1648</v>
      </c>
      <c r="F579" s="5">
        <v>6.8</v>
      </c>
      <c r="G579" t="s">
        <v>1630</v>
      </c>
      <c r="H579">
        <v>5</v>
      </c>
    </row>
    <row r="580" spans="1:8">
      <c r="A580" t="s">
        <v>2214</v>
      </c>
      <c r="B580" t="s">
        <v>903</v>
      </c>
      <c r="C580" s="4">
        <v>45227</v>
      </c>
      <c r="D580" t="s">
        <v>1637</v>
      </c>
      <c r="E580" t="s">
        <v>1609</v>
      </c>
      <c r="F580" s="5">
        <v>29.8</v>
      </c>
      <c r="G580" t="s">
        <v>1626</v>
      </c>
      <c r="H580">
        <v>3</v>
      </c>
    </row>
    <row r="581" spans="1:8">
      <c r="A581" t="s">
        <v>2215</v>
      </c>
      <c r="B581" t="s">
        <v>1430</v>
      </c>
      <c r="C581" s="4">
        <v>46027</v>
      </c>
      <c r="D581" t="s">
        <v>1641</v>
      </c>
      <c r="E581" t="s">
        <v>1648</v>
      </c>
      <c r="F581" s="5">
        <v>26.7</v>
      </c>
      <c r="G581" t="s">
        <v>1626</v>
      </c>
      <c r="H581">
        <v>3</v>
      </c>
    </row>
    <row r="582" spans="1:8">
      <c r="A582" t="s">
        <v>2216</v>
      </c>
      <c r="B582" t="s">
        <v>154</v>
      </c>
      <c r="C582" s="4">
        <v>45071</v>
      </c>
      <c r="D582" t="s">
        <v>1667</v>
      </c>
      <c r="E582" t="s">
        <v>1629</v>
      </c>
      <c r="F582" s="5">
        <v>18</v>
      </c>
      <c r="G582" t="s">
        <v>1630</v>
      </c>
      <c r="H582">
        <v>2</v>
      </c>
    </row>
    <row r="583" spans="1:8">
      <c r="A583" t="s">
        <v>2217</v>
      </c>
      <c r="B583" t="s">
        <v>426</v>
      </c>
      <c r="C583" s="4">
        <v>45173</v>
      </c>
      <c r="D583" t="s">
        <v>1625</v>
      </c>
      <c r="E583" t="s">
        <v>1633</v>
      </c>
      <c r="F583" s="5">
        <v>5.9</v>
      </c>
      <c r="G583" t="s">
        <v>1630</v>
      </c>
      <c r="H583">
        <v>2</v>
      </c>
    </row>
    <row r="584" spans="1:8">
      <c r="A584" t="s">
        <v>2218</v>
      </c>
      <c r="B584" t="s">
        <v>1070</v>
      </c>
      <c r="C584" s="4">
        <v>45828</v>
      </c>
      <c r="D584" t="s">
        <v>1667</v>
      </c>
      <c r="E584" t="s">
        <v>1633</v>
      </c>
      <c r="F584" s="5">
        <v>4.5999999999999996</v>
      </c>
      <c r="G584" t="s">
        <v>1630</v>
      </c>
      <c r="H584">
        <v>2</v>
      </c>
    </row>
    <row r="585" spans="1:8">
      <c r="A585" t="s">
        <v>2219</v>
      </c>
      <c r="B585" t="s">
        <v>231</v>
      </c>
      <c r="C585" s="4">
        <v>44979</v>
      </c>
      <c r="D585" t="s">
        <v>1628</v>
      </c>
      <c r="E585" t="s">
        <v>1609</v>
      </c>
      <c r="F585" s="5">
        <v>4.3</v>
      </c>
      <c r="G585" t="s">
        <v>1630</v>
      </c>
      <c r="H585">
        <v>1</v>
      </c>
    </row>
    <row r="586" spans="1:8">
      <c r="A586" t="s">
        <v>2220</v>
      </c>
      <c r="B586" t="s">
        <v>1421</v>
      </c>
      <c r="C586" s="4">
        <v>45295</v>
      </c>
      <c r="D586" t="s">
        <v>1655</v>
      </c>
      <c r="E586" t="s">
        <v>1629</v>
      </c>
      <c r="F586" s="5">
        <v>6.6</v>
      </c>
      <c r="G586" t="s">
        <v>1630</v>
      </c>
      <c r="H586">
        <v>4</v>
      </c>
    </row>
    <row r="587" spans="1:8">
      <c r="A587" t="s">
        <v>2221</v>
      </c>
      <c r="B587" t="s">
        <v>290</v>
      </c>
      <c r="C587" s="4">
        <v>45099</v>
      </c>
      <c r="D587" t="s">
        <v>1667</v>
      </c>
      <c r="E587" t="s">
        <v>1648</v>
      </c>
      <c r="F587" s="5">
        <v>17.7</v>
      </c>
      <c r="G587" t="s">
        <v>1630</v>
      </c>
      <c r="H587">
        <v>5</v>
      </c>
    </row>
    <row r="588" spans="1:8">
      <c r="A588" t="s">
        <v>2222</v>
      </c>
      <c r="B588" t="s">
        <v>626</v>
      </c>
      <c r="C588" s="4">
        <v>45265</v>
      </c>
      <c r="D588" t="s">
        <v>1641</v>
      </c>
      <c r="E588" t="s">
        <v>1629</v>
      </c>
      <c r="F588" s="5">
        <v>6.6</v>
      </c>
      <c r="G588" t="s">
        <v>1630</v>
      </c>
      <c r="H588">
        <v>4</v>
      </c>
    </row>
    <row r="589" spans="1:8">
      <c r="A589" t="s">
        <v>2223</v>
      </c>
      <c r="B589" t="s">
        <v>1289</v>
      </c>
      <c r="C589" s="4">
        <v>45730</v>
      </c>
      <c r="D589" t="s">
        <v>1641</v>
      </c>
      <c r="E589" t="s">
        <v>1629</v>
      </c>
      <c r="F589" s="5">
        <v>8.6999999999999993</v>
      </c>
      <c r="G589" t="s">
        <v>1630</v>
      </c>
      <c r="H589">
        <v>1</v>
      </c>
    </row>
    <row r="590" spans="1:8">
      <c r="A590" t="s">
        <v>2224</v>
      </c>
      <c r="B590" t="s">
        <v>1096</v>
      </c>
      <c r="C590" s="4">
        <v>45653</v>
      </c>
      <c r="D590" t="s">
        <v>1628</v>
      </c>
      <c r="E590" t="s">
        <v>1609</v>
      </c>
      <c r="F590" s="5">
        <v>2.4</v>
      </c>
      <c r="G590" t="s">
        <v>1630</v>
      </c>
      <c r="H590">
        <v>5</v>
      </c>
    </row>
    <row r="591" spans="1:8">
      <c r="A591" t="s">
        <v>2225</v>
      </c>
      <c r="B591" t="s">
        <v>864</v>
      </c>
      <c r="C591" s="4">
        <v>45157</v>
      </c>
      <c r="D591" t="s">
        <v>1625</v>
      </c>
      <c r="E591" t="s">
        <v>1609</v>
      </c>
      <c r="F591" s="5">
        <v>5.5</v>
      </c>
      <c r="G591" t="s">
        <v>1630</v>
      </c>
      <c r="H591">
        <v>2</v>
      </c>
    </row>
    <row r="592" spans="1:8">
      <c r="A592" t="s">
        <v>2226</v>
      </c>
      <c r="B592" t="s">
        <v>456</v>
      </c>
      <c r="C592" s="4">
        <v>45925</v>
      </c>
      <c r="D592" t="s">
        <v>1625</v>
      </c>
      <c r="E592" t="s">
        <v>1648</v>
      </c>
      <c r="F592" s="5">
        <v>6.5</v>
      </c>
      <c r="G592" t="s">
        <v>1630</v>
      </c>
      <c r="H592">
        <v>4</v>
      </c>
    </row>
    <row r="593" spans="1:8">
      <c r="A593" t="s">
        <v>2227</v>
      </c>
      <c r="B593" t="s">
        <v>764</v>
      </c>
      <c r="C593" s="4">
        <v>45146</v>
      </c>
      <c r="D593" t="s">
        <v>1655</v>
      </c>
      <c r="E593" t="s">
        <v>1629</v>
      </c>
      <c r="F593" s="5">
        <v>7</v>
      </c>
      <c r="G593" t="s">
        <v>1626</v>
      </c>
      <c r="H593">
        <v>3</v>
      </c>
    </row>
    <row r="594" spans="1:8">
      <c r="A594" t="s">
        <v>2228</v>
      </c>
      <c r="B594" t="s">
        <v>1215</v>
      </c>
      <c r="C594" s="4">
        <v>45742</v>
      </c>
      <c r="D594" t="s">
        <v>1628</v>
      </c>
      <c r="E594" t="s">
        <v>1609</v>
      </c>
      <c r="F594" s="5">
        <v>17.3</v>
      </c>
      <c r="G594" t="s">
        <v>1626</v>
      </c>
      <c r="H594">
        <v>3</v>
      </c>
    </row>
    <row r="595" spans="1:8">
      <c r="A595" t="s">
        <v>2229</v>
      </c>
      <c r="B595" t="s">
        <v>1171</v>
      </c>
      <c r="C595" s="4">
        <v>45506</v>
      </c>
      <c r="D595" t="s">
        <v>1655</v>
      </c>
      <c r="E595" t="s">
        <v>1629</v>
      </c>
      <c r="F595" s="5">
        <v>3.9</v>
      </c>
      <c r="G595" t="s">
        <v>1630</v>
      </c>
      <c r="H595">
        <v>3</v>
      </c>
    </row>
    <row r="596" spans="1:8">
      <c r="A596" t="s">
        <v>2230</v>
      </c>
      <c r="B596" t="s">
        <v>1551</v>
      </c>
      <c r="C596" s="4">
        <v>45806</v>
      </c>
      <c r="D596" t="s">
        <v>1628</v>
      </c>
      <c r="E596" t="s">
        <v>1629</v>
      </c>
      <c r="F596" s="5">
        <v>5.7</v>
      </c>
      <c r="G596" t="s">
        <v>1630</v>
      </c>
      <c r="H596">
        <v>4</v>
      </c>
    </row>
    <row r="597" spans="1:8">
      <c r="A597" t="s">
        <v>2231</v>
      </c>
      <c r="B597" t="s">
        <v>92</v>
      </c>
      <c r="C597" s="4">
        <v>45240</v>
      </c>
      <c r="D597" t="s">
        <v>1641</v>
      </c>
      <c r="E597" t="s">
        <v>1609</v>
      </c>
      <c r="F597" s="5">
        <v>3.9</v>
      </c>
      <c r="G597" t="s">
        <v>1630</v>
      </c>
      <c r="H597">
        <v>3</v>
      </c>
    </row>
    <row r="598" spans="1:8">
      <c r="A598" t="s">
        <v>2232</v>
      </c>
      <c r="B598" t="s">
        <v>1083</v>
      </c>
      <c r="C598" s="4">
        <v>45424</v>
      </c>
      <c r="D598" t="s">
        <v>1655</v>
      </c>
      <c r="E598" t="s">
        <v>1629</v>
      </c>
      <c r="F598" s="5">
        <v>2.6</v>
      </c>
      <c r="G598" t="s">
        <v>1630</v>
      </c>
      <c r="H598">
        <v>1</v>
      </c>
    </row>
    <row r="599" spans="1:8">
      <c r="A599" t="s">
        <v>2233</v>
      </c>
      <c r="B599" t="s">
        <v>976</v>
      </c>
      <c r="C599" s="4">
        <v>46102</v>
      </c>
      <c r="D599" t="s">
        <v>1667</v>
      </c>
      <c r="E599" t="s">
        <v>1605</v>
      </c>
      <c r="F599" s="5">
        <v>2.5</v>
      </c>
      <c r="G599" t="s">
        <v>1630</v>
      </c>
      <c r="H599">
        <v>5</v>
      </c>
    </row>
    <row r="600" spans="1:8">
      <c r="A600" t="s">
        <v>2234</v>
      </c>
      <c r="B600" t="s">
        <v>551</v>
      </c>
      <c r="C600" s="4">
        <v>45011</v>
      </c>
      <c r="D600" t="s">
        <v>1637</v>
      </c>
      <c r="E600" t="s">
        <v>1605</v>
      </c>
      <c r="F600" s="5">
        <v>33.6</v>
      </c>
      <c r="G600" t="s">
        <v>1630</v>
      </c>
      <c r="H600">
        <v>2</v>
      </c>
    </row>
    <row r="601" spans="1:8">
      <c r="A601" t="s">
        <v>2235</v>
      </c>
      <c r="B601" t="s">
        <v>1327</v>
      </c>
      <c r="C601" s="4">
        <v>46006</v>
      </c>
      <c r="D601" t="s">
        <v>1625</v>
      </c>
      <c r="E601" t="s">
        <v>1648</v>
      </c>
      <c r="F601" s="5">
        <v>0.6</v>
      </c>
      <c r="G601" t="s">
        <v>1630</v>
      </c>
      <c r="H601">
        <v>1</v>
      </c>
    </row>
    <row r="602" spans="1:8">
      <c r="A602" t="s">
        <v>2236</v>
      </c>
      <c r="B602" t="s">
        <v>285</v>
      </c>
      <c r="C602" s="4">
        <v>45541</v>
      </c>
      <c r="D602" t="s">
        <v>1628</v>
      </c>
      <c r="E602" t="s">
        <v>1609</v>
      </c>
      <c r="F602" s="5">
        <v>7.1</v>
      </c>
      <c r="G602" t="s">
        <v>1630</v>
      </c>
      <c r="H602">
        <v>2</v>
      </c>
    </row>
    <row r="603" spans="1:8">
      <c r="A603" t="s">
        <v>2237</v>
      </c>
      <c r="B603" t="s">
        <v>769</v>
      </c>
      <c r="C603" s="4">
        <v>46155</v>
      </c>
      <c r="D603" t="s">
        <v>1632</v>
      </c>
      <c r="E603" t="s">
        <v>1605</v>
      </c>
      <c r="F603" s="5">
        <v>52.5</v>
      </c>
      <c r="G603" t="s">
        <v>1626</v>
      </c>
      <c r="H603">
        <v>3</v>
      </c>
    </row>
    <row r="604" spans="1:8">
      <c r="A604" t="s">
        <v>2238</v>
      </c>
      <c r="B604" t="s">
        <v>842</v>
      </c>
      <c r="C604" s="4">
        <v>45148</v>
      </c>
      <c r="D604" t="s">
        <v>1628</v>
      </c>
      <c r="E604" t="s">
        <v>1629</v>
      </c>
      <c r="F604" s="5">
        <v>10.199999999999999</v>
      </c>
      <c r="G604" t="s">
        <v>1626</v>
      </c>
      <c r="H604">
        <v>2</v>
      </c>
    </row>
    <row r="605" spans="1:8">
      <c r="A605" t="s">
        <v>2239</v>
      </c>
      <c r="B605" t="s">
        <v>476</v>
      </c>
      <c r="C605" s="4">
        <v>45436</v>
      </c>
      <c r="D605" t="s">
        <v>1628</v>
      </c>
      <c r="E605" t="s">
        <v>1633</v>
      </c>
      <c r="F605" s="5">
        <v>3.1</v>
      </c>
      <c r="G605" t="s">
        <v>1630</v>
      </c>
      <c r="H605">
        <v>4</v>
      </c>
    </row>
    <row r="606" spans="1:8">
      <c r="A606" t="s">
        <v>2240</v>
      </c>
      <c r="B606" t="s">
        <v>729</v>
      </c>
      <c r="C606" s="4">
        <v>44971</v>
      </c>
      <c r="D606" t="s">
        <v>1637</v>
      </c>
      <c r="E606" t="s">
        <v>1633</v>
      </c>
      <c r="F606" s="5">
        <v>19</v>
      </c>
      <c r="G606" t="s">
        <v>1630</v>
      </c>
      <c r="H606">
        <v>3</v>
      </c>
    </row>
    <row r="607" spans="1:8">
      <c r="A607" t="s">
        <v>2241</v>
      </c>
      <c r="B607" t="s">
        <v>966</v>
      </c>
      <c r="C607" s="4">
        <v>45223</v>
      </c>
      <c r="D607" t="s">
        <v>1628</v>
      </c>
      <c r="E607" t="s">
        <v>1648</v>
      </c>
      <c r="F607" s="5">
        <v>0.8</v>
      </c>
      <c r="G607" t="s">
        <v>1630</v>
      </c>
      <c r="H607">
        <v>1</v>
      </c>
    </row>
    <row r="608" spans="1:8">
      <c r="A608" t="s">
        <v>2242</v>
      </c>
      <c r="B608" t="s">
        <v>1473</v>
      </c>
      <c r="C608" s="4">
        <v>45322</v>
      </c>
      <c r="D608" t="s">
        <v>1632</v>
      </c>
      <c r="E608" t="s">
        <v>1633</v>
      </c>
      <c r="F608" s="5">
        <v>0.2</v>
      </c>
      <c r="G608" t="s">
        <v>1630</v>
      </c>
      <c r="H608">
        <v>4</v>
      </c>
    </row>
    <row r="609" spans="1:8">
      <c r="A609" t="s">
        <v>2243</v>
      </c>
      <c r="B609" t="s">
        <v>1440</v>
      </c>
      <c r="C609" s="4">
        <v>45056</v>
      </c>
      <c r="D609" t="s">
        <v>1641</v>
      </c>
      <c r="E609" t="s">
        <v>1629</v>
      </c>
      <c r="F609" s="5">
        <v>18.2</v>
      </c>
      <c r="G609" t="s">
        <v>1626</v>
      </c>
      <c r="H609">
        <v>1</v>
      </c>
    </row>
    <row r="610" spans="1:8">
      <c r="A610" t="s">
        <v>2244</v>
      </c>
      <c r="B610" t="s">
        <v>1351</v>
      </c>
      <c r="C610" s="4">
        <v>45983</v>
      </c>
      <c r="D610" t="s">
        <v>1628</v>
      </c>
      <c r="E610" t="s">
        <v>1633</v>
      </c>
      <c r="F610" s="5">
        <v>7.2</v>
      </c>
      <c r="G610" t="s">
        <v>1630</v>
      </c>
      <c r="H610">
        <v>5</v>
      </c>
    </row>
    <row r="611" spans="1:8">
      <c r="A611" t="s">
        <v>2245</v>
      </c>
      <c r="B611" t="s">
        <v>1159</v>
      </c>
      <c r="C611" s="4">
        <v>45012</v>
      </c>
      <c r="D611" t="s">
        <v>1641</v>
      </c>
      <c r="E611" t="s">
        <v>1609</v>
      </c>
      <c r="F611" s="5">
        <v>16.100000000000001</v>
      </c>
      <c r="G611" t="s">
        <v>1630</v>
      </c>
      <c r="H611">
        <v>5</v>
      </c>
    </row>
    <row r="612" spans="1:8">
      <c r="A612" t="s">
        <v>2246</v>
      </c>
      <c r="B612" t="s">
        <v>395</v>
      </c>
      <c r="C612" s="4">
        <v>45125</v>
      </c>
      <c r="D612" t="s">
        <v>1628</v>
      </c>
      <c r="E612" t="s">
        <v>1629</v>
      </c>
      <c r="F612" s="5">
        <v>2.5</v>
      </c>
      <c r="G612" t="s">
        <v>1630</v>
      </c>
      <c r="H612">
        <v>1</v>
      </c>
    </row>
    <row r="613" spans="1:8">
      <c r="A613" t="s">
        <v>2247</v>
      </c>
      <c r="B613" t="s">
        <v>1372</v>
      </c>
      <c r="C613" s="4">
        <v>45390</v>
      </c>
      <c r="D613" t="s">
        <v>1655</v>
      </c>
      <c r="E613" t="s">
        <v>1648</v>
      </c>
      <c r="F613" s="5">
        <v>1.6</v>
      </c>
      <c r="G613" t="s">
        <v>1630</v>
      </c>
      <c r="H613">
        <v>4</v>
      </c>
    </row>
    <row r="614" spans="1:8">
      <c r="A614" t="s">
        <v>2248</v>
      </c>
      <c r="B614" t="s">
        <v>1562</v>
      </c>
      <c r="C614" s="4">
        <v>45469</v>
      </c>
      <c r="D614" t="s">
        <v>1641</v>
      </c>
      <c r="E614" t="s">
        <v>1648</v>
      </c>
      <c r="F614" s="5">
        <v>8.6999999999999993</v>
      </c>
      <c r="G614" t="s">
        <v>1630</v>
      </c>
      <c r="H614">
        <v>2</v>
      </c>
    </row>
    <row r="615" spans="1:8">
      <c r="A615" t="s">
        <v>2249</v>
      </c>
      <c r="B615" t="s">
        <v>1250</v>
      </c>
      <c r="C615" s="4">
        <v>46118</v>
      </c>
      <c r="D615" t="s">
        <v>1625</v>
      </c>
      <c r="E615" t="s">
        <v>1648</v>
      </c>
      <c r="F615" s="5">
        <v>6.4</v>
      </c>
      <c r="G615" t="s">
        <v>1630</v>
      </c>
      <c r="H615">
        <v>5</v>
      </c>
    </row>
    <row r="616" spans="1:8">
      <c r="A616" t="s">
        <v>2250</v>
      </c>
      <c r="B616" t="s">
        <v>802</v>
      </c>
      <c r="C616" s="4">
        <v>46088</v>
      </c>
      <c r="D616" t="s">
        <v>1625</v>
      </c>
      <c r="E616" t="s">
        <v>1609</v>
      </c>
      <c r="F616" s="5">
        <v>3.2</v>
      </c>
      <c r="G616" t="s">
        <v>1630</v>
      </c>
      <c r="H616">
        <v>3</v>
      </c>
    </row>
    <row r="617" spans="1:8">
      <c r="A617" t="s">
        <v>2251</v>
      </c>
      <c r="B617" t="s">
        <v>1390</v>
      </c>
      <c r="C617" s="4">
        <v>45027</v>
      </c>
      <c r="D617" t="s">
        <v>1628</v>
      </c>
      <c r="E617" t="s">
        <v>1648</v>
      </c>
      <c r="F617" s="5">
        <v>1.2</v>
      </c>
      <c r="G617" t="s">
        <v>1630</v>
      </c>
      <c r="H617">
        <v>2</v>
      </c>
    </row>
    <row r="618" spans="1:8">
      <c r="A618" t="s">
        <v>2252</v>
      </c>
      <c r="B618" t="s">
        <v>223</v>
      </c>
      <c r="C618" s="4">
        <v>45905</v>
      </c>
      <c r="D618" t="s">
        <v>1667</v>
      </c>
      <c r="E618" t="s">
        <v>1605</v>
      </c>
      <c r="F618" s="5">
        <v>9.6</v>
      </c>
      <c r="G618" t="s">
        <v>1630</v>
      </c>
      <c r="H618">
        <v>1</v>
      </c>
    </row>
    <row r="619" spans="1:8">
      <c r="A619" t="s">
        <v>2253</v>
      </c>
      <c r="B619" t="s">
        <v>760</v>
      </c>
      <c r="C619" s="4">
        <v>45159</v>
      </c>
      <c r="D619" t="s">
        <v>1628</v>
      </c>
      <c r="E619" t="s">
        <v>1609</v>
      </c>
      <c r="F619" s="5">
        <v>4.4000000000000004</v>
      </c>
      <c r="G619" t="s">
        <v>1630</v>
      </c>
      <c r="H619">
        <v>2</v>
      </c>
    </row>
    <row r="620" spans="1:8">
      <c r="A620" t="s">
        <v>2254</v>
      </c>
      <c r="B620" t="s">
        <v>1425</v>
      </c>
      <c r="C620" s="4">
        <v>46147</v>
      </c>
      <c r="D620" t="s">
        <v>1641</v>
      </c>
      <c r="E620" t="s">
        <v>1648</v>
      </c>
      <c r="F620" s="5">
        <v>13.2</v>
      </c>
      <c r="G620" t="s">
        <v>1630</v>
      </c>
      <c r="H620">
        <v>3</v>
      </c>
    </row>
    <row r="621" spans="1:8">
      <c r="A621" t="s">
        <v>2255</v>
      </c>
      <c r="B621" t="s">
        <v>589</v>
      </c>
      <c r="C621" s="4">
        <v>45768</v>
      </c>
      <c r="D621" t="s">
        <v>1667</v>
      </c>
      <c r="E621" t="s">
        <v>1605</v>
      </c>
      <c r="F621" s="5">
        <v>0.8</v>
      </c>
      <c r="G621" t="s">
        <v>1630</v>
      </c>
      <c r="H621">
        <v>3</v>
      </c>
    </row>
    <row r="622" spans="1:8">
      <c r="A622" t="s">
        <v>2256</v>
      </c>
      <c r="B622" t="s">
        <v>791</v>
      </c>
      <c r="C622" s="4">
        <v>46154</v>
      </c>
      <c r="D622" t="s">
        <v>1628</v>
      </c>
      <c r="E622" t="s">
        <v>1629</v>
      </c>
      <c r="F622" s="5">
        <v>0.2</v>
      </c>
      <c r="G622" t="s">
        <v>1630</v>
      </c>
      <c r="H622">
        <v>5</v>
      </c>
    </row>
    <row r="623" spans="1:8">
      <c r="A623" t="s">
        <v>2257</v>
      </c>
      <c r="B623" t="s">
        <v>677</v>
      </c>
      <c r="C623" s="4">
        <v>45205</v>
      </c>
      <c r="D623" t="s">
        <v>1625</v>
      </c>
      <c r="E623" t="s">
        <v>1648</v>
      </c>
      <c r="F623" s="5">
        <v>2.2999999999999998</v>
      </c>
      <c r="G623" t="s">
        <v>1630</v>
      </c>
      <c r="H623">
        <v>4</v>
      </c>
    </row>
    <row r="624" spans="1:8">
      <c r="A624" t="s">
        <v>2258</v>
      </c>
      <c r="B624" t="s">
        <v>794</v>
      </c>
      <c r="C624" s="4">
        <v>45488</v>
      </c>
      <c r="D624" t="s">
        <v>1655</v>
      </c>
      <c r="E624" t="s">
        <v>1648</v>
      </c>
      <c r="F624" s="5">
        <v>7.6</v>
      </c>
      <c r="G624" t="s">
        <v>1630</v>
      </c>
      <c r="H624">
        <v>4</v>
      </c>
    </row>
    <row r="625" spans="1:8">
      <c r="A625" t="s">
        <v>2259</v>
      </c>
      <c r="B625" t="s">
        <v>204</v>
      </c>
      <c r="C625" s="4">
        <v>45596</v>
      </c>
      <c r="D625" t="s">
        <v>1655</v>
      </c>
      <c r="E625" t="s">
        <v>1633</v>
      </c>
      <c r="F625" s="5">
        <v>1.4</v>
      </c>
      <c r="G625" t="s">
        <v>1626</v>
      </c>
      <c r="H625">
        <v>2</v>
      </c>
    </row>
    <row r="626" spans="1:8">
      <c r="A626" t="s">
        <v>2260</v>
      </c>
      <c r="B626" t="s">
        <v>701</v>
      </c>
      <c r="C626" s="4">
        <v>45794</v>
      </c>
      <c r="D626" t="s">
        <v>1637</v>
      </c>
      <c r="E626" t="s">
        <v>1629</v>
      </c>
      <c r="F626" s="5">
        <v>11.3</v>
      </c>
      <c r="G626" t="s">
        <v>1630</v>
      </c>
      <c r="H626">
        <v>1</v>
      </c>
    </row>
    <row r="627" spans="1:8">
      <c r="A627" t="s">
        <v>2261</v>
      </c>
      <c r="B627" t="s">
        <v>1070</v>
      </c>
      <c r="C627" s="4">
        <v>45849</v>
      </c>
      <c r="D627" t="s">
        <v>1655</v>
      </c>
      <c r="E627" t="s">
        <v>1633</v>
      </c>
      <c r="F627" s="5">
        <v>11.7</v>
      </c>
      <c r="G627" t="s">
        <v>1626</v>
      </c>
      <c r="H627">
        <v>1</v>
      </c>
    </row>
    <row r="628" spans="1:8">
      <c r="A628" t="s">
        <v>2262</v>
      </c>
      <c r="B628" t="s">
        <v>1366</v>
      </c>
      <c r="C628" s="4">
        <v>45964</v>
      </c>
      <c r="D628" t="s">
        <v>1655</v>
      </c>
      <c r="E628" t="s">
        <v>1609</v>
      </c>
      <c r="F628" s="5">
        <v>4.4000000000000004</v>
      </c>
      <c r="G628" t="s">
        <v>1630</v>
      </c>
      <c r="H628">
        <v>3</v>
      </c>
    </row>
    <row r="629" spans="1:8">
      <c r="A629" t="s">
        <v>2263</v>
      </c>
      <c r="B629" t="s">
        <v>605</v>
      </c>
      <c r="C629" s="4">
        <v>45755</v>
      </c>
      <c r="D629" t="s">
        <v>1637</v>
      </c>
      <c r="E629" t="s">
        <v>1605</v>
      </c>
      <c r="F629" s="5">
        <v>15.4</v>
      </c>
      <c r="G629" t="s">
        <v>1630</v>
      </c>
      <c r="H629">
        <v>4</v>
      </c>
    </row>
    <row r="630" spans="1:8">
      <c r="A630" t="s">
        <v>2264</v>
      </c>
      <c r="B630" t="s">
        <v>736</v>
      </c>
      <c r="C630" s="4">
        <v>45519</v>
      </c>
      <c r="D630" t="s">
        <v>1628</v>
      </c>
      <c r="E630" t="s">
        <v>1629</v>
      </c>
      <c r="F630" s="5">
        <v>8</v>
      </c>
      <c r="G630" t="s">
        <v>1630</v>
      </c>
      <c r="H630">
        <v>3</v>
      </c>
    </row>
    <row r="631" spans="1:8">
      <c r="A631" t="s">
        <v>2265</v>
      </c>
      <c r="B631" t="s">
        <v>553</v>
      </c>
      <c r="C631" s="4">
        <v>45036</v>
      </c>
      <c r="D631" t="s">
        <v>1628</v>
      </c>
      <c r="E631" t="s">
        <v>1629</v>
      </c>
      <c r="F631" s="5">
        <v>1.4</v>
      </c>
      <c r="G631" t="s">
        <v>1630</v>
      </c>
      <c r="H631">
        <v>2</v>
      </c>
    </row>
    <row r="632" spans="1:8">
      <c r="A632" t="s">
        <v>2266</v>
      </c>
      <c r="B632" t="s">
        <v>409</v>
      </c>
      <c r="C632" s="4">
        <v>45529</v>
      </c>
      <c r="D632" t="s">
        <v>1628</v>
      </c>
      <c r="E632" t="s">
        <v>1629</v>
      </c>
      <c r="F632" s="5">
        <v>4.5</v>
      </c>
      <c r="G632" t="s">
        <v>1626</v>
      </c>
      <c r="H632">
        <v>3</v>
      </c>
    </row>
    <row r="633" spans="1:8">
      <c r="A633" t="s">
        <v>2267</v>
      </c>
      <c r="B633" t="s">
        <v>1193</v>
      </c>
      <c r="C633" s="4">
        <v>45897</v>
      </c>
      <c r="D633" t="s">
        <v>1625</v>
      </c>
      <c r="E633" t="s">
        <v>1605</v>
      </c>
      <c r="F633" s="5">
        <v>11.5</v>
      </c>
      <c r="G633" t="s">
        <v>1630</v>
      </c>
      <c r="H633">
        <v>4</v>
      </c>
    </row>
    <row r="634" spans="1:8">
      <c r="A634" t="s">
        <v>2268</v>
      </c>
      <c r="B634" t="s">
        <v>146</v>
      </c>
      <c r="C634" s="4">
        <v>45139</v>
      </c>
      <c r="D634" t="s">
        <v>1628</v>
      </c>
      <c r="E634" t="s">
        <v>1633</v>
      </c>
      <c r="F634" s="5">
        <v>9.9</v>
      </c>
      <c r="G634" t="s">
        <v>1630</v>
      </c>
      <c r="H634">
        <v>3</v>
      </c>
    </row>
    <row r="635" spans="1:8">
      <c r="A635" t="s">
        <v>2269</v>
      </c>
      <c r="B635" t="s">
        <v>1522</v>
      </c>
      <c r="C635" s="4">
        <v>45957</v>
      </c>
      <c r="D635" t="s">
        <v>1655</v>
      </c>
      <c r="E635" t="s">
        <v>1633</v>
      </c>
      <c r="F635" s="5">
        <v>6.1</v>
      </c>
      <c r="G635" t="s">
        <v>1630</v>
      </c>
      <c r="H635">
        <v>4</v>
      </c>
    </row>
    <row r="636" spans="1:8">
      <c r="A636" t="s">
        <v>2270</v>
      </c>
      <c r="B636" t="s">
        <v>227</v>
      </c>
      <c r="C636" s="4">
        <v>44939</v>
      </c>
      <c r="D636" t="s">
        <v>1655</v>
      </c>
      <c r="E636" t="s">
        <v>1648</v>
      </c>
      <c r="F636" s="5">
        <v>0.2</v>
      </c>
      <c r="G636" t="s">
        <v>1630</v>
      </c>
      <c r="H636">
        <v>5</v>
      </c>
    </row>
    <row r="637" spans="1:8">
      <c r="A637" t="s">
        <v>2271</v>
      </c>
      <c r="B637" t="s">
        <v>824</v>
      </c>
      <c r="C637" s="4">
        <v>45912</v>
      </c>
      <c r="D637" t="s">
        <v>1632</v>
      </c>
      <c r="E637" t="s">
        <v>1648</v>
      </c>
      <c r="F637" s="5">
        <v>1.1000000000000001</v>
      </c>
      <c r="G637" t="s">
        <v>1626</v>
      </c>
      <c r="H637">
        <v>1</v>
      </c>
    </row>
    <row r="638" spans="1:8">
      <c r="A638" t="s">
        <v>2272</v>
      </c>
      <c r="B638" t="s">
        <v>1080</v>
      </c>
      <c r="C638" s="4">
        <v>46146</v>
      </c>
      <c r="D638" t="s">
        <v>1637</v>
      </c>
      <c r="E638" t="s">
        <v>1633</v>
      </c>
      <c r="F638" s="5">
        <v>4.7</v>
      </c>
      <c r="G638" t="s">
        <v>1630</v>
      </c>
      <c r="H638">
        <v>1</v>
      </c>
    </row>
    <row r="639" spans="1:8">
      <c r="A639" t="s">
        <v>2273</v>
      </c>
      <c r="B639" t="s">
        <v>1545</v>
      </c>
      <c r="C639" s="4">
        <v>45486</v>
      </c>
      <c r="D639" t="s">
        <v>1625</v>
      </c>
      <c r="E639" t="s">
        <v>1629</v>
      </c>
      <c r="F639" s="5">
        <v>12.6</v>
      </c>
      <c r="G639" t="s">
        <v>1626</v>
      </c>
      <c r="H639">
        <v>3</v>
      </c>
    </row>
    <row r="640" spans="1:8">
      <c r="A640" t="s">
        <v>2274</v>
      </c>
      <c r="B640" t="s">
        <v>1401</v>
      </c>
      <c r="C640" s="4">
        <v>45797</v>
      </c>
      <c r="D640" t="s">
        <v>1628</v>
      </c>
      <c r="E640" t="s">
        <v>1609</v>
      </c>
      <c r="F640" s="5">
        <v>20.2</v>
      </c>
      <c r="G640" t="s">
        <v>1630</v>
      </c>
      <c r="H640">
        <v>5</v>
      </c>
    </row>
    <row r="641" spans="1:8">
      <c r="A641" t="s">
        <v>2275</v>
      </c>
      <c r="B641" t="s">
        <v>594</v>
      </c>
      <c r="C641" s="4">
        <v>45395</v>
      </c>
      <c r="D641" t="s">
        <v>1632</v>
      </c>
      <c r="E641" t="s">
        <v>1629</v>
      </c>
      <c r="F641" s="5">
        <v>3.4</v>
      </c>
      <c r="G641" t="s">
        <v>1630</v>
      </c>
      <c r="H641">
        <v>5</v>
      </c>
    </row>
    <row r="642" spans="1:8">
      <c r="A642" t="s">
        <v>2276</v>
      </c>
      <c r="B642" t="s">
        <v>1294</v>
      </c>
      <c r="C642" s="4">
        <v>45717</v>
      </c>
      <c r="D642" t="s">
        <v>1637</v>
      </c>
      <c r="E642" t="s">
        <v>1648</v>
      </c>
      <c r="F642" s="5">
        <v>0.4</v>
      </c>
      <c r="G642" t="s">
        <v>1630</v>
      </c>
      <c r="H642">
        <v>2</v>
      </c>
    </row>
    <row r="643" spans="1:8">
      <c r="A643" t="s">
        <v>2277</v>
      </c>
      <c r="B643" t="s">
        <v>786</v>
      </c>
      <c r="C643" s="4">
        <v>45469</v>
      </c>
      <c r="D643" t="s">
        <v>1667</v>
      </c>
      <c r="E643" t="s">
        <v>1605</v>
      </c>
      <c r="F643" s="5">
        <v>3</v>
      </c>
      <c r="G643" t="s">
        <v>1630</v>
      </c>
      <c r="H643">
        <v>5</v>
      </c>
    </row>
    <row r="644" spans="1:8">
      <c r="A644" t="s">
        <v>2278</v>
      </c>
      <c r="B644" t="s">
        <v>1246</v>
      </c>
      <c r="C644" s="4">
        <v>45403</v>
      </c>
      <c r="D644" t="s">
        <v>1641</v>
      </c>
      <c r="E644" t="s">
        <v>1633</v>
      </c>
      <c r="F644" s="5">
        <v>3.6</v>
      </c>
      <c r="G644" t="s">
        <v>1630</v>
      </c>
      <c r="H644">
        <v>3</v>
      </c>
    </row>
    <row r="645" spans="1:8">
      <c r="A645" t="s">
        <v>2279</v>
      </c>
      <c r="B645" t="s">
        <v>197</v>
      </c>
      <c r="C645" s="4">
        <v>44991</v>
      </c>
      <c r="D645" t="s">
        <v>1632</v>
      </c>
      <c r="E645" t="s">
        <v>1629</v>
      </c>
      <c r="F645" s="5">
        <v>2.2999999999999998</v>
      </c>
      <c r="G645" t="s">
        <v>1630</v>
      </c>
      <c r="H645">
        <v>3</v>
      </c>
    </row>
    <row r="646" spans="1:8">
      <c r="A646" t="s">
        <v>2280</v>
      </c>
      <c r="B646" t="s">
        <v>1186</v>
      </c>
      <c r="C646" s="4">
        <v>45883</v>
      </c>
      <c r="D646" t="s">
        <v>1625</v>
      </c>
      <c r="E646" t="s">
        <v>1605</v>
      </c>
      <c r="F646" s="5">
        <v>16.3</v>
      </c>
      <c r="G646" t="s">
        <v>1626</v>
      </c>
      <c r="H646">
        <v>1</v>
      </c>
    </row>
    <row r="647" spans="1:8">
      <c r="A647" t="s">
        <v>2281</v>
      </c>
      <c r="B647" t="s">
        <v>332</v>
      </c>
      <c r="C647" s="4">
        <v>45213</v>
      </c>
      <c r="D647" t="s">
        <v>1667</v>
      </c>
      <c r="E647" t="s">
        <v>1605</v>
      </c>
      <c r="F647" s="5">
        <v>21.8</v>
      </c>
      <c r="G647" t="s">
        <v>1626</v>
      </c>
      <c r="H647">
        <v>2</v>
      </c>
    </row>
    <row r="648" spans="1:8">
      <c r="A648" t="s">
        <v>2282</v>
      </c>
      <c r="B648" t="s">
        <v>1348</v>
      </c>
      <c r="C648" s="4">
        <v>46027</v>
      </c>
      <c r="D648" t="s">
        <v>1641</v>
      </c>
      <c r="E648" t="s">
        <v>1629</v>
      </c>
      <c r="F648" s="5">
        <v>9.1999999999999993</v>
      </c>
      <c r="G648" t="s">
        <v>1630</v>
      </c>
      <c r="H648">
        <v>1</v>
      </c>
    </row>
    <row r="649" spans="1:8">
      <c r="A649" t="s">
        <v>2283</v>
      </c>
      <c r="B649" t="s">
        <v>905</v>
      </c>
      <c r="C649" s="4">
        <v>45824</v>
      </c>
      <c r="D649" t="s">
        <v>1637</v>
      </c>
      <c r="E649" t="s">
        <v>1629</v>
      </c>
      <c r="F649" s="5">
        <v>11.6</v>
      </c>
      <c r="G649" t="s">
        <v>1630</v>
      </c>
      <c r="H649">
        <v>3</v>
      </c>
    </row>
    <row r="650" spans="1:8">
      <c r="A650" t="s">
        <v>2284</v>
      </c>
      <c r="B650" t="s">
        <v>1176</v>
      </c>
      <c r="C650" s="4">
        <v>45267</v>
      </c>
      <c r="D650" t="s">
        <v>1641</v>
      </c>
      <c r="E650" t="s">
        <v>1609</v>
      </c>
      <c r="F650" s="5">
        <v>1.7</v>
      </c>
      <c r="G650" t="s">
        <v>1626</v>
      </c>
      <c r="H650">
        <v>3</v>
      </c>
    </row>
    <row r="651" spans="1:8">
      <c r="A651" t="s">
        <v>2285</v>
      </c>
      <c r="B651" t="s">
        <v>800</v>
      </c>
      <c r="C651" s="4">
        <v>45274</v>
      </c>
      <c r="D651" t="s">
        <v>1655</v>
      </c>
      <c r="E651" t="s">
        <v>1629</v>
      </c>
      <c r="F651" s="5">
        <v>3.5</v>
      </c>
      <c r="G651" t="s">
        <v>1630</v>
      </c>
      <c r="H651">
        <v>5</v>
      </c>
    </row>
    <row r="652" spans="1:8">
      <c r="A652" t="s">
        <v>2286</v>
      </c>
      <c r="B652" t="s">
        <v>229</v>
      </c>
      <c r="C652" s="4">
        <v>45064</v>
      </c>
      <c r="D652" t="s">
        <v>1641</v>
      </c>
      <c r="E652" t="s">
        <v>1629</v>
      </c>
      <c r="F652" s="5">
        <v>26.2</v>
      </c>
      <c r="G652" t="s">
        <v>1626</v>
      </c>
      <c r="H652">
        <v>2</v>
      </c>
    </row>
    <row r="653" spans="1:8">
      <c r="A653" t="s">
        <v>2287</v>
      </c>
      <c r="B653" t="s">
        <v>724</v>
      </c>
      <c r="C653" s="4">
        <v>45325</v>
      </c>
      <c r="D653" t="s">
        <v>1628</v>
      </c>
      <c r="E653" t="s">
        <v>1648</v>
      </c>
      <c r="F653" s="5">
        <v>41.4</v>
      </c>
      <c r="G653" t="s">
        <v>1626</v>
      </c>
      <c r="H653">
        <v>2</v>
      </c>
    </row>
    <row r="654" spans="1:8">
      <c r="A654" t="s">
        <v>2288</v>
      </c>
      <c r="B654" t="s">
        <v>1280</v>
      </c>
      <c r="C654" s="4">
        <v>46043</v>
      </c>
      <c r="D654" t="s">
        <v>1641</v>
      </c>
      <c r="E654" t="s">
        <v>1605</v>
      </c>
      <c r="F654" s="5">
        <v>2.5</v>
      </c>
      <c r="G654" t="s">
        <v>1626</v>
      </c>
      <c r="H654">
        <v>2</v>
      </c>
    </row>
    <row r="655" spans="1:8">
      <c r="A655" t="s">
        <v>2289</v>
      </c>
      <c r="B655" t="s">
        <v>1443</v>
      </c>
      <c r="C655" s="4">
        <v>45397</v>
      </c>
      <c r="D655" t="s">
        <v>1637</v>
      </c>
      <c r="E655" t="s">
        <v>1609</v>
      </c>
      <c r="F655" s="5">
        <v>0.3</v>
      </c>
      <c r="G655" t="s">
        <v>1626</v>
      </c>
      <c r="H655">
        <v>3</v>
      </c>
    </row>
    <row r="656" spans="1:8">
      <c r="A656" t="s">
        <v>2290</v>
      </c>
      <c r="B656" t="s">
        <v>1372</v>
      </c>
      <c r="C656" s="4">
        <v>45139</v>
      </c>
      <c r="D656" t="s">
        <v>1641</v>
      </c>
      <c r="E656" t="s">
        <v>1629</v>
      </c>
      <c r="F656" s="5">
        <v>4.5999999999999996</v>
      </c>
      <c r="G656" t="s">
        <v>1630</v>
      </c>
      <c r="H656">
        <v>5</v>
      </c>
    </row>
    <row r="657" spans="1:8">
      <c r="A657" t="s">
        <v>2291</v>
      </c>
      <c r="B657" t="s">
        <v>1513</v>
      </c>
      <c r="C657" s="4">
        <v>45064</v>
      </c>
      <c r="D657" t="s">
        <v>1655</v>
      </c>
      <c r="E657" t="s">
        <v>1633</v>
      </c>
      <c r="F657" s="5">
        <v>36</v>
      </c>
      <c r="G657" t="s">
        <v>1630</v>
      </c>
      <c r="H657">
        <v>3</v>
      </c>
    </row>
    <row r="658" spans="1:8">
      <c r="A658" t="s">
        <v>2292</v>
      </c>
      <c r="B658" t="s">
        <v>1529</v>
      </c>
      <c r="C658" s="4">
        <v>45663</v>
      </c>
      <c r="D658" t="s">
        <v>1628</v>
      </c>
      <c r="E658" t="s">
        <v>1629</v>
      </c>
      <c r="F658" s="5">
        <v>0.4</v>
      </c>
      <c r="G658" t="s">
        <v>1630</v>
      </c>
      <c r="H658">
        <v>5</v>
      </c>
    </row>
    <row r="659" spans="1:8">
      <c r="A659" t="s">
        <v>2293</v>
      </c>
      <c r="B659" t="s">
        <v>1482</v>
      </c>
      <c r="C659" s="4">
        <v>45667</v>
      </c>
      <c r="D659" t="s">
        <v>1632</v>
      </c>
      <c r="E659" t="s">
        <v>1629</v>
      </c>
      <c r="F659" s="5">
        <v>7.4</v>
      </c>
      <c r="G659" t="s">
        <v>1630</v>
      </c>
      <c r="H659">
        <v>5</v>
      </c>
    </row>
    <row r="660" spans="1:8">
      <c r="A660" t="s">
        <v>2294</v>
      </c>
      <c r="B660" t="s">
        <v>323</v>
      </c>
      <c r="C660" s="4">
        <v>44958</v>
      </c>
      <c r="D660" t="s">
        <v>1632</v>
      </c>
      <c r="E660" t="s">
        <v>1633</v>
      </c>
      <c r="F660" s="5">
        <v>2.2000000000000002</v>
      </c>
      <c r="G660" t="s">
        <v>1630</v>
      </c>
      <c r="H660">
        <v>2</v>
      </c>
    </row>
    <row r="661" spans="1:8">
      <c r="A661" t="s">
        <v>2295</v>
      </c>
      <c r="B661" t="s">
        <v>1022</v>
      </c>
      <c r="C661" s="4">
        <v>45861</v>
      </c>
      <c r="D661" t="s">
        <v>1667</v>
      </c>
      <c r="E661" t="s">
        <v>1648</v>
      </c>
      <c r="F661" s="5">
        <v>8.6999999999999993</v>
      </c>
      <c r="G661" t="s">
        <v>1626</v>
      </c>
      <c r="H661">
        <v>3</v>
      </c>
    </row>
    <row r="662" spans="1:8">
      <c r="A662" t="s">
        <v>2296</v>
      </c>
      <c r="B662" t="s">
        <v>810</v>
      </c>
      <c r="C662" s="4">
        <v>46090</v>
      </c>
      <c r="D662" t="s">
        <v>1641</v>
      </c>
      <c r="E662" t="s">
        <v>1648</v>
      </c>
      <c r="F662" s="5">
        <v>6</v>
      </c>
      <c r="G662" t="s">
        <v>1630</v>
      </c>
      <c r="H662">
        <v>5</v>
      </c>
    </row>
    <row r="663" spans="1:8">
      <c r="A663" t="s">
        <v>2297</v>
      </c>
      <c r="B663" t="s">
        <v>229</v>
      </c>
      <c r="C663" s="4">
        <v>45553</v>
      </c>
      <c r="D663" t="s">
        <v>1667</v>
      </c>
      <c r="E663" t="s">
        <v>1633</v>
      </c>
      <c r="F663" s="5">
        <v>5.3</v>
      </c>
      <c r="G663" t="s">
        <v>1630</v>
      </c>
      <c r="H663">
        <v>4</v>
      </c>
    </row>
    <row r="664" spans="1:8">
      <c r="A664" t="s">
        <v>2298</v>
      </c>
      <c r="B664" t="s">
        <v>319</v>
      </c>
      <c r="C664" s="4">
        <v>45488</v>
      </c>
      <c r="D664" t="s">
        <v>1655</v>
      </c>
      <c r="E664" t="s">
        <v>1605</v>
      </c>
      <c r="F664" s="5">
        <v>2.2999999999999998</v>
      </c>
      <c r="G664" t="s">
        <v>1630</v>
      </c>
      <c r="H664">
        <v>1</v>
      </c>
    </row>
    <row r="665" spans="1:8">
      <c r="A665" t="s">
        <v>2299</v>
      </c>
      <c r="B665" t="s">
        <v>1460</v>
      </c>
      <c r="C665" s="4">
        <v>46152</v>
      </c>
      <c r="D665" t="s">
        <v>1641</v>
      </c>
      <c r="E665" t="s">
        <v>1629</v>
      </c>
      <c r="F665" s="5">
        <v>9.9</v>
      </c>
      <c r="G665" t="s">
        <v>1630</v>
      </c>
      <c r="H665">
        <v>2</v>
      </c>
    </row>
    <row r="666" spans="1:8">
      <c r="A666" t="s">
        <v>2300</v>
      </c>
      <c r="B666" t="s">
        <v>1513</v>
      </c>
      <c r="C666" s="4">
        <v>45344</v>
      </c>
      <c r="D666" t="s">
        <v>1655</v>
      </c>
      <c r="E666" t="s">
        <v>1605</v>
      </c>
      <c r="F666" s="5">
        <v>7.2</v>
      </c>
      <c r="G666" t="s">
        <v>1630</v>
      </c>
      <c r="H666">
        <v>2</v>
      </c>
    </row>
    <row r="667" spans="1:8">
      <c r="A667" t="s">
        <v>2301</v>
      </c>
      <c r="B667" t="s">
        <v>569</v>
      </c>
      <c r="C667" s="4">
        <v>46090</v>
      </c>
      <c r="D667" t="s">
        <v>1655</v>
      </c>
      <c r="E667" t="s">
        <v>1605</v>
      </c>
      <c r="F667" s="5">
        <v>29.8</v>
      </c>
      <c r="G667" t="s">
        <v>1626</v>
      </c>
      <c r="H667">
        <v>3</v>
      </c>
    </row>
    <row r="668" spans="1:8">
      <c r="A668" t="s">
        <v>2302</v>
      </c>
      <c r="B668" t="s">
        <v>1038</v>
      </c>
      <c r="C668" s="4">
        <v>45950</v>
      </c>
      <c r="D668" t="s">
        <v>1628</v>
      </c>
      <c r="E668" t="s">
        <v>1605</v>
      </c>
      <c r="F668" s="5">
        <v>23</v>
      </c>
      <c r="G668" t="s">
        <v>1630</v>
      </c>
      <c r="H668">
        <v>2</v>
      </c>
    </row>
    <row r="669" spans="1:8">
      <c r="A669" t="s">
        <v>2303</v>
      </c>
      <c r="B669" t="s">
        <v>995</v>
      </c>
      <c r="C669" s="4">
        <v>45981</v>
      </c>
      <c r="D669" t="s">
        <v>1667</v>
      </c>
      <c r="E669" t="s">
        <v>1648</v>
      </c>
      <c r="F669" s="5">
        <v>6.5</v>
      </c>
      <c r="G669" t="s">
        <v>1630</v>
      </c>
      <c r="H669">
        <v>2</v>
      </c>
    </row>
    <row r="670" spans="1:8">
      <c r="A670" t="s">
        <v>2304</v>
      </c>
      <c r="B670" t="s">
        <v>351</v>
      </c>
      <c r="C670" s="4">
        <v>45018</v>
      </c>
      <c r="D670" t="s">
        <v>1655</v>
      </c>
      <c r="E670" t="s">
        <v>1609</v>
      </c>
      <c r="F670" s="5">
        <v>1.6</v>
      </c>
      <c r="G670" t="s">
        <v>1630</v>
      </c>
      <c r="H670">
        <v>1</v>
      </c>
    </row>
    <row r="671" spans="1:8">
      <c r="A671" t="s">
        <v>2305</v>
      </c>
      <c r="B671" t="s">
        <v>113</v>
      </c>
      <c r="C671" s="4">
        <v>45056</v>
      </c>
      <c r="D671" t="s">
        <v>1632</v>
      </c>
      <c r="E671" t="s">
        <v>1629</v>
      </c>
      <c r="F671" s="5">
        <v>4.9000000000000004</v>
      </c>
      <c r="G671" t="s">
        <v>1630</v>
      </c>
      <c r="H671">
        <v>1</v>
      </c>
    </row>
    <row r="672" spans="1:8">
      <c r="A672" t="s">
        <v>2306</v>
      </c>
      <c r="B672" t="s">
        <v>1521</v>
      </c>
      <c r="C672" s="4">
        <v>44988</v>
      </c>
      <c r="D672" t="s">
        <v>1641</v>
      </c>
      <c r="E672" t="s">
        <v>1648</v>
      </c>
      <c r="F672" s="5">
        <v>8.9</v>
      </c>
      <c r="G672" t="s">
        <v>1630</v>
      </c>
      <c r="H672">
        <v>4</v>
      </c>
    </row>
    <row r="673" spans="1:8">
      <c r="A673" t="s">
        <v>2307</v>
      </c>
      <c r="B673" t="s">
        <v>1274</v>
      </c>
      <c r="C673" s="4">
        <v>45718</v>
      </c>
      <c r="D673" t="s">
        <v>1628</v>
      </c>
      <c r="E673" t="s">
        <v>1648</v>
      </c>
      <c r="F673" s="5">
        <v>0.7</v>
      </c>
      <c r="G673" t="s">
        <v>1630</v>
      </c>
      <c r="H673">
        <v>3</v>
      </c>
    </row>
    <row r="674" spans="1:8">
      <c r="A674" t="s">
        <v>2308</v>
      </c>
      <c r="B674" t="s">
        <v>804</v>
      </c>
      <c r="C674" s="4">
        <v>45117</v>
      </c>
      <c r="D674" t="s">
        <v>1625</v>
      </c>
      <c r="E674" t="s">
        <v>1605</v>
      </c>
      <c r="F674" s="5">
        <v>18.2</v>
      </c>
      <c r="G674" t="s">
        <v>1630</v>
      </c>
      <c r="H674">
        <v>3</v>
      </c>
    </row>
    <row r="675" spans="1:8">
      <c r="A675" t="s">
        <v>2309</v>
      </c>
      <c r="B675" t="s">
        <v>1184</v>
      </c>
      <c r="C675" s="4">
        <v>45426</v>
      </c>
      <c r="D675" t="s">
        <v>1632</v>
      </c>
      <c r="E675" t="s">
        <v>1609</v>
      </c>
      <c r="F675" s="5">
        <v>7.1</v>
      </c>
      <c r="G675" t="s">
        <v>1630</v>
      </c>
      <c r="H675">
        <v>4</v>
      </c>
    </row>
    <row r="676" spans="1:8">
      <c r="A676" t="s">
        <v>2310</v>
      </c>
      <c r="B676" t="s">
        <v>636</v>
      </c>
      <c r="C676" s="4">
        <v>45789</v>
      </c>
      <c r="D676" t="s">
        <v>1655</v>
      </c>
      <c r="E676" t="s">
        <v>1648</v>
      </c>
      <c r="F676" s="5">
        <v>8.1999999999999993</v>
      </c>
      <c r="G676" t="s">
        <v>1630</v>
      </c>
      <c r="H676">
        <v>3</v>
      </c>
    </row>
    <row r="677" spans="1:8">
      <c r="A677" t="s">
        <v>2311</v>
      </c>
      <c r="B677" t="s">
        <v>844</v>
      </c>
      <c r="C677" s="4">
        <v>46132</v>
      </c>
      <c r="D677" t="s">
        <v>1625</v>
      </c>
      <c r="E677" t="s">
        <v>1609</v>
      </c>
      <c r="F677" s="5">
        <v>0.3</v>
      </c>
      <c r="G677" t="s">
        <v>1630</v>
      </c>
      <c r="H677">
        <v>1</v>
      </c>
    </row>
    <row r="678" spans="1:8">
      <c r="A678" t="s">
        <v>2312</v>
      </c>
      <c r="B678" t="s">
        <v>914</v>
      </c>
      <c r="C678" s="4">
        <v>45754</v>
      </c>
      <c r="D678" t="s">
        <v>1637</v>
      </c>
      <c r="E678" t="s">
        <v>1609</v>
      </c>
      <c r="F678" s="5">
        <v>3.7</v>
      </c>
      <c r="G678" t="s">
        <v>1630</v>
      </c>
      <c r="H678">
        <v>3</v>
      </c>
    </row>
    <row r="679" spans="1:8">
      <c r="A679" t="s">
        <v>2313</v>
      </c>
      <c r="B679" t="s">
        <v>1568</v>
      </c>
      <c r="C679" s="4">
        <v>46131</v>
      </c>
      <c r="D679" t="s">
        <v>1625</v>
      </c>
      <c r="E679" t="s">
        <v>1609</v>
      </c>
      <c r="F679" s="5">
        <v>3.2</v>
      </c>
      <c r="G679" t="s">
        <v>1626</v>
      </c>
      <c r="H679">
        <v>1</v>
      </c>
    </row>
    <row r="680" spans="1:8">
      <c r="A680" t="s">
        <v>2314</v>
      </c>
      <c r="B680" t="s">
        <v>884</v>
      </c>
      <c r="C680" s="4">
        <v>45813</v>
      </c>
      <c r="D680" t="s">
        <v>1667</v>
      </c>
      <c r="E680" t="s">
        <v>1629</v>
      </c>
      <c r="F680" s="5">
        <v>4.4000000000000004</v>
      </c>
      <c r="G680" t="s">
        <v>1630</v>
      </c>
      <c r="H680">
        <v>1</v>
      </c>
    </row>
    <row r="681" spans="1:8">
      <c r="A681" t="s">
        <v>2315</v>
      </c>
      <c r="B681" t="s">
        <v>1513</v>
      </c>
      <c r="C681" s="4">
        <v>45731</v>
      </c>
      <c r="D681" t="s">
        <v>1637</v>
      </c>
      <c r="E681" t="s">
        <v>1633</v>
      </c>
      <c r="F681" s="5">
        <v>16.2</v>
      </c>
      <c r="G681" t="s">
        <v>1630</v>
      </c>
      <c r="H681">
        <v>2</v>
      </c>
    </row>
    <row r="682" spans="1:8">
      <c r="A682" t="s">
        <v>2316</v>
      </c>
      <c r="B682" t="s">
        <v>645</v>
      </c>
      <c r="C682" s="4">
        <v>44930</v>
      </c>
      <c r="D682" t="s">
        <v>1655</v>
      </c>
      <c r="E682" t="s">
        <v>1648</v>
      </c>
      <c r="F682" s="5">
        <v>3.1</v>
      </c>
      <c r="G682" t="s">
        <v>1630</v>
      </c>
      <c r="H682">
        <v>5</v>
      </c>
    </row>
    <row r="683" spans="1:8">
      <c r="A683" t="s">
        <v>2317</v>
      </c>
      <c r="B683" t="s">
        <v>625</v>
      </c>
      <c r="C683" s="4">
        <v>45888</v>
      </c>
      <c r="D683" t="s">
        <v>1628</v>
      </c>
      <c r="E683" t="s">
        <v>1648</v>
      </c>
      <c r="F683" s="5">
        <v>0.2</v>
      </c>
      <c r="G683" t="s">
        <v>1630</v>
      </c>
      <c r="H683">
        <v>2</v>
      </c>
    </row>
    <row r="684" spans="1:8">
      <c r="A684" t="s">
        <v>2318</v>
      </c>
      <c r="B684" t="s">
        <v>875</v>
      </c>
      <c r="C684" s="4">
        <v>45786</v>
      </c>
      <c r="D684" t="s">
        <v>1641</v>
      </c>
      <c r="E684" t="s">
        <v>1633</v>
      </c>
      <c r="F684" s="5">
        <v>6.5</v>
      </c>
      <c r="G684" t="s">
        <v>1630</v>
      </c>
      <c r="H684">
        <v>5</v>
      </c>
    </row>
    <row r="685" spans="1:8">
      <c r="A685" t="s">
        <v>2319</v>
      </c>
      <c r="B685" t="s">
        <v>1060</v>
      </c>
      <c r="C685" s="4">
        <v>45756</v>
      </c>
      <c r="D685" t="s">
        <v>1628</v>
      </c>
      <c r="E685" t="s">
        <v>1648</v>
      </c>
      <c r="F685" s="5">
        <v>4.9000000000000004</v>
      </c>
      <c r="G685" t="s">
        <v>1630</v>
      </c>
      <c r="H685">
        <v>2</v>
      </c>
    </row>
    <row r="686" spans="1:8">
      <c r="A686" t="s">
        <v>2320</v>
      </c>
      <c r="B686" t="s">
        <v>1025</v>
      </c>
      <c r="C686" s="4">
        <v>45814</v>
      </c>
      <c r="D686" t="s">
        <v>1641</v>
      </c>
      <c r="E686" t="s">
        <v>1648</v>
      </c>
      <c r="F686" s="5">
        <v>18.2</v>
      </c>
      <c r="G686" t="s">
        <v>1630</v>
      </c>
      <c r="H686">
        <v>4</v>
      </c>
    </row>
    <row r="687" spans="1:8">
      <c r="A687" t="s">
        <v>2321</v>
      </c>
      <c r="B687" t="s">
        <v>1012</v>
      </c>
      <c r="C687" s="4">
        <v>45920</v>
      </c>
      <c r="D687" t="s">
        <v>1655</v>
      </c>
      <c r="E687" t="s">
        <v>1609</v>
      </c>
      <c r="F687" s="5">
        <v>3.6</v>
      </c>
      <c r="G687" t="s">
        <v>1630</v>
      </c>
      <c r="H687">
        <v>5</v>
      </c>
    </row>
    <row r="688" spans="1:8">
      <c r="A688" t="s">
        <v>2322</v>
      </c>
      <c r="B688" t="s">
        <v>873</v>
      </c>
      <c r="C688" s="4">
        <v>45296</v>
      </c>
      <c r="D688" t="s">
        <v>1625</v>
      </c>
      <c r="E688" t="s">
        <v>1609</v>
      </c>
      <c r="F688" s="5">
        <v>6.7</v>
      </c>
      <c r="G688" t="s">
        <v>1626</v>
      </c>
      <c r="H688">
        <v>1</v>
      </c>
    </row>
    <row r="689" spans="1:8">
      <c r="A689" t="s">
        <v>2323</v>
      </c>
      <c r="B689" t="s">
        <v>1244</v>
      </c>
      <c r="C689" s="4">
        <v>46144</v>
      </c>
      <c r="D689" t="s">
        <v>1628</v>
      </c>
      <c r="E689" t="s">
        <v>1609</v>
      </c>
      <c r="F689" s="5">
        <v>23</v>
      </c>
      <c r="G689" t="s">
        <v>1630</v>
      </c>
      <c r="H689">
        <v>3</v>
      </c>
    </row>
    <row r="690" spans="1:8">
      <c r="A690" t="s">
        <v>2324</v>
      </c>
      <c r="B690" t="s">
        <v>910</v>
      </c>
      <c r="C690" s="4">
        <v>45996</v>
      </c>
      <c r="D690" t="s">
        <v>1641</v>
      </c>
      <c r="E690" t="s">
        <v>1605</v>
      </c>
      <c r="F690" s="5">
        <v>3.8</v>
      </c>
      <c r="G690" t="s">
        <v>1630</v>
      </c>
      <c r="H690">
        <v>1</v>
      </c>
    </row>
    <row r="691" spans="1:8">
      <c r="A691" t="s">
        <v>2325</v>
      </c>
      <c r="B691" t="s">
        <v>1043</v>
      </c>
      <c r="C691" s="4">
        <v>44938</v>
      </c>
      <c r="D691" t="s">
        <v>1655</v>
      </c>
      <c r="E691" t="s">
        <v>1648</v>
      </c>
      <c r="F691" s="5">
        <v>3.7</v>
      </c>
      <c r="G691" t="s">
        <v>1630</v>
      </c>
      <c r="H691">
        <v>1</v>
      </c>
    </row>
    <row r="692" spans="1:8">
      <c r="A692" t="s">
        <v>2326</v>
      </c>
      <c r="B692" t="s">
        <v>1368</v>
      </c>
      <c r="C692" s="4">
        <v>45871</v>
      </c>
      <c r="D692" t="s">
        <v>1625</v>
      </c>
      <c r="E692" t="s">
        <v>1648</v>
      </c>
      <c r="F692" s="5">
        <v>3</v>
      </c>
      <c r="G692" t="s">
        <v>1626</v>
      </c>
      <c r="H692">
        <v>2</v>
      </c>
    </row>
    <row r="693" spans="1:8">
      <c r="A693" t="s">
        <v>2327</v>
      </c>
      <c r="B693" t="s">
        <v>954</v>
      </c>
      <c r="C693" s="4">
        <v>45862</v>
      </c>
      <c r="D693" t="s">
        <v>1625</v>
      </c>
      <c r="E693" t="s">
        <v>1609</v>
      </c>
      <c r="F693" s="5">
        <v>8.9</v>
      </c>
      <c r="G693" t="s">
        <v>1630</v>
      </c>
      <c r="H693">
        <v>3</v>
      </c>
    </row>
    <row r="694" spans="1:8">
      <c r="A694" t="s">
        <v>2328</v>
      </c>
      <c r="B694" t="s">
        <v>808</v>
      </c>
      <c r="C694" s="4">
        <v>46160</v>
      </c>
      <c r="D694" t="s">
        <v>1628</v>
      </c>
      <c r="E694" t="s">
        <v>1609</v>
      </c>
      <c r="F694" s="5">
        <v>0.8</v>
      </c>
      <c r="G694" t="s">
        <v>1630</v>
      </c>
      <c r="H694">
        <v>5</v>
      </c>
    </row>
    <row r="695" spans="1:8">
      <c r="A695" t="s">
        <v>2329</v>
      </c>
      <c r="B695" t="s">
        <v>395</v>
      </c>
      <c r="C695" s="4">
        <v>45501</v>
      </c>
      <c r="D695" t="s">
        <v>1628</v>
      </c>
      <c r="E695" t="s">
        <v>1648</v>
      </c>
      <c r="F695" s="5">
        <v>4.0999999999999996</v>
      </c>
      <c r="G695" t="s">
        <v>1630</v>
      </c>
      <c r="H695">
        <v>3</v>
      </c>
    </row>
    <row r="696" spans="1:8">
      <c r="A696" t="s">
        <v>2330</v>
      </c>
      <c r="B696" t="s">
        <v>456</v>
      </c>
      <c r="C696" s="4">
        <v>45260</v>
      </c>
      <c r="D696" t="s">
        <v>1628</v>
      </c>
      <c r="E696" t="s">
        <v>1629</v>
      </c>
      <c r="F696" s="5">
        <v>3.3</v>
      </c>
      <c r="G696" t="s">
        <v>1630</v>
      </c>
      <c r="H696">
        <v>4</v>
      </c>
    </row>
    <row r="697" spans="1:8">
      <c r="A697" t="s">
        <v>2331</v>
      </c>
      <c r="B697" t="s">
        <v>210</v>
      </c>
      <c r="C697" s="4">
        <v>45468</v>
      </c>
      <c r="D697" t="s">
        <v>1632</v>
      </c>
      <c r="E697" t="s">
        <v>1633</v>
      </c>
      <c r="F697" s="5">
        <v>2.5</v>
      </c>
      <c r="G697" t="s">
        <v>1630</v>
      </c>
      <c r="H697">
        <v>5</v>
      </c>
    </row>
    <row r="698" spans="1:8">
      <c r="A698" t="s">
        <v>2332</v>
      </c>
      <c r="B698" t="s">
        <v>753</v>
      </c>
      <c r="C698" s="4">
        <v>45528</v>
      </c>
      <c r="D698" t="s">
        <v>1625</v>
      </c>
      <c r="E698" t="s">
        <v>1609</v>
      </c>
      <c r="F698" s="5">
        <v>3.1</v>
      </c>
      <c r="G698" t="s">
        <v>1630</v>
      </c>
      <c r="H698">
        <v>2</v>
      </c>
    </row>
    <row r="699" spans="1:8">
      <c r="A699" t="s">
        <v>2333</v>
      </c>
      <c r="B699" t="s">
        <v>46</v>
      </c>
      <c r="C699" s="4">
        <v>46110</v>
      </c>
      <c r="D699" t="s">
        <v>1628</v>
      </c>
      <c r="E699" t="s">
        <v>1633</v>
      </c>
      <c r="F699" s="5">
        <v>5.5</v>
      </c>
      <c r="G699" t="s">
        <v>1630</v>
      </c>
      <c r="H699">
        <v>5</v>
      </c>
    </row>
    <row r="700" spans="1:8">
      <c r="A700" t="s">
        <v>2334</v>
      </c>
      <c r="B700" t="s">
        <v>119</v>
      </c>
      <c r="C700" s="4">
        <v>45028</v>
      </c>
      <c r="D700" t="s">
        <v>1628</v>
      </c>
      <c r="E700" t="s">
        <v>1629</v>
      </c>
      <c r="F700" s="5">
        <v>2</v>
      </c>
      <c r="G700" t="s">
        <v>1630</v>
      </c>
      <c r="H700">
        <v>3</v>
      </c>
    </row>
    <row r="701" spans="1:8">
      <c r="A701" t="s">
        <v>2335</v>
      </c>
      <c r="B701" t="s">
        <v>845</v>
      </c>
      <c r="C701" s="4">
        <v>45490</v>
      </c>
      <c r="D701" t="s">
        <v>1667</v>
      </c>
      <c r="E701" t="s">
        <v>1629</v>
      </c>
      <c r="F701" s="5">
        <v>1.5</v>
      </c>
      <c r="G701" t="s">
        <v>1626</v>
      </c>
      <c r="H701">
        <v>2</v>
      </c>
    </row>
    <row r="702" spans="1:8">
      <c r="A702" t="s">
        <v>2336</v>
      </c>
      <c r="B702" t="s">
        <v>1442</v>
      </c>
      <c r="C702" s="4">
        <v>45889</v>
      </c>
      <c r="D702" t="s">
        <v>1667</v>
      </c>
      <c r="E702" t="s">
        <v>1648</v>
      </c>
      <c r="F702" s="5">
        <v>1.4</v>
      </c>
      <c r="G702" t="s">
        <v>1630</v>
      </c>
      <c r="H702">
        <v>3</v>
      </c>
    </row>
    <row r="703" spans="1:8">
      <c r="A703" t="s">
        <v>2337</v>
      </c>
      <c r="B703" t="s">
        <v>1491</v>
      </c>
      <c r="C703" s="4">
        <v>45500</v>
      </c>
      <c r="D703" t="s">
        <v>1628</v>
      </c>
      <c r="E703" t="s">
        <v>1609</v>
      </c>
      <c r="F703" s="5">
        <v>5.3</v>
      </c>
      <c r="G703" t="s">
        <v>1630</v>
      </c>
      <c r="H703">
        <v>5</v>
      </c>
    </row>
    <row r="704" spans="1:8">
      <c r="A704" t="s">
        <v>2338</v>
      </c>
      <c r="B704" t="s">
        <v>468</v>
      </c>
      <c r="C704" s="4">
        <v>45256</v>
      </c>
      <c r="D704" t="s">
        <v>1632</v>
      </c>
      <c r="E704" t="s">
        <v>1629</v>
      </c>
      <c r="F704" s="5">
        <v>2.2000000000000002</v>
      </c>
      <c r="G704" t="s">
        <v>1630</v>
      </c>
      <c r="H704">
        <v>4</v>
      </c>
    </row>
    <row r="705" spans="1:8">
      <c r="A705" t="s">
        <v>2339</v>
      </c>
      <c r="B705" t="s">
        <v>253</v>
      </c>
      <c r="C705" s="4">
        <v>45724</v>
      </c>
      <c r="D705" t="s">
        <v>1667</v>
      </c>
      <c r="E705" t="s">
        <v>1648</v>
      </c>
      <c r="F705" s="5">
        <v>20.6</v>
      </c>
      <c r="G705" t="s">
        <v>1630</v>
      </c>
      <c r="H705">
        <v>3</v>
      </c>
    </row>
    <row r="706" spans="1:8">
      <c r="A706" t="s">
        <v>2340</v>
      </c>
      <c r="B706" t="s">
        <v>69</v>
      </c>
      <c r="C706" s="4">
        <v>45913</v>
      </c>
      <c r="D706" t="s">
        <v>1628</v>
      </c>
      <c r="E706" t="s">
        <v>1633</v>
      </c>
      <c r="F706" s="5">
        <v>22.9</v>
      </c>
      <c r="G706" t="s">
        <v>1630</v>
      </c>
      <c r="H706">
        <v>1</v>
      </c>
    </row>
    <row r="707" spans="1:8">
      <c r="A707" t="s">
        <v>2341</v>
      </c>
      <c r="B707" t="s">
        <v>290</v>
      </c>
      <c r="C707" s="4">
        <v>45164</v>
      </c>
      <c r="D707" t="s">
        <v>1641</v>
      </c>
      <c r="E707" t="s">
        <v>1609</v>
      </c>
      <c r="F707" s="5">
        <v>7.5</v>
      </c>
      <c r="G707" t="s">
        <v>1626</v>
      </c>
      <c r="H707">
        <v>1</v>
      </c>
    </row>
    <row r="708" spans="1:8">
      <c r="A708" t="s">
        <v>2342</v>
      </c>
      <c r="B708" t="s">
        <v>1406</v>
      </c>
      <c r="C708" s="4">
        <v>45103</v>
      </c>
      <c r="D708" t="s">
        <v>1625</v>
      </c>
      <c r="E708" t="s">
        <v>1629</v>
      </c>
      <c r="F708" s="5">
        <v>0.7</v>
      </c>
      <c r="G708" t="s">
        <v>1626</v>
      </c>
      <c r="H708">
        <v>3</v>
      </c>
    </row>
    <row r="709" spans="1:8">
      <c r="A709" t="s">
        <v>2343</v>
      </c>
      <c r="B709" t="s">
        <v>775</v>
      </c>
      <c r="C709" s="4">
        <v>45392</v>
      </c>
      <c r="D709" t="s">
        <v>1667</v>
      </c>
      <c r="E709" t="s">
        <v>1629</v>
      </c>
      <c r="F709" s="5">
        <v>0.4</v>
      </c>
      <c r="G709" t="s">
        <v>1630</v>
      </c>
      <c r="H709">
        <v>2</v>
      </c>
    </row>
    <row r="710" spans="1:8">
      <c r="A710" t="s">
        <v>2344</v>
      </c>
      <c r="B710" t="s">
        <v>187</v>
      </c>
      <c r="C710" s="4">
        <v>44994</v>
      </c>
      <c r="D710" t="s">
        <v>1641</v>
      </c>
      <c r="E710" t="s">
        <v>1629</v>
      </c>
      <c r="F710" s="5">
        <v>7.2</v>
      </c>
      <c r="G710" t="s">
        <v>1630</v>
      </c>
      <c r="H710">
        <v>1</v>
      </c>
    </row>
    <row r="711" spans="1:8">
      <c r="A711" t="s">
        <v>2345</v>
      </c>
      <c r="B711" t="s">
        <v>1572</v>
      </c>
      <c r="C711" s="4">
        <v>45917</v>
      </c>
      <c r="D711" t="s">
        <v>1628</v>
      </c>
      <c r="E711" t="s">
        <v>1609</v>
      </c>
      <c r="F711" s="5">
        <v>16.8</v>
      </c>
      <c r="G711" t="s">
        <v>1630</v>
      </c>
      <c r="H711">
        <v>3</v>
      </c>
    </row>
    <row r="712" spans="1:8">
      <c r="A712" t="s">
        <v>2346</v>
      </c>
      <c r="B712" t="s">
        <v>1056</v>
      </c>
      <c r="C712" s="4">
        <v>45597</v>
      </c>
      <c r="D712" t="s">
        <v>1632</v>
      </c>
      <c r="E712" t="s">
        <v>1605</v>
      </c>
      <c r="F712" s="5">
        <v>13.3</v>
      </c>
      <c r="G712" t="s">
        <v>1630</v>
      </c>
      <c r="H712">
        <v>5</v>
      </c>
    </row>
    <row r="713" spans="1:8">
      <c r="A713" t="s">
        <v>2347</v>
      </c>
      <c r="B713" t="s">
        <v>1003</v>
      </c>
      <c r="C713" s="4">
        <v>45886</v>
      </c>
      <c r="D713" t="s">
        <v>1625</v>
      </c>
      <c r="E713" t="s">
        <v>1648</v>
      </c>
      <c r="F713" s="5">
        <v>6.8</v>
      </c>
      <c r="G713" t="s">
        <v>1626</v>
      </c>
      <c r="H713">
        <v>2</v>
      </c>
    </row>
    <row r="714" spans="1:8">
      <c r="A714" t="s">
        <v>2348</v>
      </c>
      <c r="B714" t="s">
        <v>750</v>
      </c>
      <c r="C714" s="4">
        <v>45196</v>
      </c>
      <c r="D714" t="s">
        <v>1641</v>
      </c>
      <c r="E714" t="s">
        <v>1633</v>
      </c>
      <c r="F714" s="5">
        <v>25.1</v>
      </c>
      <c r="G714" t="s">
        <v>1630</v>
      </c>
      <c r="H714">
        <v>4</v>
      </c>
    </row>
    <row r="715" spans="1:8">
      <c r="A715" t="s">
        <v>2349</v>
      </c>
      <c r="B715" t="s">
        <v>1430</v>
      </c>
      <c r="C715" s="4">
        <v>45107</v>
      </c>
      <c r="D715" t="s">
        <v>1667</v>
      </c>
      <c r="E715" t="s">
        <v>1648</v>
      </c>
      <c r="F715" s="5">
        <v>20.8</v>
      </c>
      <c r="G715" t="s">
        <v>1626</v>
      </c>
      <c r="H715">
        <v>1</v>
      </c>
    </row>
    <row r="716" spans="1:8">
      <c r="A716" t="s">
        <v>2350</v>
      </c>
      <c r="B716" t="s">
        <v>1393</v>
      </c>
      <c r="C716" s="4">
        <v>45563</v>
      </c>
      <c r="D716" t="s">
        <v>1655</v>
      </c>
      <c r="E716" t="s">
        <v>1609</v>
      </c>
      <c r="F716" s="5">
        <v>1.9</v>
      </c>
      <c r="G716" t="s">
        <v>1630</v>
      </c>
      <c r="H716">
        <v>1</v>
      </c>
    </row>
    <row r="717" spans="1:8">
      <c r="A717" t="s">
        <v>2351</v>
      </c>
      <c r="B717" t="s">
        <v>171</v>
      </c>
      <c r="C717" s="4">
        <v>45455</v>
      </c>
      <c r="D717" t="s">
        <v>1625</v>
      </c>
      <c r="E717" t="s">
        <v>1605</v>
      </c>
      <c r="F717" s="5">
        <v>3.5</v>
      </c>
      <c r="G717" t="s">
        <v>1630</v>
      </c>
      <c r="H717">
        <v>5</v>
      </c>
    </row>
    <row r="718" spans="1:8">
      <c r="A718" t="s">
        <v>2352</v>
      </c>
      <c r="B718" t="s">
        <v>835</v>
      </c>
      <c r="C718" s="4">
        <v>45381</v>
      </c>
      <c r="D718" t="s">
        <v>1632</v>
      </c>
      <c r="E718" t="s">
        <v>1609</v>
      </c>
      <c r="F718" s="5">
        <v>5.0999999999999996</v>
      </c>
      <c r="G718" t="s">
        <v>1630</v>
      </c>
      <c r="H718">
        <v>3</v>
      </c>
    </row>
    <row r="719" spans="1:8">
      <c r="A719" t="s">
        <v>2353</v>
      </c>
      <c r="B719" t="s">
        <v>888</v>
      </c>
      <c r="C719" s="4">
        <v>45451</v>
      </c>
      <c r="D719" t="s">
        <v>1641</v>
      </c>
      <c r="E719" t="s">
        <v>1605</v>
      </c>
      <c r="F719" s="5">
        <v>3.3</v>
      </c>
      <c r="G719" t="s">
        <v>1626</v>
      </c>
      <c r="H719">
        <v>2</v>
      </c>
    </row>
    <row r="720" spans="1:8">
      <c r="A720" t="s">
        <v>2354</v>
      </c>
      <c r="B720" t="s">
        <v>1013</v>
      </c>
      <c r="C720" s="4">
        <v>45050</v>
      </c>
      <c r="D720" t="s">
        <v>1625</v>
      </c>
      <c r="E720" t="s">
        <v>1633</v>
      </c>
      <c r="F720" s="5">
        <v>30.9</v>
      </c>
      <c r="G720" t="s">
        <v>1630</v>
      </c>
      <c r="H720">
        <v>4</v>
      </c>
    </row>
    <row r="721" spans="1:8">
      <c r="A721" t="s">
        <v>2355</v>
      </c>
      <c r="B721" t="s">
        <v>901</v>
      </c>
      <c r="C721" s="4">
        <v>45323</v>
      </c>
      <c r="D721" t="s">
        <v>1641</v>
      </c>
      <c r="E721" t="s">
        <v>1605</v>
      </c>
      <c r="F721" s="5">
        <v>36.6</v>
      </c>
      <c r="G721" t="s">
        <v>1626</v>
      </c>
      <c r="H721">
        <v>2</v>
      </c>
    </row>
    <row r="722" spans="1:8">
      <c r="A722" t="s">
        <v>2356</v>
      </c>
      <c r="B722" t="s">
        <v>1545</v>
      </c>
      <c r="C722" s="4">
        <v>46036</v>
      </c>
      <c r="D722" t="s">
        <v>1641</v>
      </c>
      <c r="E722" t="s">
        <v>1648</v>
      </c>
      <c r="F722" s="5">
        <v>2.9</v>
      </c>
      <c r="G722" t="s">
        <v>1630</v>
      </c>
      <c r="H722">
        <v>2</v>
      </c>
    </row>
    <row r="723" spans="1:8">
      <c r="A723" t="s">
        <v>2357</v>
      </c>
      <c r="B723" t="s">
        <v>803</v>
      </c>
      <c r="C723" s="4">
        <v>45537</v>
      </c>
      <c r="D723" t="s">
        <v>1625</v>
      </c>
      <c r="E723" t="s">
        <v>1605</v>
      </c>
      <c r="F723" s="5">
        <v>6.2</v>
      </c>
      <c r="G723" t="s">
        <v>1630</v>
      </c>
      <c r="H723">
        <v>1</v>
      </c>
    </row>
    <row r="724" spans="1:8">
      <c r="A724" t="s">
        <v>2358</v>
      </c>
      <c r="B724" t="s">
        <v>898</v>
      </c>
      <c r="C724" s="4">
        <v>45836</v>
      </c>
      <c r="D724" t="s">
        <v>1667</v>
      </c>
      <c r="E724" t="s">
        <v>1609</v>
      </c>
      <c r="F724" s="5">
        <v>4</v>
      </c>
      <c r="G724" t="s">
        <v>1630</v>
      </c>
      <c r="H724">
        <v>3</v>
      </c>
    </row>
    <row r="725" spans="1:8">
      <c r="A725" t="s">
        <v>2359</v>
      </c>
      <c r="B725" t="s">
        <v>761</v>
      </c>
      <c r="C725" s="4">
        <v>45090</v>
      </c>
      <c r="D725" t="s">
        <v>1625</v>
      </c>
      <c r="E725" t="s">
        <v>1629</v>
      </c>
      <c r="F725" s="5">
        <v>1.4</v>
      </c>
      <c r="G725" t="s">
        <v>1630</v>
      </c>
      <c r="H725">
        <v>1</v>
      </c>
    </row>
    <row r="726" spans="1:8">
      <c r="A726" t="s">
        <v>2360</v>
      </c>
      <c r="B726" t="s">
        <v>1105</v>
      </c>
      <c r="C726" s="4">
        <v>44996</v>
      </c>
      <c r="D726" t="s">
        <v>1641</v>
      </c>
      <c r="E726" t="s">
        <v>1633</v>
      </c>
      <c r="F726" s="5">
        <v>18.600000000000001</v>
      </c>
      <c r="G726" t="s">
        <v>1630</v>
      </c>
      <c r="H726">
        <v>1</v>
      </c>
    </row>
    <row r="727" spans="1:8">
      <c r="A727" t="s">
        <v>2361</v>
      </c>
      <c r="B727" t="s">
        <v>964</v>
      </c>
      <c r="C727" s="4">
        <v>45560</v>
      </c>
      <c r="D727" t="s">
        <v>1632</v>
      </c>
      <c r="E727" t="s">
        <v>1648</v>
      </c>
      <c r="F727" s="5">
        <v>0.9</v>
      </c>
      <c r="G727" t="s">
        <v>1630</v>
      </c>
      <c r="H727">
        <v>1</v>
      </c>
    </row>
    <row r="728" spans="1:8">
      <c r="A728" t="s">
        <v>2362</v>
      </c>
      <c r="B728" t="s">
        <v>309</v>
      </c>
      <c r="C728" s="4">
        <v>45874</v>
      </c>
      <c r="D728" t="s">
        <v>1655</v>
      </c>
      <c r="E728" t="s">
        <v>1629</v>
      </c>
      <c r="F728" s="5">
        <v>0.8</v>
      </c>
      <c r="G728" t="s">
        <v>1626</v>
      </c>
      <c r="H728">
        <v>1</v>
      </c>
    </row>
    <row r="729" spans="1:8">
      <c r="A729" t="s">
        <v>2363</v>
      </c>
      <c r="B729" t="s">
        <v>389</v>
      </c>
      <c r="C729" s="4">
        <v>45599</v>
      </c>
      <c r="D729" t="s">
        <v>1655</v>
      </c>
      <c r="E729" t="s">
        <v>1629</v>
      </c>
      <c r="F729" s="5">
        <v>9.1999999999999993</v>
      </c>
      <c r="G729" t="s">
        <v>1630</v>
      </c>
      <c r="H729">
        <v>2</v>
      </c>
    </row>
    <row r="730" spans="1:8">
      <c r="A730" t="s">
        <v>2364</v>
      </c>
      <c r="B730" t="s">
        <v>441</v>
      </c>
      <c r="C730" s="4">
        <v>44975</v>
      </c>
      <c r="D730" t="s">
        <v>1625</v>
      </c>
      <c r="E730" t="s">
        <v>1648</v>
      </c>
      <c r="F730" s="5">
        <v>3.7</v>
      </c>
      <c r="G730" t="s">
        <v>1630</v>
      </c>
      <c r="H730">
        <v>3</v>
      </c>
    </row>
    <row r="731" spans="1:8">
      <c r="A731" t="s">
        <v>2365</v>
      </c>
      <c r="B731" t="s">
        <v>1250</v>
      </c>
      <c r="C731" s="4">
        <v>45097</v>
      </c>
      <c r="D731" t="s">
        <v>1632</v>
      </c>
      <c r="E731" t="s">
        <v>1609</v>
      </c>
      <c r="F731" s="5">
        <v>17.899999999999999</v>
      </c>
      <c r="G731" t="s">
        <v>1630</v>
      </c>
      <c r="H731">
        <v>2</v>
      </c>
    </row>
    <row r="732" spans="1:8">
      <c r="A732" t="s">
        <v>2366</v>
      </c>
      <c r="B732" t="s">
        <v>888</v>
      </c>
      <c r="C732" s="4">
        <v>45569</v>
      </c>
      <c r="D732" t="s">
        <v>1655</v>
      </c>
      <c r="E732" t="s">
        <v>1648</v>
      </c>
      <c r="F732" s="5">
        <v>3.5</v>
      </c>
      <c r="G732" t="s">
        <v>1626</v>
      </c>
      <c r="H732">
        <v>1</v>
      </c>
    </row>
    <row r="733" spans="1:8">
      <c r="A733" t="s">
        <v>2367</v>
      </c>
      <c r="B733" t="s">
        <v>420</v>
      </c>
      <c r="C733" s="4">
        <v>45782</v>
      </c>
      <c r="D733" t="s">
        <v>1632</v>
      </c>
      <c r="E733" t="s">
        <v>1609</v>
      </c>
      <c r="F733" s="5">
        <v>0.7</v>
      </c>
      <c r="G733" t="s">
        <v>1630</v>
      </c>
      <c r="H733">
        <v>2</v>
      </c>
    </row>
    <row r="734" spans="1:8">
      <c r="A734" t="s">
        <v>2368</v>
      </c>
      <c r="B734" t="s">
        <v>1461</v>
      </c>
      <c r="C734" s="4">
        <v>45301</v>
      </c>
      <c r="D734" t="s">
        <v>1637</v>
      </c>
      <c r="E734" t="s">
        <v>1633</v>
      </c>
      <c r="F734" s="5">
        <v>27.2</v>
      </c>
      <c r="G734" t="s">
        <v>1630</v>
      </c>
      <c r="H734">
        <v>5</v>
      </c>
    </row>
    <row r="735" spans="1:8">
      <c r="A735" t="s">
        <v>2369</v>
      </c>
      <c r="B735" t="s">
        <v>607</v>
      </c>
      <c r="C735" s="4">
        <v>45828</v>
      </c>
      <c r="D735" t="s">
        <v>1641</v>
      </c>
      <c r="E735" t="s">
        <v>1648</v>
      </c>
      <c r="F735" s="5">
        <v>3.3</v>
      </c>
      <c r="G735" t="s">
        <v>1630</v>
      </c>
      <c r="H735">
        <v>1</v>
      </c>
    </row>
    <row r="736" spans="1:8">
      <c r="A736" t="s">
        <v>2370</v>
      </c>
      <c r="B736" t="s">
        <v>1571</v>
      </c>
      <c r="C736" s="4">
        <v>45935</v>
      </c>
      <c r="D736" t="s">
        <v>1628</v>
      </c>
      <c r="E736" t="s">
        <v>1629</v>
      </c>
      <c r="F736" s="5">
        <v>9.6999999999999993</v>
      </c>
      <c r="G736" t="s">
        <v>1626</v>
      </c>
      <c r="H736">
        <v>2</v>
      </c>
    </row>
    <row r="737" spans="1:8">
      <c r="A737" t="s">
        <v>2371</v>
      </c>
      <c r="B737" t="s">
        <v>1106</v>
      </c>
      <c r="C737" s="4">
        <v>46054</v>
      </c>
      <c r="D737" t="s">
        <v>1628</v>
      </c>
      <c r="E737" t="s">
        <v>1633</v>
      </c>
      <c r="F737" s="5">
        <v>9.9</v>
      </c>
      <c r="G737" t="s">
        <v>1630</v>
      </c>
      <c r="H737">
        <v>3</v>
      </c>
    </row>
    <row r="738" spans="1:8">
      <c r="A738" t="s">
        <v>2372</v>
      </c>
      <c r="B738" t="s">
        <v>1175</v>
      </c>
      <c r="C738" s="4">
        <v>44984</v>
      </c>
      <c r="D738" t="s">
        <v>1637</v>
      </c>
      <c r="E738" t="s">
        <v>1609</v>
      </c>
      <c r="F738" s="5">
        <v>0.4</v>
      </c>
      <c r="G738" t="s">
        <v>1626</v>
      </c>
      <c r="H738">
        <v>2</v>
      </c>
    </row>
    <row r="739" spans="1:8">
      <c r="A739" t="s">
        <v>2373</v>
      </c>
      <c r="B739" t="s">
        <v>1573</v>
      </c>
      <c r="C739" s="4">
        <v>45369</v>
      </c>
      <c r="D739" t="s">
        <v>1667</v>
      </c>
      <c r="E739" t="s">
        <v>1609</v>
      </c>
      <c r="F739" s="5">
        <v>1.8</v>
      </c>
      <c r="G739" t="s">
        <v>1626</v>
      </c>
      <c r="H739">
        <v>1</v>
      </c>
    </row>
    <row r="740" spans="1:8">
      <c r="A740" t="s">
        <v>2374</v>
      </c>
      <c r="B740" t="s">
        <v>51</v>
      </c>
      <c r="C740" s="4">
        <v>45495</v>
      </c>
      <c r="D740" t="s">
        <v>1625</v>
      </c>
      <c r="E740" t="s">
        <v>1609</v>
      </c>
      <c r="F740" s="5">
        <v>16.8</v>
      </c>
      <c r="G740" t="s">
        <v>1630</v>
      </c>
      <c r="H740">
        <v>5</v>
      </c>
    </row>
    <row r="741" spans="1:8">
      <c r="A741" t="s">
        <v>2375</v>
      </c>
      <c r="B741" t="s">
        <v>1134</v>
      </c>
      <c r="C741" s="4">
        <v>45509</v>
      </c>
      <c r="D741" t="s">
        <v>1628</v>
      </c>
      <c r="E741" t="s">
        <v>1648</v>
      </c>
      <c r="F741" s="5">
        <v>2.9</v>
      </c>
      <c r="G741" t="s">
        <v>1630</v>
      </c>
      <c r="H741">
        <v>1</v>
      </c>
    </row>
    <row r="742" spans="1:8">
      <c r="A742" t="s">
        <v>2376</v>
      </c>
      <c r="B742" t="s">
        <v>1571</v>
      </c>
      <c r="C742" s="4">
        <v>45380</v>
      </c>
      <c r="D742" t="s">
        <v>1667</v>
      </c>
      <c r="E742" t="s">
        <v>1633</v>
      </c>
      <c r="F742" s="5">
        <v>17</v>
      </c>
      <c r="G742" t="s">
        <v>1630</v>
      </c>
      <c r="H742">
        <v>2</v>
      </c>
    </row>
    <row r="743" spans="1:8">
      <c r="A743" t="s">
        <v>2377</v>
      </c>
      <c r="B743" t="s">
        <v>1576</v>
      </c>
      <c r="C743" s="4">
        <v>46044</v>
      </c>
      <c r="D743" t="s">
        <v>1625</v>
      </c>
      <c r="E743" t="s">
        <v>1605</v>
      </c>
      <c r="F743" s="5">
        <v>19.2</v>
      </c>
      <c r="G743" t="s">
        <v>1630</v>
      </c>
      <c r="H743">
        <v>3</v>
      </c>
    </row>
    <row r="744" spans="1:8">
      <c r="A744" t="s">
        <v>2378</v>
      </c>
      <c r="B744" t="s">
        <v>399</v>
      </c>
      <c r="C744" s="4">
        <v>45020</v>
      </c>
      <c r="D744" t="s">
        <v>1625</v>
      </c>
      <c r="E744" t="s">
        <v>1609</v>
      </c>
      <c r="F744" s="5">
        <v>0.3</v>
      </c>
      <c r="G744" t="s">
        <v>1630</v>
      </c>
      <c r="H744">
        <v>4</v>
      </c>
    </row>
    <row r="745" spans="1:8">
      <c r="A745" t="s">
        <v>2379</v>
      </c>
      <c r="B745" t="s">
        <v>1069</v>
      </c>
      <c r="C745" s="4">
        <v>46109</v>
      </c>
      <c r="D745" t="s">
        <v>1628</v>
      </c>
      <c r="E745" t="s">
        <v>1609</v>
      </c>
      <c r="F745" s="5">
        <v>4.0999999999999996</v>
      </c>
      <c r="G745" t="s">
        <v>1630</v>
      </c>
      <c r="H745">
        <v>5</v>
      </c>
    </row>
    <row r="746" spans="1:8">
      <c r="A746" t="s">
        <v>2380</v>
      </c>
      <c r="B746" t="s">
        <v>225</v>
      </c>
      <c r="C746" s="4">
        <v>45077</v>
      </c>
      <c r="D746" t="s">
        <v>1641</v>
      </c>
      <c r="E746" t="s">
        <v>1629</v>
      </c>
      <c r="F746" s="5">
        <v>5.2</v>
      </c>
      <c r="G746" t="s">
        <v>1630</v>
      </c>
      <c r="H746">
        <v>2</v>
      </c>
    </row>
    <row r="747" spans="1:8">
      <c r="A747" t="s">
        <v>2381</v>
      </c>
      <c r="B747" t="s">
        <v>944</v>
      </c>
      <c r="C747" s="4">
        <v>45952</v>
      </c>
      <c r="D747" t="s">
        <v>1628</v>
      </c>
      <c r="E747" t="s">
        <v>1605</v>
      </c>
      <c r="F747" s="5">
        <v>10.1</v>
      </c>
      <c r="G747" t="s">
        <v>1626</v>
      </c>
      <c r="H747">
        <v>3</v>
      </c>
    </row>
    <row r="748" spans="1:8">
      <c r="A748" t="s">
        <v>2382</v>
      </c>
      <c r="B748" t="s">
        <v>488</v>
      </c>
      <c r="C748" s="4">
        <v>46094</v>
      </c>
      <c r="D748" t="s">
        <v>1655</v>
      </c>
      <c r="E748" t="s">
        <v>1633</v>
      </c>
      <c r="F748" s="5">
        <v>7</v>
      </c>
      <c r="G748" t="s">
        <v>1626</v>
      </c>
      <c r="H748">
        <v>2</v>
      </c>
    </row>
    <row r="749" spans="1:8">
      <c r="A749" t="s">
        <v>2383</v>
      </c>
      <c r="B749" t="s">
        <v>1460</v>
      </c>
      <c r="C749" s="4">
        <v>45387</v>
      </c>
      <c r="D749" t="s">
        <v>1628</v>
      </c>
      <c r="E749" t="s">
        <v>1629</v>
      </c>
      <c r="F749" s="5">
        <v>5.4</v>
      </c>
      <c r="G749" t="s">
        <v>1630</v>
      </c>
      <c r="H749">
        <v>2</v>
      </c>
    </row>
    <row r="750" spans="1:8">
      <c r="A750" t="s">
        <v>2384</v>
      </c>
      <c r="B750" t="s">
        <v>732</v>
      </c>
      <c r="C750" s="4">
        <v>45598</v>
      </c>
      <c r="D750" t="s">
        <v>1628</v>
      </c>
      <c r="E750" t="s">
        <v>1605</v>
      </c>
      <c r="F750" s="5">
        <v>8</v>
      </c>
      <c r="G750" t="s">
        <v>1626</v>
      </c>
      <c r="H750">
        <v>1</v>
      </c>
    </row>
    <row r="751" spans="1:8">
      <c r="A751" t="s">
        <v>2385</v>
      </c>
      <c r="B751" t="s">
        <v>964</v>
      </c>
      <c r="C751" s="4">
        <v>45362</v>
      </c>
      <c r="D751" t="s">
        <v>1667</v>
      </c>
      <c r="E751" t="s">
        <v>1633</v>
      </c>
      <c r="F751" s="5">
        <v>2.4</v>
      </c>
      <c r="G751" t="s">
        <v>1626</v>
      </c>
      <c r="H751">
        <v>1</v>
      </c>
    </row>
    <row r="752" spans="1:8">
      <c r="A752" t="s">
        <v>2386</v>
      </c>
      <c r="B752" t="s">
        <v>651</v>
      </c>
      <c r="C752" s="4">
        <v>45143</v>
      </c>
      <c r="D752" t="s">
        <v>1625</v>
      </c>
      <c r="E752" t="s">
        <v>1633</v>
      </c>
      <c r="F752" s="5">
        <v>1.6</v>
      </c>
      <c r="G752" t="s">
        <v>1630</v>
      </c>
      <c r="H752">
        <v>2</v>
      </c>
    </row>
    <row r="753" spans="1:8">
      <c r="A753" t="s">
        <v>2387</v>
      </c>
      <c r="B753" t="s">
        <v>1202</v>
      </c>
      <c r="C753" s="4">
        <v>46099</v>
      </c>
      <c r="D753" t="s">
        <v>1632</v>
      </c>
      <c r="E753" t="s">
        <v>1605</v>
      </c>
      <c r="F753" s="5">
        <v>2</v>
      </c>
      <c r="G753" t="s">
        <v>1630</v>
      </c>
      <c r="H753">
        <v>3</v>
      </c>
    </row>
    <row r="754" spans="1:8">
      <c r="A754" t="s">
        <v>2388</v>
      </c>
      <c r="B754" t="s">
        <v>1454</v>
      </c>
      <c r="C754" s="4">
        <v>45122</v>
      </c>
      <c r="D754" t="s">
        <v>1628</v>
      </c>
      <c r="E754" t="s">
        <v>1609</v>
      </c>
      <c r="F754" s="5">
        <v>6.8</v>
      </c>
      <c r="G754" t="s">
        <v>1630</v>
      </c>
      <c r="H754">
        <v>4</v>
      </c>
    </row>
    <row r="755" spans="1:8">
      <c r="A755" t="s">
        <v>2389</v>
      </c>
      <c r="B755" t="s">
        <v>1433</v>
      </c>
      <c r="C755" s="4">
        <v>45022</v>
      </c>
      <c r="D755" t="s">
        <v>1625</v>
      </c>
      <c r="E755" t="s">
        <v>1609</v>
      </c>
      <c r="F755" s="5">
        <v>8.1</v>
      </c>
      <c r="G755" t="s">
        <v>1626</v>
      </c>
      <c r="H755">
        <v>3</v>
      </c>
    </row>
    <row r="756" spans="1:8">
      <c r="A756" t="s">
        <v>2390</v>
      </c>
      <c r="B756" t="s">
        <v>1525</v>
      </c>
      <c r="C756" s="4">
        <v>45774</v>
      </c>
      <c r="D756" t="s">
        <v>1641</v>
      </c>
      <c r="E756" t="s">
        <v>1605</v>
      </c>
      <c r="F756" s="5">
        <v>0.2</v>
      </c>
      <c r="G756" t="s">
        <v>1626</v>
      </c>
      <c r="H756">
        <v>1</v>
      </c>
    </row>
    <row r="757" spans="1:8">
      <c r="A757" t="s">
        <v>2391</v>
      </c>
      <c r="B757" t="s">
        <v>283</v>
      </c>
      <c r="C757" s="4">
        <v>45713</v>
      </c>
      <c r="D757" t="s">
        <v>1625</v>
      </c>
      <c r="E757" t="s">
        <v>1605</v>
      </c>
      <c r="F757" s="5">
        <v>12.7</v>
      </c>
      <c r="G757" t="s">
        <v>1630</v>
      </c>
      <c r="H757">
        <v>1</v>
      </c>
    </row>
    <row r="758" spans="1:8">
      <c r="A758" t="s">
        <v>2392</v>
      </c>
      <c r="B758" t="s">
        <v>645</v>
      </c>
      <c r="C758" s="4">
        <v>45612</v>
      </c>
      <c r="D758" t="s">
        <v>1667</v>
      </c>
      <c r="E758" t="s">
        <v>1629</v>
      </c>
      <c r="F758" s="5">
        <v>3.3</v>
      </c>
      <c r="G758" t="s">
        <v>1626</v>
      </c>
      <c r="H758">
        <v>3</v>
      </c>
    </row>
    <row r="759" spans="1:8">
      <c r="A759" t="s">
        <v>2393</v>
      </c>
      <c r="B759" t="s">
        <v>1048</v>
      </c>
      <c r="C759" s="4">
        <v>46039</v>
      </c>
      <c r="D759" t="s">
        <v>1625</v>
      </c>
      <c r="E759" t="s">
        <v>1648</v>
      </c>
      <c r="F759" s="5">
        <v>15.8</v>
      </c>
      <c r="G759" t="s">
        <v>1630</v>
      </c>
      <c r="H759">
        <v>5</v>
      </c>
    </row>
    <row r="760" spans="1:8">
      <c r="A760" t="s">
        <v>2394</v>
      </c>
      <c r="B760" t="s">
        <v>1304</v>
      </c>
      <c r="C760" s="4">
        <v>46142</v>
      </c>
      <c r="D760" t="s">
        <v>1655</v>
      </c>
      <c r="E760" t="s">
        <v>1633</v>
      </c>
      <c r="F760" s="5">
        <v>1.5</v>
      </c>
      <c r="G760" t="s">
        <v>1630</v>
      </c>
      <c r="H760">
        <v>2</v>
      </c>
    </row>
    <row r="761" spans="1:8">
      <c r="A761" t="s">
        <v>2395</v>
      </c>
      <c r="B761" t="s">
        <v>858</v>
      </c>
      <c r="C761" s="4">
        <v>45293</v>
      </c>
      <c r="D761" t="s">
        <v>1655</v>
      </c>
      <c r="E761" t="s">
        <v>1605</v>
      </c>
      <c r="F761" s="5">
        <v>4.9000000000000004</v>
      </c>
      <c r="G761" t="s">
        <v>1630</v>
      </c>
      <c r="H761">
        <v>2</v>
      </c>
    </row>
    <row r="762" spans="1:8">
      <c r="A762" t="s">
        <v>2396</v>
      </c>
      <c r="B762" t="s">
        <v>264</v>
      </c>
      <c r="C762" s="4">
        <v>45450</v>
      </c>
      <c r="D762" t="s">
        <v>1641</v>
      </c>
      <c r="E762" t="s">
        <v>1629</v>
      </c>
      <c r="F762" s="5">
        <v>17.7</v>
      </c>
      <c r="G762" t="s">
        <v>1630</v>
      </c>
      <c r="H762">
        <v>2</v>
      </c>
    </row>
    <row r="763" spans="1:8">
      <c r="A763" t="s">
        <v>2397</v>
      </c>
      <c r="B763" t="s">
        <v>36</v>
      </c>
      <c r="C763" s="4">
        <v>45838</v>
      </c>
      <c r="D763" t="s">
        <v>1628</v>
      </c>
      <c r="E763" t="s">
        <v>1633</v>
      </c>
      <c r="F763" s="5">
        <v>14.8</v>
      </c>
      <c r="G763" t="s">
        <v>1630</v>
      </c>
      <c r="H763">
        <v>5</v>
      </c>
    </row>
    <row r="764" spans="1:8">
      <c r="A764" t="s">
        <v>2398</v>
      </c>
      <c r="B764" t="s">
        <v>69</v>
      </c>
      <c r="C764" s="4">
        <v>45297</v>
      </c>
      <c r="D764" t="s">
        <v>1628</v>
      </c>
      <c r="E764" t="s">
        <v>1605</v>
      </c>
      <c r="F764" s="5">
        <v>0.8</v>
      </c>
      <c r="G764" t="s">
        <v>1630</v>
      </c>
      <c r="H764">
        <v>2</v>
      </c>
    </row>
    <row r="765" spans="1:8">
      <c r="A765" t="s">
        <v>2399</v>
      </c>
      <c r="B765" t="s">
        <v>243</v>
      </c>
      <c r="C765" s="4">
        <v>45649</v>
      </c>
      <c r="D765" t="s">
        <v>1637</v>
      </c>
      <c r="E765" t="s">
        <v>1648</v>
      </c>
      <c r="F765" s="5">
        <v>12.3</v>
      </c>
      <c r="G765" t="s">
        <v>1630</v>
      </c>
      <c r="H765">
        <v>4</v>
      </c>
    </row>
    <row r="766" spans="1:8">
      <c r="A766" t="s">
        <v>2400</v>
      </c>
      <c r="B766" t="s">
        <v>1285</v>
      </c>
      <c r="C766" s="4">
        <v>44935</v>
      </c>
      <c r="D766" t="s">
        <v>1632</v>
      </c>
      <c r="E766" t="s">
        <v>1648</v>
      </c>
      <c r="F766" s="5">
        <v>0.8</v>
      </c>
      <c r="G766" t="s">
        <v>1630</v>
      </c>
      <c r="H766">
        <v>1</v>
      </c>
    </row>
    <row r="767" spans="1:8">
      <c r="A767" t="s">
        <v>2401</v>
      </c>
      <c r="B767" t="s">
        <v>977</v>
      </c>
      <c r="C767" s="4">
        <v>45821</v>
      </c>
      <c r="D767" t="s">
        <v>1628</v>
      </c>
      <c r="E767" t="s">
        <v>1633</v>
      </c>
      <c r="F767" s="5">
        <v>3.2</v>
      </c>
      <c r="G767" t="s">
        <v>1630</v>
      </c>
      <c r="H767">
        <v>5</v>
      </c>
    </row>
    <row r="768" spans="1:8">
      <c r="A768" t="s">
        <v>2402</v>
      </c>
      <c r="B768" t="s">
        <v>1483</v>
      </c>
      <c r="C768" s="4">
        <v>45567</v>
      </c>
      <c r="D768" t="s">
        <v>1641</v>
      </c>
      <c r="E768" t="s">
        <v>1629</v>
      </c>
      <c r="F768" s="5">
        <v>9.4</v>
      </c>
      <c r="G768" t="s">
        <v>1630</v>
      </c>
      <c r="H768">
        <v>1</v>
      </c>
    </row>
    <row r="769" spans="1:8">
      <c r="A769" t="s">
        <v>2403</v>
      </c>
      <c r="B769" t="s">
        <v>802</v>
      </c>
      <c r="C769" s="4">
        <v>46065</v>
      </c>
      <c r="D769" t="s">
        <v>1641</v>
      </c>
      <c r="E769" t="s">
        <v>1609</v>
      </c>
      <c r="F769" s="5">
        <v>11.1</v>
      </c>
      <c r="G769" t="s">
        <v>1630</v>
      </c>
      <c r="H769">
        <v>2</v>
      </c>
    </row>
    <row r="770" spans="1:8">
      <c r="A770" t="s">
        <v>2404</v>
      </c>
      <c r="B770" t="s">
        <v>944</v>
      </c>
      <c r="C770" s="4">
        <v>46022</v>
      </c>
      <c r="D770" t="s">
        <v>1655</v>
      </c>
      <c r="E770" t="s">
        <v>1648</v>
      </c>
      <c r="F770" s="5">
        <v>15.6</v>
      </c>
      <c r="G770" t="s">
        <v>1630</v>
      </c>
      <c r="H770">
        <v>4</v>
      </c>
    </row>
    <row r="771" spans="1:8">
      <c r="A771" t="s">
        <v>2405</v>
      </c>
      <c r="B771" t="s">
        <v>1129</v>
      </c>
      <c r="C771" s="4">
        <v>45243</v>
      </c>
      <c r="D771" t="s">
        <v>1641</v>
      </c>
      <c r="E771" t="s">
        <v>1648</v>
      </c>
      <c r="F771" s="5">
        <v>5.2</v>
      </c>
      <c r="G771" t="s">
        <v>1630</v>
      </c>
      <c r="H771">
        <v>5</v>
      </c>
    </row>
    <row r="772" spans="1:8">
      <c r="A772" t="s">
        <v>2406</v>
      </c>
      <c r="B772" t="s">
        <v>636</v>
      </c>
      <c r="C772" s="4">
        <v>45606</v>
      </c>
      <c r="D772" t="s">
        <v>1667</v>
      </c>
      <c r="E772" t="s">
        <v>1633</v>
      </c>
      <c r="F772" s="5">
        <v>16.100000000000001</v>
      </c>
      <c r="G772" t="s">
        <v>1630</v>
      </c>
      <c r="H772">
        <v>5</v>
      </c>
    </row>
    <row r="773" spans="1:8">
      <c r="A773" t="s">
        <v>2407</v>
      </c>
      <c r="B773" t="s">
        <v>382</v>
      </c>
      <c r="C773" s="4">
        <v>45271</v>
      </c>
      <c r="D773" t="s">
        <v>1632</v>
      </c>
      <c r="E773" t="s">
        <v>1629</v>
      </c>
      <c r="F773" s="5">
        <v>1.4</v>
      </c>
      <c r="G773" t="s">
        <v>1630</v>
      </c>
      <c r="H773">
        <v>5</v>
      </c>
    </row>
    <row r="774" spans="1:8">
      <c r="A774" t="s">
        <v>2408</v>
      </c>
      <c r="B774" t="s">
        <v>525</v>
      </c>
      <c r="C774" s="4">
        <v>45530</v>
      </c>
      <c r="D774" t="s">
        <v>1641</v>
      </c>
      <c r="E774" t="s">
        <v>1605</v>
      </c>
      <c r="F774" s="5">
        <v>1.2</v>
      </c>
      <c r="G774" t="s">
        <v>1626</v>
      </c>
      <c r="H774">
        <v>1</v>
      </c>
    </row>
    <row r="775" spans="1:8">
      <c r="A775" t="s">
        <v>2409</v>
      </c>
      <c r="B775" t="s">
        <v>595</v>
      </c>
      <c r="C775" s="4">
        <v>45108</v>
      </c>
      <c r="D775" t="s">
        <v>1628</v>
      </c>
      <c r="E775" t="s">
        <v>1629</v>
      </c>
      <c r="F775" s="5">
        <v>35</v>
      </c>
      <c r="G775" t="s">
        <v>1630</v>
      </c>
      <c r="H775">
        <v>2</v>
      </c>
    </row>
    <row r="776" spans="1:8">
      <c r="A776" t="s">
        <v>2410</v>
      </c>
      <c r="B776" t="s">
        <v>1538</v>
      </c>
      <c r="C776" s="4">
        <v>46001</v>
      </c>
      <c r="D776" t="s">
        <v>1632</v>
      </c>
      <c r="E776" t="s">
        <v>1609</v>
      </c>
      <c r="F776" s="5">
        <v>4.4000000000000004</v>
      </c>
      <c r="G776" t="s">
        <v>1626</v>
      </c>
      <c r="H776">
        <v>2</v>
      </c>
    </row>
    <row r="777" spans="1:8">
      <c r="A777" t="s">
        <v>2411</v>
      </c>
      <c r="B777" t="s">
        <v>1080</v>
      </c>
      <c r="C777" s="4">
        <v>46160</v>
      </c>
      <c r="D777" t="s">
        <v>1632</v>
      </c>
      <c r="E777" t="s">
        <v>1609</v>
      </c>
      <c r="F777" s="5">
        <v>8.9</v>
      </c>
      <c r="G777" t="s">
        <v>1630</v>
      </c>
      <c r="H777">
        <v>1</v>
      </c>
    </row>
    <row r="778" spans="1:8">
      <c r="A778" t="s">
        <v>2412</v>
      </c>
      <c r="B778" t="s">
        <v>362</v>
      </c>
      <c r="C778" s="4">
        <v>45000</v>
      </c>
      <c r="D778" t="s">
        <v>1641</v>
      </c>
      <c r="E778" t="s">
        <v>1609</v>
      </c>
      <c r="F778" s="5">
        <v>2.6</v>
      </c>
      <c r="G778" t="s">
        <v>1630</v>
      </c>
      <c r="H778">
        <v>2</v>
      </c>
    </row>
    <row r="779" spans="1:8">
      <c r="A779" t="s">
        <v>2413</v>
      </c>
      <c r="B779" t="s">
        <v>537</v>
      </c>
      <c r="C779" s="4">
        <v>45195</v>
      </c>
      <c r="D779" t="s">
        <v>1628</v>
      </c>
      <c r="E779" t="s">
        <v>1629</v>
      </c>
      <c r="F779" s="5">
        <v>5.5</v>
      </c>
      <c r="G779" t="s">
        <v>1626</v>
      </c>
      <c r="H779">
        <v>1</v>
      </c>
    </row>
    <row r="780" spans="1:8">
      <c r="A780" t="s">
        <v>2414</v>
      </c>
      <c r="B780" t="s">
        <v>1247</v>
      </c>
      <c r="C780" s="4">
        <v>45138</v>
      </c>
      <c r="D780" t="s">
        <v>1628</v>
      </c>
      <c r="E780" t="s">
        <v>1605</v>
      </c>
      <c r="F780" s="5">
        <v>0.3</v>
      </c>
      <c r="G780" t="s">
        <v>1630</v>
      </c>
      <c r="H780">
        <v>2</v>
      </c>
    </row>
    <row r="781" spans="1:8">
      <c r="A781" t="s">
        <v>2415</v>
      </c>
      <c r="B781" t="s">
        <v>977</v>
      </c>
      <c r="C781" s="4">
        <v>45118</v>
      </c>
      <c r="D781" t="s">
        <v>1625</v>
      </c>
      <c r="E781" t="s">
        <v>1609</v>
      </c>
      <c r="F781" s="5">
        <v>4.2</v>
      </c>
      <c r="G781" t="s">
        <v>1630</v>
      </c>
      <c r="H781">
        <v>1</v>
      </c>
    </row>
    <row r="782" spans="1:8">
      <c r="A782" t="s">
        <v>2416</v>
      </c>
      <c r="B782" t="s">
        <v>1231</v>
      </c>
      <c r="C782" s="4">
        <v>45044</v>
      </c>
      <c r="D782" t="s">
        <v>1625</v>
      </c>
      <c r="E782" t="s">
        <v>1648</v>
      </c>
      <c r="F782" s="5">
        <v>2.1</v>
      </c>
      <c r="G782" t="s">
        <v>1626</v>
      </c>
      <c r="H782">
        <v>2</v>
      </c>
    </row>
    <row r="783" spans="1:8">
      <c r="A783" t="s">
        <v>2417</v>
      </c>
      <c r="B783" t="s">
        <v>916</v>
      </c>
      <c r="C783" s="4">
        <v>45655</v>
      </c>
      <c r="D783" t="s">
        <v>1625</v>
      </c>
      <c r="E783" t="s">
        <v>1648</v>
      </c>
      <c r="F783" s="5">
        <v>0.8</v>
      </c>
      <c r="G783" t="s">
        <v>1630</v>
      </c>
      <c r="H783">
        <v>2</v>
      </c>
    </row>
    <row r="784" spans="1:8">
      <c r="A784" t="s">
        <v>2418</v>
      </c>
      <c r="B784" t="s">
        <v>1345</v>
      </c>
      <c r="C784" s="4">
        <v>45072</v>
      </c>
      <c r="D784" t="s">
        <v>1632</v>
      </c>
      <c r="E784" t="s">
        <v>1605</v>
      </c>
      <c r="F784" s="5">
        <v>37.4</v>
      </c>
      <c r="G784" t="s">
        <v>1630</v>
      </c>
      <c r="H784">
        <v>1</v>
      </c>
    </row>
    <row r="785" spans="1:8">
      <c r="A785" t="s">
        <v>2419</v>
      </c>
      <c r="B785" t="s">
        <v>930</v>
      </c>
      <c r="C785" s="4">
        <v>45538</v>
      </c>
      <c r="D785" t="s">
        <v>1625</v>
      </c>
      <c r="E785" t="s">
        <v>1648</v>
      </c>
      <c r="F785" s="5">
        <v>0.3</v>
      </c>
      <c r="G785" t="s">
        <v>1626</v>
      </c>
      <c r="H785">
        <v>3</v>
      </c>
    </row>
    <row r="786" spans="1:8">
      <c r="A786" t="s">
        <v>2420</v>
      </c>
      <c r="B786" t="s">
        <v>1323</v>
      </c>
      <c r="C786" s="4">
        <v>46014</v>
      </c>
      <c r="D786" t="s">
        <v>1628</v>
      </c>
      <c r="E786" t="s">
        <v>1609</v>
      </c>
      <c r="F786" s="5">
        <v>2.4</v>
      </c>
      <c r="G786" t="s">
        <v>1626</v>
      </c>
      <c r="H786">
        <v>3</v>
      </c>
    </row>
    <row r="787" spans="1:8">
      <c r="A787" t="s">
        <v>2421</v>
      </c>
      <c r="B787" t="s">
        <v>1027</v>
      </c>
      <c r="C787" s="4">
        <v>45492</v>
      </c>
      <c r="D787" t="s">
        <v>1628</v>
      </c>
      <c r="E787" t="s">
        <v>1629</v>
      </c>
      <c r="F787" s="5">
        <v>4</v>
      </c>
      <c r="G787" t="s">
        <v>1630</v>
      </c>
      <c r="H787">
        <v>1</v>
      </c>
    </row>
    <row r="788" spans="1:8">
      <c r="A788" t="s">
        <v>2422</v>
      </c>
      <c r="B788" t="s">
        <v>1388</v>
      </c>
      <c r="C788" s="4">
        <v>45342</v>
      </c>
      <c r="D788" t="s">
        <v>1667</v>
      </c>
      <c r="E788" t="s">
        <v>1629</v>
      </c>
      <c r="F788" s="5">
        <v>5.3</v>
      </c>
      <c r="G788" t="s">
        <v>1630</v>
      </c>
      <c r="H788">
        <v>3</v>
      </c>
    </row>
    <row r="789" spans="1:8">
      <c r="A789" t="s">
        <v>2423</v>
      </c>
      <c r="B789" t="s">
        <v>839</v>
      </c>
      <c r="C789" s="4">
        <v>46068</v>
      </c>
      <c r="D789" t="s">
        <v>1637</v>
      </c>
      <c r="E789" t="s">
        <v>1629</v>
      </c>
      <c r="F789" s="5">
        <v>14.7</v>
      </c>
      <c r="G789" t="s">
        <v>1626</v>
      </c>
      <c r="H789">
        <v>2</v>
      </c>
    </row>
    <row r="790" spans="1:8">
      <c r="A790" t="s">
        <v>2424</v>
      </c>
      <c r="B790" t="s">
        <v>1569</v>
      </c>
      <c r="C790" s="4">
        <v>45010</v>
      </c>
      <c r="D790" t="s">
        <v>1625</v>
      </c>
      <c r="E790" t="s">
        <v>1629</v>
      </c>
      <c r="F790" s="5">
        <v>21.3</v>
      </c>
      <c r="G790" t="s">
        <v>1630</v>
      </c>
      <c r="H790">
        <v>5</v>
      </c>
    </row>
    <row r="791" spans="1:8">
      <c r="A791" t="s">
        <v>2425</v>
      </c>
      <c r="B791" t="s">
        <v>1391</v>
      </c>
      <c r="C791" s="4">
        <v>45733</v>
      </c>
      <c r="D791" t="s">
        <v>1625</v>
      </c>
      <c r="E791" t="s">
        <v>1609</v>
      </c>
      <c r="F791" s="5">
        <v>2.9</v>
      </c>
      <c r="G791" t="s">
        <v>1630</v>
      </c>
      <c r="H791">
        <v>3</v>
      </c>
    </row>
    <row r="792" spans="1:8">
      <c r="A792" t="s">
        <v>2426</v>
      </c>
      <c r="B792" t="s">
        <v>676</v>
      </c>
      <c r="C792" s="4">
        <v>45001</v>
      </c>
      <c r="D792" t="s">
        <v>1625</v>
      </c>
      <c r="E792" t="s">
        <v>1629</v>
      </c>
      <c r="F792" s="5">
        <v>4</v>
      </c>
      <c r="G792" t="s">
        <v>1630</v>
      </c>
      <c r="H792">
        <v>3</v>
      </c>
    </row>
    <row r="793" spans="1:8">
      <c r="A793" t="s">
        <v>2427</v>
      </c>
      <c r="B793" t="s">
        <v>1123</v>
      </c>
      <c r="C793" s="4">
        <v>45313</v>
      </c>
      <c r="D793" t="s">
        <v>1632</v>
      </c>
      <c r="E793" t="s">
        <v>1648</v>
      </c>
      <c r="F793" s="5">
        <v>4.3</v>
      </c>
      <c r="G793" t="s">
        <v>1630</v>
      </c>
      <c r="H793">
        <v>5</v>
      </c>
    </row>
    <row r="794" spans="1:8">
      <c r="A794" t="s">
        <v>2428</v>
      </c>
      <c r="B794" t="s">
        <v>795</v>
      </c>
      <c r="C794" s="4">
        <v>45269</v>
      </c>
      <c r="D794" t="s">
        <v>1625</v>
      </c>
      <c r="E794" t="s">
        <v>1605</v>
      </c>
      <c r="F794" s="5">
        <v>15</v>
      </c>
      <c r="G794" t="s">
        <v>1630</v>
      </c>
      <c r="H794">
        <v>4</v>
      </c>
    </row>
    <row r="795" spans="1:8">
      <c r="A795" t="s">
        <v>2429</v>
      </c>
      <c r="B795" t="s">
        <v>1486</v>
      </c>
      <c r="C795" s="4">
        <v>45167</v>
      </c>
      <c r="D795" t="s">
        <v>1628</v>
      </c>
      <c r="E795" t="s">
        <v>1605</v>
      </c>
      <c r="F795" s="5">
        <v>2.4</v>
      </c>
      <c r="G795" t="s">
        <v>1630</v>
      </c>
      <c r="H795">
        <v>2</v>
      </c>
    </row>
    <row r="796" spans="1:8">
      <c r="A796" t="s">
        <v>2430</v>
      </c>
      <c r="B796" t="s">
        <v>1532</v>
      </c>
      <c r="C796" s="4">
        <v>45630</v>
      </c>
      <c r="D796" t="s">
        <v>1667</v>
      </c>
      <c r="E796" t="s">
        <v>1648</v>
      </c>
      <c r="F796" s="5">
        <v>9.5</v>
      </c>
      <c r="G796" t="s">
        <v>1630</v>
      </c>
      <c r="H796">
        <v>2</v>
      </c>
    </row>
    <row r="797" spans="1:8">
      <c r="A797" t="s">
        <v>2431</v>
      </c>
      <c r="B797" t="s">
        <v>311</v>
      </c>
      <c r="C797" s="4">
        <v>45981</v>
      </c>
      <c r="D797" t="s">
        <v>1637</v>
      </c>
      <c r="E797" t="s">
        <v>1609</v>
      </c>
      <c r="F797" s="5">
        <v>6.1</v>
      </c>
      <c r="G797" t="s">
        <v>1630</v>
      </c>
      <c r="H797">
        <v>5</v>
      </c>
    </row>
    <row r="798" spans="1:8">
      <c r="A798" t="s">
        <v>2432</v>
      </c>
      <c r="B798" t="s">
        <v>1566</v>
      </c>
      <c r="C798" s="4">
        <v>45127</v>
      </c>
      <c r="D798" t="s">
        <v>1632</v>
      </c>
      <c r="E798" t="s">
        <v>1629</v>
      </c>
      <c r="F798" s="5">
        <v>1.3</v>
      </c>
      <c r="G798" t="s">
        <v>1630</v>
      </c>
      <c r="H798">
        <v>3</v>
      </c>
    </row>
    <row r="799" spans="1:8">
      <c r="A799" t="s">
        <v>2433</v>
      </c>
      <c r="B799" t="s">
        <v>1517</v>
      </c>
      <c r="C799" s="4">
        <v>45100</v>
      </c>
      <c r="D799" t="s">
        <v>1632</v>
      </c>
      <c r="E799" t="s">
        <v>1648</v>
      </c>
      <c r="F799" s="5">
        <v>9.1999999999999993</v>
      </c>
      <c r="G799" t="s">
        <v>1630</v>
      </c>
      <c r="H799">
        <v>2</v>
      </c>
    </row>
    <row r="800" spans="1:8">
      <c r="A800" t="s">
        <v>2434</v>
      </c>
      <c r="B800" t="s">
        <v>1053</v>
      </c>
      <c r="C800" s="4">
        <v>45620</v>
      </c>
      <c r="D800" t="s">
        <v>1655</v>
      </c>
      <c r="E800" t="s">
        <v>1605</v>
      </c>
      <c r="F800" s="5">
        <v>10.199999999999999</v>
      </c>
      <c r="G800" t="s">
        <v>1626</v>
      </c>
      <c r="H800">
        <v>2</v>
      </c>
    </row>
    <row r="801" spans="1:8">
      <c r="A801" t="s">
        <v>2435</v>
      </c>
      <c r="B801" t="s">
        <v>1562</v>
      </c>
      <c r="C801" s="4">
        <v>45870</v>
      </c>
      <c r="D801" t="s">
        <v>1667</v>
      </c>
      <c r="E801" t="s">
        <v>1605</v>
      </c>
      <c r="F801" s="5">
        <v>17.600000000000001</v>
      </c>
      <c r="G801" t="s">
        <v>1630</v>
      </c>
      <c r="H801">
        <v>3</v>
      </c>
    </row>
    <row r="802" spans="1:8">
      <c r="A802" t="s">
        <v>2436</v>
      </c>
      <c r="B802" t="s">
        <v>1016</v>
      </c>
      <c r="C802" s="4">
        <v>45410</v>
      </c>
      <c r="D802" t="s">
        <v>1628</v>
      </c>
      <c r="E802" t="s">
        <v>1633</v>
      </c>
      <c r="F802" s="5">
        <v>23.8</v>
      </c>
      <c r="G802" t="s">
        <v>1626</v>
      </c>
      <c r="H802">
        <v>1</v>
      </c>
    </row>
    <row r="803" spans="1:8">
      <c r="A803" t="s">
        <v>2437</v>
      </c>
      <c r="B803" t="s">
        <v>1397</v>
      </c>
      <c r="C803" s="4">
        <v>45420</v>
      </c>
      <c r="D803" t="s">
        <v>1628</v>
      </c>
      <c r="E803" t="s">
        <v>1633</v>
      </c>
      <c r="F803" s="5">
        <v>15.1</v>
      </c>
      <c r="G803" t="s">
        <v>1630</v>
      </c>
      <c r="H803">
        <v>4</v>
      </c>
    </row>
    <row r="804" spans="1:8">
      <c r="A804" t="s">
        <v>2438</v>
      </c>
      <c r="B804" t="s">
        <v>146</v>
      </c>
      <c r="C804" s="4">
        <v>45692</v>
      </c>
      <c r="D804" t="s">
        <v>1667</v>
      </c>
      <c r="E804" t="s">
        <v>1633</v>
      </c>
      <c r="F804" s="5">
        <v>3.7</v>
      </c>
      <c r="G804" t="s">
        <v>1630</v>
      </c>
      <c r="H804">
        <v>4</v>
      </c>
    </row>
    <row r="805" spans="1:8">
      <c r="A805" t="s">
        <v>2439</v>
      </c>
      <c r="B805" t="s">
        <v>1529</v>
      </c>
      <c r="C805" s="4">
        <v>46081</v>
      </c>
      <c r="D805" t="s">
        <v>1632</v>
      </c>
      <c r="E805" t="s">
        <v>1629</v>
      </c>
      <c r="F805" s="5">
        <v>3.2</v>
      </c>
      <c r="G805" t="s">
        <v>1630</v>
      </c>
      <c r="H805">
        <v>5</v>
      </c>
    </row>
    <row r="806" spans="1:8">
      <c r="A806" t="s">
        <v>2440</v>
      </c>
      <c r="B806" t="s">
        <v>1269</v>
      </c>
      <c r="C806" s="4">
        <v>45476</v>
      </c>
      <c r="D806" t="s">
        <v>1632</v>
      </c>
      <c r="E806" t="s">
        <v>1633</v>
      </c>
      <c r="F806" s="5">
        <v>23.5</v>
      </c>
      <c r="G806" t="s">
        <v>1630</v>
      </c>
      <c r="H806">
        <v>2</v>
      </c>
    </row>
    <row r="807" spans="1:8">
      <c r="A807" t="s">
        <v>2441</v>
      </c>
      <c r="B807" t="s">
        <v>886</v>
      </c>
      <c r="C807" s="4">
        <v>45686</v>
      </c>
      <c r="D807" t="s">
        <v>1641</v>
      </c>
      <c r="E807" t="s">
        <v>1633</v>
      </c>
      <c r="F807" s="5">
        <v>4</v>
      </c>
      <c r="G807" t="s">
        <v>1626</v>
      </c>
      <c r="H807">
        <v>3</v>
      </c>
    </row>
    <row r="808" spans="1:8">
      <c r="A808" t="s">
        <v>2442</v>
      </c>
      <c r="B808" t="s">
        <v>1359</v>
      </c>
      <c r="C808" s="4">
        <v>45956</v>
      </c>
      <c r="D808" t="s">
        <v>1625</v>
      </c>
      <c r="E808" t="s">
        <v>1609</v>
      </c>
      <c r="F808" s="5">
        <v>4.5</v>
      </c>
      <c r="G808" t="s">
        <v>1626</v>
      </c>
      <c r="H808">
        <v>1</v>
      </c>
    </row>
    <row r="809" spans="1:8">
      <c r="A809" t="s">
        <v>2443</v>
      </c>
      <c r="B809" t="s">
        <v>265</v>
      </c>
      <c r="C809" s="4">
        <v>45289</v>
      </c>
      <c r="D809" t="s">
        <v>1625</v>
      </c>
      <c r="E809" t="s">
        <v>1633</v>
      </c>
      <c r="F809" s="5">
        <v>0.2</v>
      </c>
      <c r="G809" t="s">
        <v>1630</v>
      </c>
      <c r="H809">
        <v>1</v>
      </c>
    </row>
    <row r="810" spans="1:8">
      <c r="A810" t="s">
        <v>2444</v>
      </c>
      <c r="B810" t="s">
        <v>1072</v>
      </c>
      <c r="C810" s="4">
        <v>45607</v>
      </c>
      <c r="D810" t="s">
        <v>1667</v>
      </c>
      <c r="E810" t="s">
        <v>1648</v>
      </c>
      <c r="F810" s="5">
        <v>19.899999999999999</v>
      </c>
      <c r="G810" t="s">
        <v>1630</v>
      </c>
      <c r="H810">
        <v>1</v>
      </c>
    </row>
    <row r="811" spans="1:8">
      <c r="A811" t="s">
        <v>2445</v>
      </c>
      <c r="B811" t="s">
        <v>1404</v>
      </c>
      <c r="C811" s="4">
        <v>45626</v>
      </c>
      <c r="D811" t="s">
        <v>1628</v>
      </c>
      <c r="E811" t="s">
        <v>1629</v>
      </c>
      <c r="F811" s="5">
        <v>7.2</v>
      </c>
      <c r="G811" t="s">
        <v>1630</v>
      </c>
      <c r="H811">
        <v>3</v>
      </c>
    </row>
    <row r="812" spans="1:8">
      <c r="A812" t="s">
        <v>2446</v>
      </c>
      <c r="B812" t="s">
        <v>1078</v>
      </c>
      <c r="C812" s="4">
        <v>45707</v>
      </c>
      <c r="D812" t="s">
        <v>1625</v>
      </c>
      <c r="E812" t="s">
        <v>1629</v>
      </c>
      <c r="F812" s="5">
        <v>1.6</v>
      </c>
      <c r="G812" t="s">
        <v>1626</v>
      </c>
      <c r="H812">
        <v>1</v>
      </c>
    </row>
    <row r="813" spans="1:8">
      <c r="A813" t="s">
        <v>2447</v>
      </c>
      <c r="B813" t="s">
        <v>100</v>
      </c>
      <c r="C813" s="4">
        <v>45855</v>
      </c>
      <c r="D813" t="s">
        <v>1637</v>
      </c>
      <c r="E813" t="s">
        <v>1633</v>
      </c>
      <c r="F813" s="5">
        <v>1.2</v>
      </c>
      <c r="G813" t="s">
        <v>1630</v>
      </c>
      <c r="H813">
        <v>5</v>
      </c>
    </row>
    <row r="814" spans="1:8">
      <c r="A814" t="s">
        <v>2448</v>
      </c>
      <c r="B814" t="s">
        <v>345</v>
      </c>
      <c r="C814" s="4">
        <v>45471</v>
      </c>
      <c r="D814" t="s">
        <v>1628</v>
      </c>
      <c r="E814" t="s">
        <v>1609</v>
      </c>
      <c r="F814" s="5">
        <v>21.6</v>
      </c>
      <c r="G814" t="s">
        <v>1630</v>
      </c>
      <c r="H814">
        <v>3</v>
      </c>
    </row>
    <row r="815" spans="1:8">
      <c r="A815" t="s">
        <v>2449</v>
      </c>
      <c r="B815" t="s">
        <v>1185</v>
      </c>
      <c r="C815" s="4">
        <v>46042</v>
      </c>
      <c r="D815" t="s">
        <v>1641</v>
      </c>
      <c r="E815" t="s">
        <v>1605</v>
      </c>
      <c r="F815" s="5">
        <v>12.6</v>
      </c>
      <c r="G815" t="s">
        <v>1630</v>
      </c>
      <c r="H815">
        <v>4</v>
      </c>
    </row>
    <row r="816" spans="1:8">
      <c r="A816" t="s">
        <v>2450</v>
      </c>
      <c r="B816" t="s">
        <v>1407</v>
      </c>
      <c r="C816" s="4">
        <v>45165</v>
      </c>
      <c r="D816" t="s">
        <v>1625</v>
      </c>
      <c r="E816" t="s">
        <v>1633</v>
      </c>
      <c r="F816" s="5">
        <v>17.399999999999999</v>
      </c>
      <c r="G816" t="s">
        <v>1630</v>
      </c>
      <c r="H816">
        <v>1</v>
      </c>
    </row>
    <row r="817" spans="1:8">
      <c r="A817" t="s">
        <v>2451</v>
      </c>
      <c r="B817" t="s">
        <v>908</v>
      </c>
      <c r="C817" s="4">
        <v>46087</v>
      </c>
      <c r="D817" t="s">
        <v>1625</v>
      </c>
      <c r="E817" t="s">
        <v>1629</v>
      </c>
      <c r="F817" s="5">
        <v>2</v>
      </c>
      <c r="G817" t="s">
        <v>1626</v>
      </c>
      <c r="H817">
        <v>3</v>
      </c>
    </row>
    <row r="818" spans="1:8">
      <c r="A818" t="s">
        <v>2452</v>
      </c>
      <c r="B818" t="s">
        <v>1512</v>
      </c>
      <c r="C818" s="4">
        <v>44964</v>
      </c>
      <c r="D818" t="s">
        <v>1628</v>
      </c>
      <c r="E818" t="s">
        <v>1609</v>
      </c>
      <c r="F818" s="5">
        <v>5.5</v>
      </c>
      <c r="G818" t="s">
        <v>1630</v>
      </c>
      <c r="H818">
        <v>3</v>
      </c>
    </row>
    <row r="819" spans="1:8">
      <c r="A819" t="s">
        <v>2453</v>
      </c>
      <c r="B819" t="s">
        <v>1532</v>
      </c>
      <c r="C819" s="4">
        <v>45269</v>
      </c>
      <c r="D819" t="s">
        <v>1628</v>
      </c>
      <c r="E819" t="s">
        <v>1609</v>
      </c>
      <c r="F819" s="5">
        <v>0.7</v>
      </c>
      <c r="G819" t="s">
        <v>1630</v>
      </c>
      <c r="H819">
        <v>4</v>
      </c>
    </row>
    <row r="820" spans="1:8">
      <c r="A820" t="s">
        <v>2454</v>
      </c>
      <c r="B820" t="s">
        <v>293</v>
      </c>
      <c r="C820" s="4">
        <v>46067</v>
      </c>
      <c r="D820" t="s">
        <v>1625</v>
      </c>
      <c r="E820" t="s">
        <v>1605</v>
      </c>
      <c r="F820" s="5">
        <v>1.9</v>
      </c>
      <c r="G820" t="s">
        <v>1630</v>
      </c>
      <c r="H820">
        <v>3</v>
      </c>
    </row>
    <row r="821" spans="1:8">
      <c r="A821" t="s">
        <v>2455</v>
      </c>
      <c r="B821" t="s">
        <v>1307</v>
      </c>
      <c r="C821" s="4">
        <v>45287</v>
      </c>
      <c r="D821" t="s">
        <v>1625</v>
      </c>
      <c r="E821" t="s">
        <v>1648</v>
      </c>
      <c r="F821" s="5">
        <v>12.8</v>
      </c>
      <c r="G821" t="s">
        <v>1630</v>
      </c>
      <c r="H821">
        <v>4</v>
      </c>
    </row>
    <row r="822" spans="1:8">
      <c r="A822" t="s">
        <v>2456</v>
      </c>
      <c r="B822" t="s">
        <v>199</v>
      </c>
      <c r="C822" s="4">
        <v>45157</v>
      </c>
      <c r="D822" t="s">
        <v>1641</v>
      </c>
      <c r="E822" t="s">
        <v>1605</v>
      </c>
      <c r="F822" s="5">
        <v>16.3</v>
      </c>
      <c r="G822" t="s">
        <v>1626</v>
      </c>
      <c r="H822">
        <v>3</v>
      </c>
    </row>
    <row r="823" spans="1:8">
      <c r="A823" t="s">
        <v>2457</v>
      </c>
      <c r="B823" t="s">
        <v>135</v>
      </c>
      <c r="C823" s="4">
        <v>46010</v>
      </c>
      <c r="D823" t="s">
        <v>1625</v>
      </c>
      <c r="E823" t="s">
        <v>1633</v>
      </c>
      <c r="F823" s="5">
        <v>16.7</v>
      </c>
      <c r="G823" t="s">
        <v>1626</v>
      </c>
      <c r="H823">
        <v>1</v>
      </c>
    </row>
    <row r="824" spans="1:8">
      <c r="A824" t="s">
        <v>2458</v>
      </c>
      <c r="B824" t="s">
        <v>1513</v>
      </c>
      <c r="C824" s="4">
        <v>45837</v>
      </c>
      <c r="D824" t="s">
        <v>1641</v>
      </c>
      <c r="E824" t="s">
        <v>1605</v>
      </c>
      <c r="F824" s="5">
        <v>6.9</v>
      </c>
      <c r="G824" t="s">
        <v>1630</v>
      </c>
      <c r="H824">
        <v>3</v>
      </c>
    </row>
    <row r="825" spans="1:8">
      <c r="A825" t="s">
        <v>2459</v>
      </c>
      <c r="B825" t="s">
        <v>841</v>
      </c>
      <c r="C825" s="4">
        <v>45312</v>
      </c>
      <c r="D825" t="s">
        <v>1628</v>
      </c>
      <c r="E825" t="s">
        <v>1609</v>
      </c>
      <c r="F825" s="5">
        <v>0.9</v>
      </c>
      <c r="G825" t="s">
        <v>1626</v>
      </c>
      <c r="H825">
        <v>3</v>
      </c>
    </row>
    <row r="826" spans="1:8">
      <c r="A826" t="s">
        <v>2460</v>
      </c>
      <c r="B826" t="s">
        <v>1420</v>
      </c>
      <c r="C826" s="4">
        <v>45022</v>
      </c>
      <c r="D826" t="s">
        <v>1667</v>
      </c>
      <c r="E826" t="s">
        <v>1633</v>
      </c>
      <c r="F826" s="5">
        <v>13.5</v>
      </c>
      <c r="G826" t="s">
        <v>1630</v>
      </c>
      <c r="H826">
        <v>5</v>
      </c>
    </row>
    <row r="827" spans="1:8">
      <c r="A827" t="s">
        <v>2461</v>
      </c>
      <c r="B827" t="s">
        <v>233</v>
      </c>
      <c r="C827" s="4">
        <v>44977</v>
      </c>
      <c r="D827" t="s">
        <v>1667</v>
      </c>
      <c r="E827" t="s">
        <v>1633</v>
      </c>
      <c r="F827" s="5">
        <v>3.2</v>
      </c>
      <c r="G827" t="s">
        <v>1630</v>
      </c>
      <c r="H827">
        <v>1</v>
      </c>
    </row>
    <row r="828" spans="1:8">
      <c r="A828" t="s">
        <v>2462</v>
      </c>
      <c r="B828" t="s">
        <v>173</v>
      </c>
      <c r="C828" s="4">
        <v>44978</v>
      </c>
      <c r="D828" t="s">
        <v>1667</v>
      </c>
      <c r="E828" t="s">
        <v>1629</v>
      </c>
      <c r="F828" s="5">
        <v>15.5</v>
      </c>
      <c r="G828" t="s">
        <v>1630</v>
      </c>
      <c r="H828">
        <v>2</v>
      </c>
    </row>
    <row r="829" spans="1:8">
      <c r="A829" t="s">
        <v>2463</v>
      </c>
      <c r="B829" t="s">
        <v>239</v>
      </c>
      <c r="C829" s="4">
        <v>45560</v>
      </c>
      <c r="D829" t="s">
        <v>1628</v>
      </c>
      <c r="E829" t="s">
        <v>1629</v>
      </c>
      <c r="F829" s="5">
        <v>8.6999999999999993</v>
      </c>
      <c r="G829" t="s">
        <v>1626</v>
      </c>
      <c r="H829">
        <v>1</v>
      </c>
    </row>
    <row r="830" spans="1:8">
      <c r="A830" t="s">
        <v>2464</v>
      </c>
      <c r="B830" t="s">
        <v>867</v>
      </c>
      <c r="C830" s="4">
        <v>44981</v>
      </c>
      <c r="D830" t="s">
        <v>1641</v>
      </c>
      <c r="E830" t="s">
        <v>1605</v>
      </c>
      <c r="F830" s="5">
        <v>27.5</v>
      </c>
      <c r="G830" t="s">
        <v>1630</v>
      </c>
      <c r="H830">
        <v>1</v>
      </c>
    </row>
    <row r="831" spans="1:8">
      <c r="A831" t="s">
        <v>2465</v>
      </c>
      <c r="B831" t="s">
        <v>1347</v>
      </c>
      <c r="C831" s="4">
        <v>45372</v>
      </c>
      <c r="D831" t="s">
        <v>1655</v>
      </c>
      <c r="E831" t="s">
        <v>1648</v>
      </c>
      <c r="F831" s="5">
        <v>13.1</v>
      </c>
      <c r="G831" t="s">
        <v>1630</v>
      </c>
      <c r="H831">
        <v>4</v>
      </c>
    </row>
    <row r="832" spans="1:8">
      <c r="A832" t="s">
        <v>2466</v>
      </c>
      <c r="B832" t="s">
        <v>434</v>
      </c>
      <c r="C832" s="4">
        <v>44998</v>
      </c>
      <c r="D832" t="s">
        <v>1628</v>
      </c>
      <c r="E832" t="s">
        <v>1605</v>
      </c>
      <c r="F832" s="5">
        <v>3.8</v>
      </c>
      <c r="G832" t="s">
        <v>1630</v>
      </c>
      <c r="H832">
        <v>2</v>
      </c>
    </row>
    <row r="833" spans="1:8">
      <c r="A833" t="s">
        <v>2467</v>
      </c>
      <c r="B833" t="s">
        <v>997</v>
      </c>
      <c r="C833" s="4">
        <v>45727</v>
      </c>
      <c r="D833" t="s">
        <v>1628</v>
      </c>
      <c r="E833" t="s">
        <v>1609</v>
      </c>
      <c r="F833" s="5">
        <v>7.3</v>
      </c>
      <c r="G833" t="s">
        <v>1630</v>
      </c>
      <c r="H833">
        <v>4</v>
      </c>
    </row>
    <row r="834" spans="1:8">
      <c r="A834" t="s">
        <v>2468</v>
      </c>
      <c r="B834" t="s">
        <v>1368</v>
      </c>
      <c r="C834" s="4">
        <v>45431</v>
      </c>
      <c r="D834" t="s">
        <v>1625</v>
      </c>
      <c r="E834" t="s">
        <v>1633</v>
      </c>
      <c r="F834" s="5">
        <v>27.1</v>
      </c>
      <c r="G834" t="s">
        <v>1630</v>
      </c>
      <c r="H834">
        <v>2</v>
      </c>
    </row>
    <row r="835" spans="1:8">
      <c r="A835" t="s">
        <v>2469</v>
      </c>
      <c r="B835" t="s">
        <v>1521</v>
      </c>
      <c r="C835" s="4">
        <v>45407</v>
      </c>
      <c r="D835" t="s">
        <v>1628</v>
      </c>
      <c r="E835" t="s">
        <v>1605</v>
      </c>
      <c r="F835" s="5">
        <v>8.1999999999999993</v>
      </c>
      <c r="G835" t="s">
        <v>1630</v>
      </c>
      <c r="H835">
        <v>4</v>
      </c>
    </row>
    <row r="836" spans="1:8">
      <c r="A836" t="s">
        <v>2470</v>
      </c>
      <c r="B836" t="s">
        <v>550</v>
      </c>
      <c r="C836" s="4">
        <v>45316</v>
      </c>
      <c r="D836" t="s">
        <v>1637</v>
      </c>
      <c r="E836" t="s">
        <v>1648</v>
      </c>
      <c r="F836" s="5">
        <v>7.5</v>
      </c>
      <c r="G836" t="s">
        <v>1630</v>
      </c>
      <c r="H836">
        <v>3</v>
      </c>
    </row>
    <row r="837" spans="1:8">
      <c r="A837" t="s">
        <v>2471</v>
      </c>
      <c r="B837" t="s">
        <v>1449</v>
      </c>
      <c r="C837" s="4">
        <v>45897</v>
      </c>
      <c r="D837" t="s">
        <v>1632</v>
      </c>
      <c r="E837" t="s">
        <v>1605</v>
      </c>
      <c r="F837" s="5">
        <v>12.2</v>
      </c>
      <c r="G837" t="s">
        <v>1630</v>
      </c>
      <c r="H837">
        <v>2</v>
      </c>
    </row>
    <row r="838" spans="1:8">
      <c r="A838" t="s">
        <v>2472</v>
      </c>
      <c r="B838" t="s">
        <v>864</v>
      </c>
      <c r="C838" s="4">
        <v>45801</v>
      </c>
      <c r="D838" t="s">
        <v>1628</v>
      </c>
      <c r="E838" t="s">
        <v>1633</v>
      </c>
      <c r="F838" s="5">
        <v>28.6</v>
      </c>
      <c r="G838" t="s">
        <v>1630</v>
      </c>
      <c r="H838">
        <v>1</v>
      </c>
    </row>
    <row r="839" spans="1:8">
      <c r="A839" t="s">
        <v>2473</v>
      </c>
      <c r="B839" t="s">
        <v>1517</v>
      </c>
      <c r="C839" s="4">
        <v>45027</v>
      </c>
      <c r="D839" t="s">
        <v>1641</v>
      </c>
      <c r="E839" t="s">
        <v>1629</v>
      </c>
      <c r="F839" s="5">
        <v>0.4</v>
      </c>
      <c r="G839" t="s">
        <v>1630</v>
      </c>
      <c r="H839">
        <v>5</v>
      </c>
    </row>
    <row r="840" spans="1:8">
      <c r="A840" t="s">
        <v>2474</v>
      </c>
      <c r="B840" t="s">
        <v>968</v>
      </c>
      <c r="C840" s="4">
        <v>45174</v>
      </c>
      <c r="D840" t="s">
        <v>1655</v>
      </c>
      <c r="E840" t="s">
        <v>1605</v>
      </c>
      <c r="F840" s="5">
        <v>14.2</v>
      </c>
      <c r="G840" t="s">
        <v>1630</v>
      </c>
      <c r="H840">
        <v>1</v>
      </c>
    </row>
    <row r="841" spans="1:8">
      <c r="A841" t="s">
        <v>2475</v>
      </c>
      <c r="B841" t="s">
        <v>307</v>
      </c>
      <c r="C841" s="4">
        <v>44955</v>
      </c>
      <c r="D841" t="s">
        <v>1641</v>
      </c>
      <c r="E841" t="s">
        <v>1605</v>
      </c>
      <c r="F841" s="5">
        <v>4</v>
      </c>
      <c r="G841" t="s">
        <v>1630</v>
      </c>
      <c r="H841">
        <v>5</v>
      </c>
    </row>
    <row r="842" spans="1:8">
      <c r="A842" t="s">
        <v>2476</v>
      </c>
      <c r="B842" t="s">
        <v>540</v>
      </c>
      <c r="C842" s="4">
        <v>46070</v>
      </c>
      <c r="D842" t="s">
        <v>1632</v>
      </c>
      <c r="E842" t="s">
        <v>1605</v>
      </c>
      <c r="F842" s="5">
        <v>9.8000000000000007</v>
      </c>
      <c r="G842" t="s">
        <v>1626</v>
      </c>
      <c r="H842">
        <v>2</v>
      </c>
    </row>
    <row r="843" spans="1:8">
      <c r="A843" t="s">
        <v>2477</v>
      </c>
      <c r="B843" t="s">
        <v>1208</v>
      </c>
      <c r="C843" s="4">
        <v>45817</v>
      </c>
      <c r="D843" t="s">
        <v>1667</v>
      </c>
      <c r="E843" t="s">
        <v>1633</v>
      </c>
      <c r="F843" s="5">
        <v>6.1</v>
      </c>
      <c r="G843" t="s">
        <v>1630</v>
      </c>
      <c r="H843">
        <v>4</v>
      </c>
    </row>
    <row r="844" spans="1:8">
      <c r="A844" t="s">
        <v>2478</v>
      </c>
      <c r="B844" t="s">
        <v>942</v>
      </c>
      <c r="C844" s="4">
        <v>45337</v>
      </c>
      <c r="D844" t="s">
        <v>1625</v>
      </c>
      <c r="E844" t="s">
        <v>1633</v>
      </c>
      <c r="F844" s="5">
        <v>1.1000000000000001</v>
      </c>
      <c r="G844" t="s">
        <v>1630</v>
      </c>
      <c r="H844">
        <v>2</v>
      </c>
    </row>
    <row r="845" spans="1:8">
      <c r="A845" t="s">
        <v>2479</v>
      </c>
      <c r="B845" t="s">
        <v>1242</v>
      </c>
      <c r="C845" s="4">
        <v>45239</v>
      </c>
      <c r="D845" t="s">
        <v>1628</v>
      </c>
      <c r="E845" t="s">
        <v>1605</v>
      </c>
      <c r="F845" s="5">
        <v>20.2</v>
      </c>
      <c r="G845" t="s">
        <v>1630</v>
      </c>
      <c r="H845">
        <v>1</v>
      </c>
    </row>
    <row r="846" spans="1:8">
      <c r="A846" t="s">
        <v>2480</v>
      </c>
      <c r="B846" t="s">
        <v>1329</v>
      </c>
      <c r="C846" s="4">
        <v>45525</v>
      </c>
      <c r="D846" t="s">
        <v>1628</v>
      </c>
      <c r="E846" t="s">
        <v>1605</v>
      </c>
      <c r="F846" s="5">
        <v>3.4</v>
      </c>
      <c r="G846" t="s">
        <v>1626</v>
      </c>
      <c r="H846">
        <v>3</v>
      </c>
    </row>
    <row r="847" spans="1:8">
      <c r="A847" t="s">
        <v>2481</v>
      </c>
      <c r="B847" t="s">
        <v>1061</v>
      </c>
      <c r="C847" s="4">
        <v>45242</v>
      </c>
      <c r="D847" t="s">
        <v>1632</v>
      </c>
      <c r="E847" t="s">
        <v>1605</v>
      </c>
      <c r="F847" s="5">
        <v>1.6</v>
      </c>
      <c r="G847" t="s">
        <v>1626</v>
      </c>
      <c r="H847">
        <v>2</v>
      </c>
    </row>
    <row r="848" spans="1:8">
      <c r="A848" t="s">
        <v>2482</v>
      </c>
      <c r="B848" t="s">
        <v>220</v>
      </c>
      <c r="C848" s="4">
        <v>45699</v>
      </c>
      <c r="D848" t="s">
        <v>1628</v>
      </c>
      <c r="E848" t="s">
        <v>1648</v>
      </c>
      <c r="F848" s="5">
        <v>39.6</v>
      </c>
      <c r="G848" t="s">
        <v>1630</v>
      </c>
      <c r="H848">
        <v>3</v>
      </c>
    </row>
    <row r="849" spans="1:8">
      <c r="A849" t="s">
        <v>2483</v>
      </c>
      <c r="B849" t="s">
        <v>1192</v>
      </c>
      <c r="C849" s="4">
        <v>45027</v>
      </c>
      <c r="D849" t="s">
        <v>1637</v>
      </c>
      <c r="E849" t="s">
        <v>1605</v>
      </c>
      <c r="F849" s="5">
        <v>14.3</v>
      </c>
      <c r="G849" t="s">
        <v>1630</v>
      </c>
      <c r="H849">
        <v>4</v>
      </c>
    </row>
    <row r="850" spans="1:8">
      <c r="A850" t="s">
        <v>2484</v>
      </c>
      <c r="B850" t="s">
        <v>1463</v>
      </c>
      <c r="C850" s="4">
        <v>45428</v>
      </c>
      <c r="D850" t="s">
        <v>1628</v>
      </c>
      <c r="E850" t="s">
        <v>1609</v>
      </c>
      <c r="F850" s="5">
        <v>6.1</v>
      </c>
      <c r="G850" t="s">
        <v>1630</v>
      </c>
      <c r="H850">
        <v>4</v>
      </c>
    </row>
    <row r="851" spans="1:8">
      <c r="A851" t="s">
        <v>2485</v>
      </c>
      <c r="B851" t="s">
        <v>636</v>
      </c>
      <c r="C851" s="4">
        <v>45141</v>
      </c>
      <c r="D851" t="s">
        <v>1655</v>
      </c>
      <c r="E851" t="s">
        <v>1609</v>
      </c>
      <c r="F851" s="5">
        <v>5.3</v>
      </c>
      <c r="G851" t="s">
        <v>1630</v>
      </c>
      <c r="H851">
        <v>5</v>
      </c>
    </row>
    <row r="852" spans="1:8">
      <c r="A852" t="s">
        <v>2486</v>
      </c>
      <c r="B852" t="s">
        <v>1565</v>
      </c>
      <c r="C852" s="4">
        <v>45551</v>
      </c>
      <c r="D852" t="s">
        <v>1655</v>
      </c>
      <c r="E852" t="s">
        <v>1648</v>
      </c>
      <c r="F852" s="5">
        <v>3.1</v>
      </c>
      <c r="G852" t="s">
        <v>1630</v>
      </c>
      <c r="H852">
        <v>1</v>
      </c>
    </row>
    <row r="853" spans="1:8">
      <c r="A853" t="s">
        <v>2487</v>
      </c>
      <c r="B853" t="s">
        <v>538</v>
      </c>
      <c r="C853" s="4">
        <v>45716</v>
      </c>
      <c r="D853" t="s">
        <v>1628</v>
      </c>
      <c r="E853" t="s">
        <v>1609</v>
      </c>
      <c r="F853" s="5">
        <v>5.7</v>
      </c>
      <c r="G853" t="s">
        <v>1630</v>
      </c>
      <c r="H853">
        <v>4</v>
      </c>
    </row>
    <row r="854" spans="1:8">
      <c r="A854" t="s">
        <v>2488</v>
      </c>
      <c r="B854" t="s">
        <v>553</v>
      </c>
      <c r="C854" s="4">
        <v>46096</v>
      </c>
      <c r="D854" t="s">
        <v>1655</v>
      </c>
      <c r="E854" t="s">
        <v>1629</v>
      </c>
      <c r="F854" s="5">
        <v>8.6</v>
      </c>
      <c r="G854" t="s">
        <v>1630</v>
      </c>
      <c r="H854">
        <v>3</v>
      </c>
    </row>
    <row r="855" spans="1:8">
      <c r="A855" t="s">
        <v>2489</v>
      </c>
      <c r="B855" t="s">
        <v>1296</v>
      </c>
      <c r="C855" s="4">
        <v>45493</v>
      </c>
      <c r="D855" t="s">
        <v>1655</v>
      </c>
      <c r="E855" t="s">
        <v>1609</v>
      </c>
      <c r="F855" s="5">
        <v>3.6</v>
      </c>
      <c r="G855" t="s">
        <v>1630</v>
      </c>
      <c r="H855">
        <v>1</v>
      </c>
    </row>
    <row r="856" spans="1:8">
      <c r="A856" t="s">
        <v>2490</v>
      </c>
      <c r="B856" t="s">
        <v>1386</v>
      </c>
      <c r="C856" s="4">
        <v>45283</v>
      </c>
      <c r="D856" t="s">
        <v>1667</v>
      </c>
      <c r="E856" t="s">
        <v>1609</v>
      </c>
      <c r="F856" s="5">
        <v>3.7</v>
      </c>
      <c r="G856" t="s">
        <v>1630</v>
      </c>
      <c r="H856">
        <v>3</v>
      </c>
    </row>
    <row r="857" spans="1:8">
      <c r="A857" t="s">
        <v>2491</v>
      </c>
      <c r="B857" t="s">
        <v>251</v>
      </c>
      <c r="C857" s="4">
        <v>45085</v>
      </c>
      <c r="D857" t="s">
        <v>1641</v>
      </c>
      <c r="E857" t="s">
        <v>1633</v>
      </c>
      <c r="F857" s="5">
        <v>3.2</v>
      </c>
      <c r="G857" t="s">
        <v>1630</v>
      </c>
      <c r="H857">
        <v>5</v>
      </c>
    </row>
    <row r="858" spans="1:8">
      <c r="A858" t="s">
        <v>2492</v>
      </c>
      <c r="B858" t="s">
        <v>1548</v>
      </c>
      <c r="C858" s="4">
        <v>45114</v>
      </c>
      <c r="D858" t="s">
        <v>1641</v>
      </c>
      <c r="E858" t="s">
        <v>1629</v>
      </c>
      <c r="F858" s="5">
        <v>7.2</v>
      </c>
      <c r="G858" t="s">
        <v>1630</v>
      </c>
      <c r="H858">
        <v>3</v>
      </c>
    </row>
    <row r="859" spans="1:8">
      <c r="A859" t="s">
        <v>2493</v>
      </c>
      <c r="B859" t="s">
        <v>905</v>
      </c>
      <c r="C859" s="4">
        <v>46047</v>
      </c>
      <c r="D859" t="s">
        <v>1641</v>
      </c>
      <c r="E859" t="s">
        <v>1605</v>
      </c>
      <c r="F859" s="5">
        <v>0.5</v>
      </c>
      <c r="G859" t="s">
        <v>1630</v>
      </c>
      <c r="H859">
        <v>2</v>
      </c>
    </row>
    <row r="860" spans="1:8">
      <c r="A860" t="s">
        <v>2494</v>
      </c>
      <c r="B860" t="s">
        <v>119</v>
      </c>
      <c r="C860" s="4">
        <v>45446</v>
      </c>
      <c r="D860" t="s">
        <v>1628</v>
      </c>
      <c r="E860" t="s">
        <v>1605</v>
      </c>
      <c r="F860" s="5">
        <v>8.8000000000000007</v>
      </c>
      <c r="G860" t="s">
        <v>1630</v>
      </c>
      <c r="H860">
        <v>4</v>
      </c>
    </row>
    <row r="861" spans="1:8">
      <c r="A861" t="s">
        <v>2495</v>
      </c>
      <c r="B861" t="s">
        <v>301</v>
      </c>
      <c r="C861" s="4">
        <v>45205</v>
      </c>
      <c r="D861" t="s">
        <v>1632</v>
      </c>
      <c r="E861" t="s">
        <v>1609</v>
      </c>
      <c r="F861" s="5">
        <v>1.3</v>
      </c>
      <c r="G861" t="s">
        <v>1630</v>
      </c>
      <c r="H861">
        <v>2</v>
      </c>
    </row>
    <row r="862" spans="1:8">
      <c r="A862" t="s">
        <v>2496</v>
      </c>
      <c r="B862" t="s">
        <v>1071</v>
      </c>
      <c r="C862" s="4">
        <v>45425</v>
      </c>
      <c r="D862" t="s">
        <v>1632</v>
      </c>
      <c r="E862" t="s">
        <v>1629</v>
      </c>
      <c r="F862" s="5">
        <v>18.899999999999999</v>
      </c>
      <c r="G862" t="s">
        <v>1630</v>
      </c>
      <c r="H862">
        <v>4</v>
      </c>
    </row>
    <row r="863" spans="1:8">
      <c r="A863" t="s">
        <v>2497</v>
      </c>
      <c r="B863" t="s">
        <v>1016</v>
      </c>
      <c r="C863" s="4">
        <v>46087</v>
      </c>
      <c r="D863" t="s">
        <v>1632</v>
      </c>
      <c r="E863" t="s">
        <v>1629</v>
      </c>
      <c r="F863" s="5">
        <v>0.3</v>
      </c>
      <c r="G863" t="s">
        <v>1626</v>
      </c>
      <c r="H863">
        <v>2</v>
      </c>
    </row>
    <row r="864" spans="1:8">
      <c r="A864" t="s">
        <v>2498</v>
      </c>
      <c r="B864" t="s">
        <v>529</v>
      </c>
      <c r="C864" s="4">
        <v>45078</v>
      </c>
      <c r="D864" t="s">
        <v>1628</v>
      </c>
      <c r="E864" t="s">
        <v>1629</v>
      </c>
      <c r="F864" s="5">
        <v>17.899999999999999</v>
      </c>
      <c r="G864" t="s">
        <v>1630</v>
      </c>
      <c r="H864">
        <v>5</v>
      </c>
    </row>
    <row r="865" spans="1:8">
      <c r="A865" t="s">
        <v>2499</v>
      </c>
      <c r="B865" t="s">
        <v>1348</v>
      </c>
      <c r="C865" s="4">
        <v>45306</v>
      </c>
      <c r="D865" t="s">
        <v>1628</v>
      </c>
      <c r="E865" t="s">
        <v>1629</v>
      </c>
      <c r="F865" s="5">
        <v>9</v>
      </c>
      <c r="G865" t="s">
        <v>1630</v>
      </c>
      <c r="H865">
        <v>3</v>
      </c>
    </row>
    <row r="866" spans="1:8">
      <c r="A866" t="s">
        <v>2500</v>
      </c>
      <c r="B866" t="s">
        <v>1247</v>
      </c>
      <c r="C866" s="4">
        <v>46108</v>
      </c>
      <c r="D866" t="s">
        <v>1667</v>
      </c>
      <c r="E866" t="s">
        <v>1648</v>
      </c>
      <c r="F866" s="5">
        <v>7.8</v>
      </c>
      <c r="G866" t="s">
        <v>1630</v>
      </c>
      <c r="H866">
        <v>4</v>
      </c>
    </row>
    <row r="867" spans="1:8">
      <c r="A867" t="s">
        <v>2501</v>
      </c>
      <c r="B867" t="s">
        <v>761</v>
      </c>
      <c r="C867" s="4">
        <v>45412</v>
      </c>
      <c r="D867" t="s">
        <v>1655</v>
      </c>
      <c r="E867" t="s">
        <v>1605</v>
      </c>
      <c r="F867" s="5">
        <v>22.6</v>
      </c>
      <c r="G867" t="s">
        <v>1630</v>
      </c>
      <c r="H867">
        <v>3</v>
      </c>
    </row>
    <row r="868" spans="1:8">
      <c r="A868" t="s">
        <v>2502</v>
      </c>
      <c r="B868" t="s">
        <v>503</v>
      </c>
      <c r="C868" s="4">
        <v>45163</v>
      </c>
      <c r="D868" t="s">
        <v>1641</v>
      </c>
      <c r="E868" t="s">
        <v>1629</v>
      </c>
      <c r="F868" s="5">
        <v>3.2</v>
      </c>
      <c r="G868" t="s">
        <v>1630</v>
      </c>
      <c r="H868">
        <v>5</v>
      </c>
    </row>
    <row r="869" spans="1:8">
      <c r="A869" t="s">
        <v>2503</v>
      </c>
      <c r="B869" t="s">
        <v>1218</v>
      </c>
      <c r="C869" s="4">
        <v>46111</v>
      </c>
      <c r="D869" t="s">
        <v>1641</v>
      </c>
      <c r="E869" t="s">
        <v>1605</v>
      </c>
      <c r="F869" s="5">
        <v>2.1</v>
      </c>
      <c r="G869" t="s">
        <v>1630</v>
      </c>
      <c r="H869">
        <v>2</v>
      </c>
    </row>
    <row r="870" spans="1:8">
      <c r="A870" t="s">
        <v>2504</v>
      </c>
      <c r="B870" t="s">
        <v>349</v>
      </c>
      <c r="C870" s="4">
        <v>46127</v>
      </c>
      <c r="D870" t="s">
        <v>1628</v>
      </c>
      <c r="E870" t="s">
        <v>1609</v>
      </c>
      <c r="F870" s="5">
        <v>11.9</v>
      </c>
      <c r="G870" t="s">
        <v>1630</v>
      </c>
      <c r="H870">
        <v>4</v>
      </c>
    </row>
    <row r="871" spans="1:8">
      <c r="A871" t="s">
        <v>2505</v>
      </c>
      <c r="B871" t="s">
        <v>628</v>
      </c>
      <c r="C871" s="4">
        <v>45506</v>
      </c>
      <c r="D871" t="s">
        <v>1641</v>
      </c>
      <c r="E871" t="s">
        <v>1629</v>
      </c>
      <c r="F871" s="5">
        <v>12.9</v>
      </c>
      <c r="G871" t="s">
        <v>1630</v>
      </c>
      <c r="H871">
        <v>1</v>
      </c>
    </row>
    <row r="872" spans="1:8">
      <c r="A872" t="s">
        <v>2506</v>
      </c>
      <c r="B872" t="s">
        <v>1268</v>
      </c>
      <c r="C872" s="4">
        <v>45029</v>
      </c>
      <c r="D872" t="s">
        <v>1628</v>
      </c>
      <c r="E872" t="s">
        <v>1629</v>
      </c>
      <c r="F872" s="5">
        <v>27.6</v>
      </c>
      <c r="G872" t="s">
        <v>1630</v>
      </c>
      <c r="H872">
        <v>3</v>
      </c>
    </row>
    <row r="873" spans="1:8">
      <c r="A873" t="s">
        <v>2507</v>
      </c>
      <c r="B873" t="s">
        <v>691</v>
      </c>
      <c r="C873" s="4">
        <v>46042</v>
      </c>
      <c r="D873" t="s">
        <v>1632</v>
      </c>
      <c r="E873" t="s">
        <v>1629</v>
      </c>
      <c r="F873" s="5">
        <v>5.5</v>
      </c>
      <c r="G873" t="s">
        <v>1630</v>
      </c>
      <c r="H873">
        <v>4</v>
      </c>
    </row>
    <row r="874" spans="1:8">
      <c r="A874" t="s">
        <v>2508</v>
      </c>
      <c r="B874" t="s">
        <v>1104</v>
      </c>
      <c r="C874" s="4">
        <v>45848</v>
      </c>
      <c r="D874" t="s">
        <v>1667</v>
      </c>
      <c r="E874" t="s">
        <v>1609</v>
      </c>
      <c r="F874" s="5">
        <v>4.4000000000000004</v>
      </c>
      <c r="G874" t="s">
        <v>1630</v>
      </c>
      <c r="H874">
        <v>3</v>
      </c>
    </row>
    <row r="875" spans="1:8">
      <c r="A875" t="s">
        <v>2509</v>
      </c>
      <c r="B875" t="s">
        <v>868</v>
      </c>
      <c r="C875" s="4">
        <v>44996</v>
      </c>
      <c r="D875" t="s">
        <v>1628</v>
      </c>
      <c r="E875" t="s">
        <v>1633</v>
      </c>
      <c r="F875" s="5">
        <v>0.3</v>
      </c>
      <c r="G875" t="s">
        <v>1630</v>
      </c>
      <c r="H875">
        <v>3</v>
      </c>
    </row>
    <row r="876" spans="1:8">
      <c r="A876" t="s">
        <v>2510</v>
      </c>
      <c r="B876" t="s">
        <v>701</v>
      </c>
      <c r="C876" s="4">
        <v>45378</v>
      </c>
      <c r="D876" t="s">
        <v>1641</v>
      </c>
      <c r="E876" t="s">
        <v>1609</v>
      </c>
      <c r="F876" s="5">
        <v>7.1</v>
      </c>
      <c r="G876" t="s">
        <v>1630</v>
      </c>
      <c r="H876">
        <v>3</v>
      </c>
    </row>
    <row r="877" spans="1:8">
      <c r="A877" t="s">
        <v>2511</v>
      </c>
      <c r="B877" t="s">
        <v>1060</v>
      </c>
      <c r="C877" s="4">
        <v>45800</v>
      </c>
      <c r="D877" t="s">
        <v>1641</v>
      </c>
      <c r="E877" t="s">
        <v>1629</v>
      </c>
      <c r="F877" s="5">
        <v>4.7</v>
      </c>
      <c r="G877" t="s">
        <v>1630</v>
      </c>
      <c r="H877">
        <v>5</v>
      </c>
    </row>
    <row r="878" spans="1:8">
      <c r="A878" t="s">
        <v>2512</v>
      </c>
      <c r="B878" t="s">
        <v>1184</v>
      </c>
      <c r="C878" s="4">
        <v>45660</v>
      </c>
      <c r="D878" t="s">
        <v>1628</v>
      </c>
      <c r="E878" t="s">
        <v>1629</v>
      </c>
      <c r="F878" s="5">
        <v>2</v>
      </c>
      <c r="G878" t="s">
        <v>1630</v>
      </c>
      <c r="H878">
        <v>3</v>
      </c>
    </row>
    <row r="879" spans="1:8">
      <c r="A879" t="s">
        <v>2513</v>
      </c>
      <c r="B879" t="s">
        <v>1104</v>
      </c>
      <c r="C879" s="4">
        <v>45881</v>
      </c>
      <c r="D879" t="s">
        <v>1632</v>
      </c>
      <c r="E879" t="s">
        <v>1605</v>
      </c>
      <c r="F879" s="5">
        <v>3.7</v>
      </c>
      <c r="G879" t="s">
        <v>1630</v>
      </c>
      <c r="H879">
        <v>5</v>
      </c>
    </row>
    <row r="880" spans="1:8">
      <c r="A880" t="s">
        <v>2514</v>
      </c>
      <c r="B880" t="s">
        <v>426</v>
      </c>
      <c r="C880" s="4">
        <v>45874</v>
      </c>
      <c r="D880" t="s">
        <v>1625</v>
      </c>
      <c r="E880" t="s">
        <v>1605</v>
      </c>
      <c r="F880" s="5">
        <v>4.4000000000000004</v>
      </c>
      <c r="G880" t="s">
        <v>1630</v>
      </c>
      <c r="H880">
        <v>1</v>
      </c>
    </row>
    <row r="881" spans="1:8">
      <c r="A881" t="s">
        <v>2515</v>
      </c>
      <c r="B881" t="s">
        <v>1449</v>
      </c>
      <c r="C881" s="4">
        <v>45570</v>
      </c>
      <c r="D881" t="s">
        <v>1641</v>
      </c>
      <c r="E881" t="s">
        <v>1648</v>
      </c>
      <c r="F881" s="5">
        <v>7.8</v>
      </c>
      <c r="G881" t="s">
        <v>1630</v>
      </c>
      <c r="H881">
        <v>5</v>
      </c>
    </row>
    <row r="882" spans="1:8">
      <c r="A882" t="s">
        <v>2516</v>
      </c>
      <c r="B882" t="s">
        <v>1338</v>
      </c>
      <c r="C882" s="4">
        <v>45613</v>
      </c>
      <c r="D882" t="s">
        <v>1641</v>
      </c>
      <c r="E882" t="s">
        <v>1633</v>
      </c>
      <c r="F882" s="5">
        <v>20.5</v>
      </c>
      <c r="G882" t="s">
        <v>1630</v>
      </c>
      <c r="H882">
        <v>4</v>
      </c>
    </row>
    <row r="883" spans="1:8">
      <c r="A883" t="s">
        <v>2517</v>
      </c>
      <c r="B883" t="s">
        <v>587</v>
      </c>
      <c r="C883" s="4">
        <v>45538</v>
      </c>
      <c r="D883" t="s">
        <v>1667</v>
      </c>
      <c r="E883" t="s">
        <v>1633</v>
      </c>
      <c r="F883" s="5">
        <v>16.600000000000001</v>
      </c>
      <c r="G883" t="s">
        <v>1626</v>
      </c>
      <c r="H883">
        <v>2</v>
      </c>
    </row>
    <row r="884" spans="1:8">
      <c r="A884" t="s">
        <v>2518</v>
      </c>
      <c r="B884" t="s">
        <v>1317</v>
      </c>
      <c r="C884" s="4">
        <v>45380</v>
      </c>
      <c r="D884" t="s">
        <v>1625</v>
      </c>
      <c r="E884" t="s">
        <v>1633</v>
      </c>
      <c r="F884" s="5">
        <v>12.3</v>
      </c>
      <c r="G884" t="s">
        <v>1630</v>
      </c>
      <c r="H884">
        <v>3</v>
      </c>
    </row>
    <row r="885" spans="1:8">
      <c r="A885" t="s">
        <v>2519</v>
      </c>
      <c r="B885" t="s">
        <v>1134</v>
      </c>
      <c r="C885" s="4">
        <v>45175</v>
      </c>
      <c r="D885" t="s">
        <v>1625</v>
      </c>
      <c r="E885" t="s">
        <v>1648</v>
      </c>
      <c r="F885" s="5">
        <v>7.1</v>
      </c>
      <c r="G885" t="s">
        <v>1630</v>
      </c>
      <c r="H885">
        <v>2</v>
      </c>
    </row>
    <row r="886" spans="1:8">
      <c r="A886" t="s">
        <v>2520</v>
      </c>
      <c r="B886" t="s">
        <v>1426</v>
      </c>
      <c r="C886" s="4">
        <v>45456</v>
      </c>
      <c r="D886" t="s">
        <v>1628</v>
      </c>
      <c r="E886" t="s">
        <v>1629</v>
      </c>
      <c r="F886" s="5">
        <v>2.7</v>
      </c>
      <c r="G886" t="s">
        <v>1630</v>
      </c>
      <c r="H886">
        <v>3</v>
      </c>
    </row>
    <row r="887" spans="1:8">
      <c r="A887" t="s">
        <v>2521</v>
      </c>
      <c r="B887" t="s">
        <v>1480</v>
      </c>
      <c r="C887" s="4">
        <v>45766</v>
      </c>
      <c r="D887" t="s">
        <v>1628</v>
      </c>
      <c r="E887" t="s">
        <v>1648</v>
      </c>
      <c r="F887" s="5">
        <v>11.4</v>
      </c>
      <c r="G887" t="s">
        <v>1626</v>
      </c>
      <c r="H887">
        <v>3</v>
      </c>
    </row>
    <row r="888" spans="1:8">
      <c r="A888" t="s">
        <v>2522</v>
      </c>
      <c r="B888" t="s">
        <v>1054</v>
      </c>
      <c r="C888" s="4">
        <v>45277</v>
      </c>
      <c r="D888" t="s">
        <v>1628</v>
      </c>
      <c r="E888" t="s">
        <v>1609</v>
      </c>
      <c r="F888" s="5">
        <v>7.2</v>
      </c>
      <c r="G888" t="s">
        <v>1630</v>
      </c>
      <c r="H888">
        <v>2</v>
      </c>
    </row>
    <row r="889" spans="1:8">
      <c r="A889" t="s">
        <v>2523</v>
      </c>
      <c r="B889" t="s">
        <v>1123</v>
      </c>
      <c r="C889" s="4">
        <v>45903</v>
      </c>
      <c r="D889" t="s">
        <v>1632</v>
      </c>
      <c r="E889" t="s">
        <v>1605</v>
      </c>
      <c r="F889" s="5">
        <v>35.6</v>
      </c>
      <c r="G889" t="s">
        <v>1630</v>
      </c>
      <c r="H889">
        <v>5</v>
      </c>
    </row>
    <row r="890" spans="1:8">
      <c r="A890" t="s">
        <v>2524</v>
      </c>
      <c r="B890" t="s">
        <v>1173</v>
      </c>
      <c r="C890" s="4">
        <v>45996</v>
      </c>
      <c r="D890" t="s">
        <v>1641</v>
      </c>
      <c r="E890" t="s">
        <v>1633</v>
      </c>
      <c r="F890" s="5">
        <v>0.8</v>
      </c>
      <c r="G890" t="s">
        <v>1630</v>
      </c>
      <c r="H890">
        <v>1</v>
      </c>
    </row>
    <row r="891" spans="1:8">
      <c r="A891" t="s">
        <v>2525</v>
      </c>
      <c r="B891" t="s">
        <v>1500</v>
      </c>
      <c r="C891" s="4">
        <v>46096</v>
      </c>
      <c r="D891" t="s">
        <v>1625</v>
      </c>
      <c r="E891" t="s">
        <v>1609</v>
      </c>
      <c r="F891" s="5">
        <v>9.4</v>
      </c>
      <c r="G891" t="s">
        <v>1630</v>
      </c>
      <c r="H891">
        <v>4</v>
      </c>
    </row>
    <row r="892" spans="1:8">
      <c r="A892" t="s">
        <v>2526</v>
      </c>
      <c r="B892" t="s">
        <v>1336</v>
      </c>
      <c r="C892" s="4">
        <v>45015</v>
      </c>
      <c r="D892" t="s">
        <v>1641</v>
      </c>
      <c r="E892" t="s">
        <v>1633</v>
      </c>
      <c r="F892" s="5">
        <v>18.399999999999999</v>
      </c>
      <c r="G892" t="s">
        <v>1630</v>
      </c>
      <c r="H892">
        <v>2</v>
      </c>
    </row>
    <row r="893" spans="1:8">
      <c r="A893" t="s">
        <v>2527</v>
      </c>
      <c r="B893" t="s">
        <v>653</v>
      </c>
      <c r="C893" s="4">
        <v>45772</v>
      </c>
      <c r="D893" t="s">
        <v>1625</v>
      </c>
      <c r="E893" t="s">
        <v>1629</v>
      </c>
      <c r="F893" s="5">
        <v>12.9</v>
      </c>
      <c r="G893" t="s">
        <v>1630</v>
      </c>
      <c r="H893">
        <v>2</v>
      </c>
    </row>
    <row r="894" spans="1:8">
      <c r="A894" t="s">
        <v>2528</v>
      </c>
      <c r="B894" t="s">
        <v>175</v>
      </c>
      <c r="C894" s="4">
        <v>45427</v>
      </c>
      <c r="D894" t="s">
        <v>1628</v>
      </c>
      <c r="E894" t="s">
        <v>1633</v>
      </c>
      <c r="F894" s="5">
        <v>2.6</v>
      </c>
      <c r="G894" t="s">
        <v>1630</v>
      </c>
      <c r="H894">
        <v>3</v>
      </c>
    </row>
    <row r="895" spans="1:8">
      <c r="A895" t="s">
        <v>2529</v>
      </c>
      <c r="B895" t="s">
        <v>802</v>
      </c>
      <c r="C895" s="4">
        <v>45058</v>
      </c>
      <c r="D895" t="s">
        <v>1628</v>
      </c>
      <c r="E895" t="s">
        <v>1648</v>
      </c>
      <c r="F895" s="5">
        <v>2</v>
      </c>
      <c r="G895" t="s">
        <v>1630</v>
      </c>
      <c r="H895">
        <v>1</v>
      </c>
    </row>
    <row r="896" spans="1:8">
      <c r="A896" t="s">
        <v>2530</v>
      </c>
      <c r="B896" t="s">
        <v>387</v>
      </c>
      <c r="C896" s="4">
        <v>45655</v>
      </c>
      <c r="D896" t="s">
        <v>1628</v>
      </c>
      <c r="E896" t="s">
        <v>1609</v>
      </c>
      <c r="F896" s="5">
        <v>1.8</v>
      </c>
      <c r="G896" t="s">
        <v>1626</v>
      </c>
      <c r="H896">
        <v>2</v>
      </c>
    </row>
    <row r="897" spans="1:8">
      <c r="A897" t="s">
        <v>2531</v>
      </c>
      <c r="B897" t="s">
        <v>1457</v>
      </c>
      <c r="C897" s="4">
        <v>45732</v>
      </c>
      <c r="D897" t="s">
        <v>1637</v>
      </c>
      <c r="E897" t="s">
        <v>1648</v>
      </c>
      <c r="F897" s="5">
        <v>9.8000000000000007</v>
      </c>
      <c r="G897" t="s">
        <v>1630</v>
      </c>
      <c r="H897">
        <v>3</v>
      </c>
    </row>
    <row r="898" spans="1:8">
      <c r="A898" t="s">
        <v>2532</v>
      </c>
      <c r="B898" t="s">
        <v>1087</v>
      </c>
      <c r="C898" s="4">
        <v>45617</v>
      </c>
      <c r="D898" t="s">
        <v>1641</v>
      </c>
      <c r="E898" t="s">
        <v>1629</v>
      </c>
      <c r="F898" s="5">
        <v>26.6</v>
      </c>
      <c r="G898" t="s">
        <v>1630</v>
      </c>
      <c r="H898">
        <v>4</v>
      </c>
    </row>
    <row r="899" spans="1:8">
      <c r="A899" t="s">
        <v>2533</v>
      </c>
      <c r="B899" t="s">
        <v>1590</v>
      </c>
      <c r="C899" s="4">
        <v>45088</v>
      </c>
      <c r="D899" t="s">
        <v>1667</v>
      </c>
      <c r="E899" t="s">
        <v>1648</v>
      </c>
      <c r="F899" s="5">
        <v>2</v>
      </c>
      <c r="G899" t="s">
        <v>1630</v>
      </c>
      <c r="H899">
        <v>3</v>
      </c>
    </row>
    <row r="900" spans="1:8">
      <c r="A900" t="s">
        <v>2534</v>
      </c>
      <c r="B900" t="s">
        <v>1041</v>
      </c>
      <c r="C900" s="4">
        <v>45538</v>
      </c>
      <c r="D900" t="s">
        <v>1628</v>
      </c>
      <c r="E900" t="s">
        <v>1633</v>
      </c>
      <c r="F900" s="5">
        <v>4</v>
      </c>
      <c r="G900" t="s">
        <v>1630</v>
      </c>
      <c r="H900">
        <v>1</v>
      </c>
    </row>
    <row r="901" spans="1:8">
      <c r="A901" t="s">
        <v>2535</v>
      </c>
      <c r="B901" t="s">
        <v>542</v>
      </c>
      <c r="C901" s="4">
        <v>46037</v>
      </c>
      <c r="D901" t="s">
        <v>1641</v>
      </c>
      <c r="E901" t="s">
        <v>1609</v>
      </c>
      <c r="F901" s="5">
        <v>17.3</v>
      </c>
      <c r="G901" t="s">
        <v>1630</v>
      </c>
      <c r="H901">
        <v>2</v>
      </c>
    </row>
    <row r="902" spans="1:8">
      <c r="A902" t="s">
        <v>2536</v>
      </c>
      <c r="B902" t="s">
        <v>484</v>
      </c>
      <c r="C902" s="4">
        <v>45761</v>
      </c>
      <c r="D902" t="s">
        <v>1628</v>
      </c>
      <c r="E902" t="s">
        <v>1605</v>
      </c>
      <c r="F902" s="5">
        <v>0.3</v>
      </c>
      <c r="G902" t="s">
        <v>1630</v>
      </c>
      <c r="H902">
        <v>3</v>
      </c>
    </row>
    <row r="903" spans="1:8">
      <c r="A903" t="s">
        <v>2537</v>
      </c>
      <c r="B903" t="s">
        <v>914</v>
      </c>
      <c r="C903" s="4">
        <v>45526</v>
      </c>
      <c r="D903" t="s">
        <v>1628</v>
      </c>
      <c r="E903" t="s">
        <v>1629</v>
      </c>
      <c r="F903" s="5">
        <v>1.9</v>
      </c>
      <c r="G903" t="s">
        <v>1630</v>
      </c>
      <c r="H903">
        <v>3</v>
      </c>
    </row>
    <row r="904" spans="1:8">
      <c r="A904" t="s">
        <v>2538</v>
      </c>
      <c r="B904" t="s">
        <v>559</v>
      </c>
      <c r="C904" s="4">
        <v>45850</v>
      </c>
      <c r="D904" t="s">
        <v>1632</v>
      </c>
      <c r="E904" t="s">
        <v>1629</v>
      </c>
      <c r="F904" s="5">
        <v>5.6</v>
      </c>
      <c r="G904" t="s">
        <v>1630</v>
      </c>
      <c r="H904">
        <v>4</v>
      </c>
    </row>
    <row r="905" spans="1:8">
      <c r="A905" t="s">
        <v>2539</v>
      </c>
      <c r="B905" t="s">
        <v>1366</v>
      </c>
      <c r="C905" s="4">
        <v>46033</v>
      </c>
      <c r="D905" t="s">
        <v>1655</v>
      </c>
      <c r="E905" t="s">
        <v>1609</v>
      </c>
      <c r="F905" s="5">
        <v>6.4</v>
      </c>
      <c r="G905" t="s">
        <v>1626</v>
      </c>
      <c r="H905">
        <v>3</v>
      </c>
    </row>
    <row r="906" spans="1:8">
      <c r="A906" t="s">
        <v>2540</v>
      </c>
      <c r="B906" t="s">
        <v>700</v>
      </c>
      <c r="C906" s="4">
        <v>45215</v>
      </c>
      <c r="D906" t="s">
        <v>1641</v>
      </c>
      <c r="E906" t="s">
        <v>1633</v>
      </c>
      <c r="F906" s="5">
        <v>3.8</v>
      </c>
      <c r="G906" t="s">
        <v>1630</v>
      </c>
      <c r="H906">
        <v>1</v>
      </c>
    </row>
    <row r="907" spans="1:8">
      <c r="A907" t="s">
        <v>2541</v>
      </c>
      <c r="B907" t="s">
        <v>410</v>
      </c>
      <c r="C907" s="4">
        <v>45110</v>
      </c>
      <c r="D907" t="s">
        <v>1632</v>
      </c>
      <c r="E907" t="s">
        <v>1629</v>
      </c>
      <c r="F907" s="5">
        <v>4.5999999999999996</v>
      </c>
      <c r="G907" t="s">
        <v>1630</v>
      </c>
      <c r="H907">
        <v>4</v>
      </c>
    </row>
    <row r="908" spans="1:8">
      <c r="A908" t="s">
        <v>2542</v>
      </c>
      <c r="B908" t="s">
        <v>614</v>
      </c>
      <c r="C908" s="4">
        <v>45312</v>
      </c>
      <c r="D908" t="s">
        <v>1667</v>
      </c>
      <c r="E908" t="s">
        <v>1633</v>
      </c>
      <c r="F908" s="5">
        <v>1.9</v>
      </c>
      <c r="G908" t="s">
        <v>1630</v>
      </c>
      <c r="H908">
        <v>2</v>
      </c>
    </row>
    <row r="909" spans="1:8">
      <c r="A909" t="s">
        <v>2543</v>
      </c>
      <c r="B909" t="s">
        <v>551</v>
      </c>
      <c r="C909" s="4">
        <v>46025</v>
      </c>
      <c r="D909" t="s">
        <v>1655</v>
      </c>
      <c r="E909" t="s">
        <v>1633</v>
      </c>
      <c r="F909" s="5">
        <v>23.5</v>
      </c>
      <c r="G909" t="s">
        <v>1630</v>
      </c>
      <c r="H909">
        <v>5</v>
      </c>
    </row>
    <row r="910" spans="1:8">
      <c r="A910" t="s">
        <v>2544</v>
      </c>
      <c r="B910" t="s">
        <v>1131</v>
      </c>
      <c r="C910" s="4">
        <v>45501</v>
      </c>
      <c r="D910" t="s">
        <v>1625</v>
      </c>
      <c r="E910" t="s">
        <v>1633</v>
      </c>
      <c r="F910" s="5">
        <v>1.6</v>
      </c>
      <c r="G910" t="s">
        <v>1630</v>
      </c>
      <c r="H910">
        <v>2</v>
      </c>
    </row>
    <row r="911" spans="1:8">
      <c r="A911" t="s">
        <v>2545</v>
      </c>
      <c r="B911" t="s">
        <v>496</v>
      </c>
      <c r="C911" s="4">
        <v>45338</v>
      </c>
      <c r="D911" t="s">
        <v>1628</v>
      </c>
      <c r="E911" t="s">
        <v>1605</v>
      </c>
      <c r="F911" s="5">
        <v>7.8</v>
      </c>
      <c r="G911" t="s">
        <v>1630</v>
      </c>
      <c r="H911">
        <v>2</v>
      </c>
    </row>
    <row r="912" spans="1:8">
      <c r="A912" t="s">
        <v>2546</v>
      </c>
      <c r="B912" t="s">
        <v>113</v>
      </c>
      <c r="C912" s="4">
        <v>45202</v>
      </c>
      <c r="D912" t="s">
        <v>1625</v>
      </c>
      <c r="E912" t="s">
        <v>1648</v>
      </c>
      <c r="F912" s="5">
        <v>38.1</v>
      </c>
      <c r="G912" t="s">
        <v>1630</v>
      </c>
      <c r="H912">
        <v>1</v>
      </c>
    </row>
    <row r="913" spans="1:8">
      <c r="A913" t="s">
        <v>2547</v>
      </c>
      <c r="B913" t="s">
        <v>555</v>
      </c>
      <c r="C913" s="4">
        <v>44971</v>
      </c>
      <c r="D913" t="s">
        <v>1628</v>
      </c>
      <c r="E913" t="s">
        <v>1633</v>
      </c>
      <c r="F913" s="5">
        <v>4.2</v>
      </c>
      <c r="G913" t="s">
        <v>1630</v>
      </c>
      <c r="H913">
        <v>1</v>
      </c>
    </row>
    <row r="914" spans="1:8">
      <c r="A914" t="s">
        <v>2548</v>
      </c>
      <c r="B914" t="s">
        <v>1215</v>
      </c>
      <c r="C914" s="4">
        <v>45803</v>
      </c>
      <c r="D914" t="s">
        <v>1655</v>
      </c>
      <c r="E914" t="s">
        <v>1633</v>
      </c>
      <c r="F914" s="5">
        <v>21.6</v>
      </c>
      <c r="G914" t="s">
        <v>1630</v>
      </c>
      <c r="H914">
        <v>4</v>
      </c>
    </row>
    <row r="915" spans="1:8">
      <c r="A915" t="s">
        <v>2549</v>
      </c>
      <c r="B915" t="s">
        <v>389</v>
      </c>
      <c r="C915" s="4">
        <v>45906</v>
      </c>
      <c r="D915" t="s">
        <v>1641</v>
      </c>
      <c r="E915" t="s">
        <v>1633</v>
      </c>
      <c r="F915" s="5">
        <v>11.1</v>
      </c>
      <c r="G915" t="s">
        <v>1630</v>
      </c>
      <c r="H915">
        <v>1</v>
      </c>
    </row>
    <row r="916" spans="1:8">
      <c r="A916" t="s">
        <v>2550</v>
      </c>
      <c r="B916" t="s">
        <v>450</v>
      </c>
      <c r="C916" s="4">
        <v>45496</v>
      </c>
      <c r="D916" t="s">
        <v>1632</v>
      </c>
      <c r="E916" t="s">
        <v>1605</v>
      </c>
      <c r="F916" s="5">
        <v>0.5</v>
      </c>
      <c r="G916" t="s">
        <v>1626</v>
      </c>
      <c r="H916">
        <v>1</v>
      </c>
    </row>
    <row r="917" spans="1:8">
      <c r="A917" t="s">
        <v>2551</v>
      </c>
      <c r="B917" t="s">
        <v>1522</v>
      </c>
      <c r="C917" s="4">
        <v>45399</v>
      </c>
      <c r="D917" t="s">
        <v>1632</v>
      </c>
      <c r="E917" t="s">
        <v>1648</v>
      </c>
      <c r="F917" s="5">
        <v>11.7</v>
      </c>
      <c r="G917" t="s">
        <v>1630</v>
      </c>
      <c r="H917">
        <v>2</v>
      </c>
    </row>
    <row r="918" spans="1:8">
      <c r="A918" t="s">
        <v>2552</v>
      </c>
      <c r="B918" t="s">
        <v>564</v>
      </c>
      <c r="C918" s="4">
        <v>44986</v>
      </c>
      <c r="D918" t="s">
        <v>1628</v>
      </c>
      <c r="E918" t="s">
        <v>1605</v>
      </c>
      <c r="F918" s="5">
        <v>0.4</v>
      </c>
      <c r="G918" t="s">
        <v>1630</v>
      </c>
      <c r="H918">
        <v>4</v>
      </c>
    </row>
    <row r="919" spans="1:8">
      <c r="A919" t="s">
        <v>2553</v>
      </c>
      <c r="B919" t="s">
        <v>243</v>
      </c>
      <c r="C919" s="4">
        <v>46117</v>
      </c>
      <c r="D919" t="s">
        <v>1655</v>
      </c>
      <c r="E919" t="s">
        <v>1609</v>
      </c>
      <c r="F919" s="5">
        <v>0.8</v>
      </c>
      <c r="G919" t="s">
        <v>1630</v>
      </c>
      <c r="H919">
        <v>2</v>
      </c>
    </row>
    <row r="920" spans="1:8">
      <c r="A920" t="s">
        <v>2554</v>
      </c>
      <c r="B920" t="s">
        <v>1202</v>
      </c>
      <c r="C920" s="4">
        <v>45198</v>
      </c>
      <c r="D920" t="s">
        <v>1625</v>
      </c>
      <c r="E920" t="s">
        <v>1633</v>
      </c>
      <c r="F920" s="5">
        <v>0.5</v>
      </c>
      <c r="G920" t="s">
        <v>1630</v>
      </c>
      <c r="H920">
        <v>4</v>
      </c>
    </row>
    <row r="921" spans="1:8">
      <c r="A921" t="s">
        <v>2555</v>
      </c>
      <c r="B921" t="s">
        <v>1529</v>
      </c>
      <c r="C921" s="4">
        <v>45457</v>
      </c>
      <c r="D921" t="s">
        <v>1632</v>
      </c>
      <c r="E921" t="s">
        <v>1648</v>
      </c>
      <c r="F921" s="5">
        <v>5</v>
      </c>
      <c r="G921" t="s">
        <v>1630</v>
      </c>
      <c r="H921">
        <v>1</v>
      </c>
    </row>
    <row r="922" spans="1:8">
      <c r="A922" t="s">
        <v>2556</v>
      </c>
      <c r="B922" t="s">
        <v>1424</v>
      </c>
      <c r="C922" s="4">
        <v>45902</v>
      </c>
      <c r="D922" t="s">
        <v>1632</v>
      </c>
      <c r="E922" t="s">
        <v>1629</v>
      </c>
      <c r="F922" s="5">
        <v>3.1</v>
      </c>
      <c r="G922" t="s">
        <v>1630</v>
      </c>
      <c r="H922">
        <v>1</v>
      </c>
    </row>
    <row r="923" spans="1:8">
      <c r="A923" t="s">
        <v>2557</v>
      </c>
      <c r="B923" t="s">
        <v>1149</v>
      </c>
      <c r="C923" s="4">
        <v>46157</v>
      </c>
      <c r="D923" t="s">
        <v>1667</v>
      </c>
      <c r="E923" t="s">
        <v>1605</v>
      </c>
      <c r="F923" s="5">
        <v>20.8</v>
      </c>
      <c r="G923" t="s">
        <v>1630</v>
      </c>
      <c r="H923">
        <v>3</v>
      </c>
    </row>
    <row r="924" spans="1:8">
      <c r="A924" t="s">
        <v>2558</v>
      </c>
      <c r="B924" t="s">
        <v>1171</v>
      </c>
      <c r="C924" s="4">
        <v>46036</v>
      </c>
      <c r="D924" t="s">
        <v>1628</v>
      </c>
      <c r="E924" t="s">
        <v>1629</v>
      </c>
      <c r="F924" s="5">
        <v>1.3</v>
      </c>
      <c r="G924" t="s">
        <v>1630</v>
      </c>
      <c r="H924">
        <v>2</v>
      </c>
    </row>
    <row r="925" spans="1:8">
      <c r="A925" t="s">
        <v>2559</v>
      </c>
      <c r="B925" t="s">
        <v>742</v>
      </c>
      <c r="C925" s="4">
        <v>45962</v>
      </c>
      <c r="D925" t="s">
        <v>1637</v>
      </c>
      <c r="E925" t="s">
        <v>1609</v>
      </c>
      <c r="F925" s="5">
        <v>1.6</v>
      </c>
      <c r="G925" t="s">
        <v>1630</v>
      </c>
      <c r="H925">
        <v>1</v>
      </c>
    </row>
    <row r="926" spans="1:8">
      <c r="A926" t="s">
        <v>2560</v>
      </c>
      <c r="B926" t="s">
        <v>1389</v>
      </c>
      <c r="C926" s="4">
        <v>46124</v>
      </c>
      <c r="D926" t="s">
        <v>1655</v>
      </c>
      <c r="E926" t="s">
        <v>1633</v>
      </c>
      <c r="F926" s="5">
        <v>3.9</v>
      </c>
      <c r="G926" t="s">
        <v>1630</v>
      </c>
      <c r="H926">
        <v>3</v>
      </c>
    </row>
    <row r="927" spans="1:8">
      <c r="A927" t="s">
        <v>2561</v>
      </c>
      <c r="B927" t="s">
        <v>1269</v>
      </c>
      <c r="C927" s="4">
        <v>45448</v>
      </c>
      <c r="D927" t="s">
        <v>1637</v>
      </c>
      <c r="E927" t="s">
        <v>1605</v>
      </c>
      <c r="F927" s="5">
        <v>23.5</v>
      </c>
      <c r="G927" t="s">
        <v>1630</v>
      </c>
      <c r="H927">
        <v>2</v>
      </c>
    </row>
    <row r="928" spans="1:8">
      <c r="A928" t="s">
        <v>2562</v>
      </c>
      <c r="B928" t="s">
        <v>906</v>
      </c>
      <c r="C928" s="4">
        <v>46101</v>
      </c>
      <c r="D928" t="s">
        <v>1655</v>
      </c>
      <c r="E928" t="s">
        <v>1609</v>
      </c>
      <c r="F928" s="5">
        <v>12.7</v>
      </c>
      <c r="G928" t="s">
        <v>1630</v>
      </c>
      <c r="H928">
        <v>1</v>
      </c>
    </row>
    <row r="929" spans="1:8">
      <c r="A929" t="s">
        <v>2563</v>
      </c>
      <c r="B929" t="s">
        <v>279</v>
      </c>
      <c r="C929" s="4">
        <v>45023</v>
      </c>
      <c r="D929" t="s">
        <v>1628</v>
      </c>
      <c r="E929" t="s">
        <v>1629</v>
      </c>
      <c r="F929" s="5">
        <v>27.1</v>
      </c>
      <c r="G929" t="s">
        <v>1630</v>
      </c>
      <c r="H929">
        <v>3</v>
      </c>
    </row>
    <row r="930" spans="1:8">
      <c r="A930" t="s">
        <v>2564</v>
      </c>
      <c r="B930" t="s">
        <v>1239</v>
      </c>
      <c r="C930" s="4">
        <v>46059</v>
      </c>
      <c r="D930" t="s">
        <v>1625</v>
      </c>
      <c r="E930" t="s">
        <v>1648</v>
      </c>
      <c r="F930" s="5">
        <v>0.4</v>
      </c>
      <c r="G930" t="s">
        <v>1626</v>
      </c>
      <c r="H930">
        <v>1</v>
      </c>
    </row>
    <row r="931" spans="1:8">
      <c r="A931" t="s">
        <v>2565</v>
      </c>
      <c r="B931" t="s">
        <v>910</v>
      </c>
      <c r="C931" s="4">
        <v>45028</v>
      </c>
      <c r="D931" t="s">
        <v>1637</v>
      </c>
      <c r="E931" t="s">
        <v>1629</v>
      </c>
      <c r="F931" s="5">
        <v>2.8</v>
      </c>
      <c r="G931" t="s">
        <v>1630</v>
      </c>
      <c r="H931">
        <v>2</v>
      </c>
    </row>
    <row r="932" spans="1:8">
      <c r="A932" t="s">
        <v>2566</v>
      </c>
      <c r="B932" t="s">
        <v>1111</v>
      </c>
      <c r="C932" s="4">
        <v>45236</v>
      </c>
      <c r="D932" t="s">
        <v>1625</v>
      </c>
      <c r="E932" t="s">
        <v>1648</v>
      </c>
      <c r="F932" s="5">
        <v>28.5</v>
      </c>
      <c r="G932" t="s">
        <v>1630</v>
      </c>
      <c r="H932">
        <v>3</v>
      </c>
    </row>
    <row r="933" spans="1:8">
      <c r="A933" t="s">
        <v>2567</v>
      </c>
      <c r="B933" t="s">
        <v>458</v>
      </c>
      <c r="C933" s="4">
        <v>46152</v>
      </c>
      <c r="D933" t="s">
        <v>1625</v>
      </c>
      <c r="E933" t="s">
        <v>1609</v>
      </c>
      <c r="F933" s="5">
        <v>5.4</v>
      </c>
      <c r="G933" t="s">
        <v>1630</v>
      </c>
      <c r="H933">
        <v>2</v>
      </c>
    </row>
    <row r="934" spans="1:8">
      <c r="A934" t="s">
        <v>2568</v>
      </c>
      <c r="B934" t="s">
        <v>1514</v>
      </c>
      <c r="C934" s="4">
        <v>45935</v>
      </c>
      <c r="D934" t="s">
        <v>1667</v>
      </c>
      <c r="E934" t="s">
        <v>1633</v>
      </c>
      <c r="F934" s="5">
        <v>2.2999999999999998</v>
      </c>
      <c r="G934" t="s">
        <v>1630</v>
      </c>
      <c r="H934">
        <v>2</v>
      </c>
    </row>
    <row r="935" spans="1:8">
      <c r="A935" t="s">
        <v>2569</v>
      </c>
      <c r="B935" t="s">
        <v>432</v>
      </c>
      <c r="C935" s="4">
        <v>44970</v>
      </c>
      <c r="D935" t="s">
        <v>1625</v>
      </c>
      <c r="E935" t="s">
        <v>1633</v>
      </c>
      <c r="F935" s="5">
        <v>1.3</v>
      </c>
      <c r="G935" t="s">
        <v>1630</v>
      </c>
      <c r="H935">
        <v>2</v>
      </c>
    </row>
    <row r="936" spans="1:8">
      <c r="A936" t="s">
        <v>2570</v>
      </c>
      <c r="B936" t="s">
        <v>795</v>
      </c>
      <c r="C936" s="4">
        <v>45583</v>
      </c>
      <c r="D936" t="s">
        <v>1632</v>
      </c>
      <c r="E936" t="s">
        <v>1633</v>
      </c>
      <c r="F936" s="5">
        <v>7.2</v>
      </c>
      <c r="G936" t="s">
        <v>1630</v>
      </c>
      <c r="H936">
        <v>2</v>
      </c>
    </row>
    <row r="937" spans="1:8">
      <c r="A937" t="s">
        <v>2571</v>
      </c>
      <c r="B937" t="s">
        <v>1519</v>
      </c>
      <c r="C937" s="4">
        <v>45326</v>
      </c>
      <c r="D937" t="s">
        <v>1632</v>
      </c>
      <c r="E937" t="s">
        <v>1609</v>
      </c>
      <c r="F937" s="5">
        <v>9.4</v>
      </c>
      <c r="G937" t="s">
        <v>1630</v>
      </c>
      <c r="H937">
        <v>2</v>
      </c>
    </row>
    <row r="938" spans="1:8">
      <c r="A938" t="s">
        <v>2572</v>
      </c>
      <c r="B938" t="s">
        <v>1596</v>
      </c>
      <c r="C938" s="4">
        <v>45520</v>
      </c>
      <c r="D938" t="s">
        <v>1625</v>
      </c>
      <c r="E938" t="s">
        <v>1629</v>
      </c>
      <c r="F938" s="5">
        <v>16.8</v>
      </c>
      <c r="G938" t="s">
        <v>1626</v>
      </c>
      <c r="H938">
        <v>2</v>
      </c>
    </row>
    <row r="939" spans="1:8">
      <c r="A939" t="s">
        <v>2573</v>
      </c>
      <c r="B939" t="s">
        <v>976</v>
      </c>
      <c r="C939" s="4">
        <v>45989</v>
      </c>
      <c r="D939" t="s">
        <v>1641</v>
      </c>
      <c r="E939" t="s">
        <v>1648</v>
      </c>
      <c r="F939" s="5">
        <v>6.9</v>
      </c>
      <c r="G939" t="s">
        <v>1630</v>
      </c>
      <c r="H939">
        <v>3</v>
      </c>
    </row>
    <row r="940" spans="1:8">
      <c r="A940" t="s">
        <v>2574</v>
      </c>
      <c r="B940" t="s">
        <v>924</v>
      </c>
      <c r="C940" s="4">
        <v>44969</v>
      </c>
      <c r="D940" t="s">
        <v>1655</v>
      </c>
      <c r="E940" t="s">
        <v>1609</v>
      </c>
      <c r="F940" s="5">
        <v>15.7</v>
      </c>
      <c r="G940" t="s">
        <v>1630</v>
      </c>
      <c r="H940">
        <v>4</v>
      </c>
    </row>
    <row r="941" spans="1:8">
      <c r="A941" t="s">
        <v>2575</v>
      </c>
      <c r="B941" t="s">
        <v>1343</v>
      </c>
      <c r="C941" s="4">
        <v>45966</v>
      </c>
      <c r="D941" t="s">
        <v>1632</v>
      </c>
      <c r="E941" t="s">
        <v>1609</v>
      </c>
      <c r="F941" s="5">
        <v>7.6</v>
      </c>
      <c r="G941" t="s">
        <v>1626</v>
      </c>
      <c r="H941">
        <v>1</v>
      </c>
    </row>
    <row r="942" spans="1:8">
      <c r="A942" t="s">
        <v>2576</v>
      </c>
      <c r="B942" t="s">
        <v>1372</v>
      </c>
      <c r="C942" s="4">
        <v>45844</v>
      </c>
      <c r="D942" t="s">
        <v>1641</v>
      </c>
      <c r="E942" t="s">
        <v>1648</v>
      </c>
      <c r="F942" s="5">
        <v>9.6999999999999993</v>
      </c>
      <c r="G942" t="s">
        <v>1630</v>
      </c>
      <c r="H942">
        <v>4</v>
      </c>
    </row>
    <row r="943" spans="1:8">
      <c r="A943" t="s">
        <v>2577</v>
      </c>
      <c r="B943" t="s">
        <v>1164</v>
      </c>
      <c r="C943" s="4">
        <v>45355</v>
      </c>
      <c r="D943" t="s">
        <v>1628</v>
      </c>
      <c r="E943" t="s">
        <v>1648</v>
      </c>
      <c r="F943" s="5">
        <v>10.8</v>
      </c>
      <c r="G943" t="s">
        <v>1630</v>
      </c>
      <c r="H943">
        <v>3</v>
      </c>
    </row>
    <row r="944" spans="1:8">
      <c r="A944" t="s">
        <v>2578</v>
      </c>
      <c r="B944" t="s">
        <v>472</v>
      </c>
      <c r="C944" s="4">
        <v>45853</v>
      </c>
      <c r="D944" t="s">
        <v>1667</v>
      </c>
      <c r="E944" t="s">
        <v>1629</v>
      </c>
      <c r="F944" s="5">
        <v>3.1</v>
      </c>
      <c r="G944" t="s">
        <v>1630</v>
      </c>
      <c r="H944">
        <v>3</v>
      </c>
    </row>
    <row r="945" spans="1:8">
      <c r="A945" t="s">
        <v>2579</v>
      </c>
      <c r="B945" t="s">
        <v>1063</v>
      </c>
      <c r="C945" s="4">
        <v>45241</v>
      </c>
      <c r="D945" t="s">
        <v>1628</v>
      </c>
      <c r="E945" t="s">
        <v>1609</v>
      </c>
      <c r="F945" s="5">
        <v>17.399999999999999</v>
      </c>
      <c r="G945" t="s">
        <v>1630</v>
      </c>
      <c r="H945">
        <v>1</v>
      </c>
    </row>
    <row r="946" spans="1:8">
      <c r="A946" t="s">
        <v>2580</v>
      </c>
      <c r="B946" t="s">
        <v>389</v>
      </c>
      <c r="C946" s="4">
        <v>46165</v>
      </c>
      <c r="D946" t="s">
        <v>1628</v>
      </c>
      <c r="E946" t="s">
        <v>1633</v>
      </c>
      <c r="F946" s="5">
        <v>6.8</v>
      </c>
      <c r="G946" t="s">
        <v>1626</v>
      </c>
      <c r="H946">
        <v>1</v>
      </c>
    </row>
    <row r="947" spans="1:8">
      <c r="A947" t="s">
        <v>2581</v>
      </c>
      <c r="B947" t="s">
        <v>1103</v>
      </c>
      <c r="C947" s="4">
        <v>45512</v>
      </c>
      <c r="D947" t="s">
        <v>1628</v>
      </c>
      <c r="E947" t="s">
        <v>1633</v>
      </c>
      <c r="F947" s="5">
        <v>20.6</v>
      </c>
      <c r="G947" t="s">
        <v>1626</v>
      </c>
      <c r="H947">
        <v>2</v>
      </c>
    </row>
    <row r="948" spans="1:8">
      <c r="A948" t="s">
        <v>2582</v>
      </c>
      <c r="B948" t="s">
        <v>535</v>
      </c>
      <c r="C948" s="4">
        <v>45013</v>
      </c>
      <c r="D948" t="s">
        <v>1628</v>
      </c>
      <c r="E948" t="s">
        <v>1633</v>
      </c>
      <c r="F948" s="5">
        <v>3</v>
      </c>
      <c r="G948" t="s">
        <v>1630</v>
      </c>
      <c r="H948">
        <v>5</v>
      </c>
    </row>
    <row r="949" spans="1:8">
      <c r="A949" t="s">
        <v>2583</v>
      </c>
      <c r="B949" t="s">
        <v>834</v>
      </c>
      <c r="C949" s="4">
        <v>45403</v>
      </c>
      <c r="D949" t="s">
        <v>1625</v>
      </c>
      <c r="E949" t="s">
        <v>1629</v>
      </c>
      <c r="F949" s="5">
        <v>8.8000000000000007</v>
      </c>
      <c r="G949" t="s">
        <v>1630</v>
      </c>
      <c r="H949">
        <v>4</v>
      </c>
    </row>
    <row r="950" spans="1:8">
      <c r="A950" t="s">
        <v>2584</v>
      </c>
      <c r="B950" t="s">
        <v>448</v>
      </c>
      <c r="C950" s="4">
        <v>45534</v>
      </c>
      <c r="D950" t="s">
        <v>1632</v>
      </c>
      <c r="E950" t="s">
        <v>1605</v>
      </c>
      <c r="F950" s="5">
        <v>0.3</v>
      </c>
      <c r="G950" t="s">
        <v>1630</v>
      </c>
      <c r="H950">
        <v>3</v>
      </c>
    </row>
    <row r="951" spans="1:8">
      <c r="A951" t="s">
        <v>2585</v>
      </c>
      <c r="B951" t="s">
        <v>1205</v>
      </c>
      <c r="C951" s="4">
        <v>45457</v>
      </c>
      <c r="D951" t="s">
        <v>1641</v>
      </c>
      <c r="E951" t="s">
        <v>1609</v>
      </c>
      <c r="F951" s="5">
        <v>8.3000000000000007</v>
      </c>
      <c r="G951" t="s">
        <v>1630</v>
      </c>
      <c r="H951">
        <v>1</v>
      </c>
    </row>
    <row r="952" spans="1:8">
      <c r="A952" t="s">
        <v>2586</v>
      </c>
      <c r="B952" t="s">
        <v>490</v>
      </c>
      <c r="C952" s="4">
        <v>45346</v>
      </c>
      <c r="D952" t="s">
        <v>1632</v>
      </c>
      <c r="E952" t="s">
        <v>1605</v>
      </c>
      <c r="F952" s="5">
        <v>8.5</v>
      </c>
      <c r="G952" t="s">
        <v>1630</v>
      </c>
      <c r="H952">
        <v>1</v>
      </c>
    </row>
    <row r="953" spans="1:8">
      <c r="A953" t="s">
        <v>2587</v>
      </c>
      <c r="B953" t="s">
        <v>187</v>
      </c>
      <c r="C953" s="4">
        <v>45485</v>
      </c>
      <c r="D953" t="s">
        <v>1641</v>
      </c>
      <c r="E953" t="s">
        <v>1605</v>
      </c>
      <c r="F953" s="5">
        <v>9.6999999999999993</v>
      </c>
      <c r="G953" t="s">
        <v>1630</v>
      </c>
      <c r="H953">
        <v>1</v>
      </c>
    </row>
    <row r="954" spans="1:8">
      <c r="A954" t="s">
        <v>2588</v>
      </c>
      <c r="B954" t="s">
        <v>456</v>
      </c>
      <c r="C954" s="4">
        <v>45237</v>
      </c>
      <c r="D954" t="s">
        <v>1628</v>
      </c>
      <c r="E954" t="s">
        <v>1605</v>
      </c>
      <c r="F954" s="5">
        <v>12.2</v>
      </c>
      <c r="G954" t="s">
        <v>1630</v>
      </c>
      <c r="H954">
        <v>3</v>
      </c>
    </row>
    <row r="955" spans="1:8">
      <c r="A955" t="s">
        <v>2589</v>
      </c>
      <c r="B955" t="s">
        <v>988</v>
      </c>
      <c r="C955" s="4">
        <v>45157</v>
      </c>
      <c r="D955" t="s">
        <v>1632</v>
      </c>
      <c r="E955" t="s">
        <v>1648</v>
      </c>
      <c r="F955" s="5">
        <v>1.3</v>
      </c>
      <c r="G955" t="s">
        <v>1630</v>
      </c>
      <c r="H955">
        <v>4</v>
      </c>
    </row>
    <row r="956" spans="1:8">
      <c r="A956" t="s">
        <v>2590</v>
      </c>
      <c r="B956" t="s">
        <v>1021</v>
      </c>
      <c r="C956" s="4">
        <v>45949</v>
      </c>
      <c r="D956" t="s">
        <v>1667</v>
      </c>
      <c r="E956" t="s">
        <v>1633</v>
      </c>
      <c r="F956" s="5">
        <v>17.899999999999999</v>
      </c>
      <c r="G956" t="s">
        <v>1630</v>
      </c>
      <c r="H956">
        <v>5</v>
      </c>
    </row>
    <row r="957" spans="1:8">
      <c r="A957" t="s">
        <v>2591</v>
      </c>
      <c r="B957" t="s">
        <v>329</v>
      </c>
      <c r="C957" s="4">
        <v>46014</v>
      </c>
      <c r="D957" t="s">
        <v>1625</v>
      </c>
      <c r="E957" t="s">
        <v>1648</v>
      </c>
      <c r="F957" s="5">
        <v>6.2</v>
      </c>
      <c r="G957" t="s">
        <v>1630</v>
      </c>
      <c r="H957">
        <v>3</v>
      </c>
    </row>
    <row r="958" spans="1:8">
      <c r="A958" t="s">
        <v>2592</v>
      </c>
      <c r="B958" t="s">
        <v>1325</v>
      </c>
      <c r="C958" s="4">
        <v>45200</v>
      </c>
      <c r="D958" t="s">
        <v>1655</v>
      </c>
      <c r="E958" t="s">
        <v>1609</v>
      </c>
      <c r="F958" s="5">
        <v>0.3</v>
      </c>
      <c r="G958" t="s">
        <v>1630</v>
      </c>
      <c r="H958">
        <v>5</v>
      </c>
    </row>
    <row r="959" spans="1:8">
      <c r="A959" t="s">
        <v>2593</v>
      </c>
      <c r="B959" t="s">
        <v>1542</v>
      </c>
      <c r="C959" s="4">
        <v>45956</v>
      </c>
      <c r="D959" t="s">
        <v>1637</v>
      </c>
      <c r="E959" t="s">
        <v>1629</v>
      </c>
      <c r="F959" s="5">
        <v>4.7</v>
      </c>
      <c r="G959" t="s">
        <v>1630</v>
      </c>
      <c r="H959">
        <v>2</v>
      </c>
    </row>
    <row r="960" spans="1:8">
      <c r="A960" t="s">
        <v>2594</v>
      </c>
      <c r="B960" t="s">
        <v>1424</v>
      </c>
      <c r="C960" s="4">
        <v>45569</v>
      </c>
      <c r="D960" t="s">
        <v>1641</v>
      </c>
      <c r="E960" t="s">
        <v>1629</v>
      </c>
      <c r="F960" s="5">
        <v>8.1</v>
      </c>
      <c r="G960" t="s">
        <v>1630</v>
      </c>
      <c r="H960">
        <v>4</v>
      </c>
    </row>
    <row r="961" spans="1:8">
      <c r="A961" t="s">
        <v>2595</v>
      </c>
      <c r="B961" t="s">
        <v>1321</v>
      </c>
      <c r="C961" s="4">
        <v>45563</v>
      </c>
      <c r="D961" t="s">
        <v>1655</v>
      </c>
      <c r="E961" t="s">
        <v>1609</v>
      </c>
      <c r="F961" s="5">
        <v>7.2</v>
      </c>
      <c r="G961" t="s">
        <v>1630</v>
      </c>
      <c r="H961">
        <v>2</v>
      </c>
    </row>
    <row r="962" spans="1:8">
      <c r="A962" t="s">
        <v>2596</v>
      </c>
      <c r="B962" t="s">
        <v>669</v>
      </c>
      <c r="C962" s="4">
        <v>45296</v>
      </c>
      <c r="D962" t="s">
        <v>1628</v>
      </c>
      <c r="E962" t="s">
        <v>1605</v>
      </c>
      <c r="F962" s="5">
        <v>10</v>
      </c>
      <c r="G962" t="s">
        <v>1630</v>
      </c>
      <c r="H962">
        <v>2</v>
      </c>
    </row>
    <row r="963" spans="1:8">
      <c r="A963" t="s">
        <v>2597</v>
      </c>
      <c r="B963" t="s">
        <v>460</v>
      </c>
      <c r="C963" s="4">
        <v>45080</v>
      </c>
      <c r="D963" t="s">
        <v>1628</v>
      </c>
      <c r="E963" t="s">
        <v>1609</v>
      </c>
      <c r="F963" s="5">
        <v>2.9</v>
      </c>
      <c r="G963" t="s">
        <v>1630</v>
      </c>
      <c r="H963">
        <v>3</v>
      </c>
    </row>
    <row r="964" spans="1:8">
      <c r="A964" t="s">
        <v>2598</v>
      </c>
      <c r="B964" t="s">
        <v>432</v>
      </c>
      <c r="C964" s="4">
        <v>45445</v>
      </c>
      <c r="D964" t="s">
        <v>1641</v>
      </c>
      <c r="E964" t="s">
        <v>1609</v>
      </c>
      <c r="F964" s="5">
        <v>2.6</v>
      </c>
      <c r="G964" t="s">
        <v>1630</v>
      </c>
      <c r="H964">
        <v>5</v>
      </c>
    </row>
    <row r="965" spans="1:8">
      <c r="A965" t="s">
        <v>2599</v>
      </c>
      <c r="B965" t="s">
        <v>1530</v>
      </c>
      <c r="C965" s="4">
        <v>46090</v>
      </c>
      <c r="D965" t="s">
        <v>1655</v>
      </c>
      <c r="E965" t="s">
        <v>1609</v>
      </c>
      <c r="F965" s="5">
        <v>0.8</v>
      </c>
      <c r="G965" t="s">
        <v>1626</v>
      </c>
      <c r="H965">
        <v>2</v>
      </c>
    </row>
    <row r="966" spans="1:8">
      <c r="A966" t="s">
        <v>2600</v>
      </c>
      <c r="B966" t="s">
        <v>412</v>
      </c>
      <c r="C966" s="4">
        <v>45759</v>
      </c>
      <c r="D966" t="s">
        <v>1641</v>
      </c>
      <c r="E966" t="s">
        <v>1648</v>
      </c>
      <c r="F966" s="5">
        <v>30.1</v>
      </c>
      <c r="G966" t="s">
        <v>1630</v>
      </c>
      <c r="H966">
        <v>5</v>
      </c>
    </row>
    <row r="967" spans="1:8">
      <c r="A967" t="s">
        <v>2601</v>
      </c>
      <c r="B967" t="s">
        <v>301</v>
      </c>
      <c r="C967" s="4">
        <v>45256</v>
      </c>
      <c r="D967" t="s">
        <v>1641</v>
      </c>
      <c r="E967" t="s">
        <v>1605</v>
      </c>
      <c r="F967" s="5">
        <v>0.9</v>
      </c>
      <c r="G967" t="s">
        <v>1630</v>
      </c>
      <c r="H967">
        <v>1</v>
      </c>
    </row>
    <row r="968" spans="1:8">
      <c r="A968" t="s">
        <v>2602</v>
      </c>
      <c r="B968" t="s">
        <v>537</v>
      </c>
      <c r="C968" s="4">
        <v>45811</v>
      </c>
      <c r="D968" t="s">
        <v>1625</v>
      </c>
      <c r="E968" t="s">
        <v>1609</v>
      </c>
      <c r="F968" s="5">
        <v>10.7</v>
      </c>
      <c r="G968" t="s">
        <v>1630</v>
      </c>
      <c r="H968">
        <v>1</v>
      </c>
    </row>
    <row r="969" spans="1:8">
      <c r="A969" t="s">
        <v>2603</v>
      </c>
      <c r="B969" t="s">
        <v>231</v>
      </c>
      <c r="C969" s="4">
        <v>44938</v>
      </c>
      <c r="D969" t="s">
        <v>1625</v>
      </c>
      <c r="E969" t="s">
        <v>1605</v>
      </c>
      <c r="F969" s="5">
        <v>11</v>
      </c>
      <c r="G969" t="s">
        <v>1630</v>
      </c>
      <c r="H969">
        <v>2</v>
      </c>
    </row>
    <row r="970" spans="1:8">
      <c r="A970" t="s">
        <v>2604</v>
      </c>
      <c r="B970" t="s">
        <v>1030</v>
      </c>
      <c r="C970" s="4">
        <v>45738</v>
      </c>
      <c r="D970" t="s">
        <v>1628</v>
      </c>
      <c r="E970" t="s">
        <v>1609</v>
      </c>
      <c r="F970" s="5">
        <v>0.2</v>
      </c>
      <c r="G970" t="s">
        <v>1630</v>
      </c>
      <c r="H970">
        <v>3</v>
      </c>
    </row>
    <row r="971" spans="1:8">
      <c r="A971" t="s">
        <v>2605</v>
      </c>
      <c r="B971" t="s">
        <v>1398</v>
      </c>
      <c r="C971" s="4">
        <v>45294</v>
      </c>
      <c r="D971" t="s">
        <v>1628</v>
      </c>
      <c r="E971" t="s">
        <v>1648</v>
      </c>
      <c r="F971" s="5">
        <v>18.399999999999999</v>
      </c>
      <c r="G971" t="s">
        <v>1630</v>
      </c>
      <c r="H971">
        <v>1</v>
      </c>
    </row>
    <row r="972" spans="1:8">
      <c r="A972" t="s">
        <v>2606</v>
      </c>
      <c r="B972" t="s">
        <v>1550</v>
      </c>
      <c r="C972" s="4">
        <v>45654</v>
      </c>
      <c r="D972" t="s">
        <v>1641</v>
      </c>
      <c r="E972" t="s">
        <v>1605</v>
      </c>
      <c r="F972" s="5">
        <v>20.7</v>
      </c>
      <c r="G972" t="s">
        <v>1626</v>
      </c>
      <c r="H972">
        <v>3</v>
      </c>
    </row>
    <row r="973" spans="1:8">
      <c r="A973" t="s">
        <v>2607</v>
      </c>
      <c r="B973" t="s">
        <v>446</v>
      </c>
      <c r="C973" s="4">
        <v>46083</v>
      </c>
      <c r="D973" t="s">
        <v>1655</v>
      </c>
      <c r="E973" t="s">
        <v>1609</v>
      </c>
      <c r="F973" s="5">
        <v>0.5</v>
      </c>
      <c r="G973" t="s">
        <v>1630</v>
      </c>
      <c r="H973">
        <v>4</v>
      </c>
    </row>
    <row r="974" spans="1:8">
      <c r="A974" t="s">
        <v>2608</v>
      </c>
      <c r="B974" t="s">
        <v>432</v>
      </c>
      <c r="C974" s="4">
        <v>45863</v>
      </c>
      <c r="D974" t="s">
        <v>1632</v>
      </c>
      <c r="E974" t="s">
        <v>1605</v>
      </c>
      <c r="F974" s="5">
        <v>15.6</v>
      </c>
      <c r="G974" t="s">
        <v>1630</v>
      </c>
      <c r="H974">
        <v>5</v>
      </c>
    </row>
    <row r="975" spans="1:8">
      <c r="A975" t="s">
        <v>2609</v>
      </c>
      <c r="B975" t="s">
        <v>1494</v>
      </c>
      <c r="C975" s="4">
        <v>45350</v>
      </c>
      <c r="D975" t="s">
        <v>1637</v>
      </c>
      <c r="E975" t="s">
        <v>1648</v>
      </c>
      <c r="F975" s="5">
        <v>7.5</v>
      </c>
      <c r="G975" t="s">
        <v>1630</v>
      </c>
      <c r="H975">
        <v>2</v>
      </c>
    </row>
    <row r="976" spans="1:8">
      <c r="A976" t="s">
        <v>2610</v>
      </c>
      <c r="B976" t="s">
        <v>527</v>
      </c>
      <c r="C976" s="4">
        <v>45917</v>
      </c>
      <c r="D976" t="s">
        <v>1625</v>
      </c>
      <c r="E976" t="s">
        <v>1609</v>
      </c>
      <c r="F976" s="5">
        <v>5.6</v>
      </c>
      <c r="G976" t="s">
        <v>1630</v>
      </c>
      <c r="H976">
        <v>5</v>
      </c>
    </row>
    <row r="977" spans="1:8">
      <c r="A977" t="s">
        <v>2611</v>
      </c>
      <c r="B977" t="s">
        <v>1524</v>
      </c>
      <c r="C977" s="4">
        <v>45751</v>
      </c>
      <c r="D977" t="s">
        <v>1628</v>
      </c>
      <c r="E977" t="s">
        <v>1629</v>
      </c>
      <c r="F977" s="5">
        <v>0.9</v>
      </c>
      <c r="G977" t="s">
        <v>1630</v>
      </c>
      <c r="H977">
        <v>3</v>
      </c>
    </row>
    <row r="978" spans="1:8">
      <c r="A978" t="s">
        <v>2612</v>
      </c>
      <c r="B978" t="s">
        <v>1583</v>
      </c>
      <c r="C978" s="4">
        <v>45149</v>
      </c>
      <c r="D978" t="s">
        <v>1628</v>
      </c>
      <c r="E978" t="s">
        <v>1609</v>
      </c>
      <c r="F978" s="5">
        <v>1.7</v>
      </c>
      <c r="G978" t="s">
        <v>1630</v>
      </c>
      <c r="H978">
        <v>2</v>
      </c>
    </row>
    <row r="979" spans="1:8">
      <c r="A979" t="s">
        <v>2613</v>
      </c>
      <c r="B979" t="s">
        <v>499</v>
      </c>
      <c r="C979" s="4">
        <v>45389</v>
      </c>
      <c r="D979" t="s">
        <v>1632</v>
      </c>
      <c r="E979" t="s">
        <v>1605</v>
      </c>
      <c r="F979" s="5">
        <v>0.8</v>
      </c>
      <c r="G979" t="s">
        <v>1630</v>
      </c>
      <c r="H979">
        <v>5</v>
      </c>
    </row>
    <row r="980" spans="1:8">
      <c r="A980" t="s">
        <v>2614</v>
      </c>
      <c r="B980" t="s">
        <v>1296</v>
      </c>
      <c r="C980" s="4">
        <v>45385</v>
      </c>
      <c r="D980" t="s">
        <v>1625</v>
      </c>
      <c r="E980" t="s">
        <v>1605</v>
      </c>
      <c r="F980" s="5">
        <v>4.9000000000000004</v>
      </c>
      <c r="G980" t="s">
        <v>1630</v>
      </c>
      <c r="H980">
        <v>1</v>
      </c>
    </row>
    <row r="981" spans="1:8">
      <c r="A981" t="s">
        <v>2615</v>
      </c>
      <c r="B981" t="s">
        <v>1012</v>
      </c>
      <c r="C981" s="4">
        <v>45903</v>
      </c>
      <c r="D981" t="s">
        <v>1625</v>
      </c>
      <c r="E981" t="s">
        <v>1609</v>
      </c>
      <c r="F981" s="5">
        <v>4.2</v>
      </c>
      <c r="G981" t="s">
        <v>1626</v>
      </c>
      <c r="H981">
        <v>2</v>
      </c>
    </row>
    <row r="982" spans="1:8">
      <c r="A982" t="s">
        <v>2616</v>
      </c>
      <c r="B982" t="s">
        <v>808</v>
      </c>
      <c r="C982" s="4">
        <v>45121</v>
      </c>
      <c r="D982" t="s">
        <v>1632</v>
      </c>
      <c r="E982" t="s">
        <v>1629</v>
      </c>
      <c r="F982" s="5">
        <v>11.3</v>
      </c>
      <c r="G982" t="s">
        <v>1630</v>
      </c>
      <c r="H982">
        <v>5</v>
      </c>
    </row>
    <row r="983" spans="1:8">
      <c r="A983" t="s">
        <v>2617</v>
      </c>
      <c r="B983" t="s">
        <v>439</v>
      </c>
      <c r="C983" s="4">
        <v>44939</v>
      </c>
      <c r="D983" t="s">
        <v>1641</v>
      </c>
      <c r="E983" t="s">
        <v>1648</v>
      </c>
      <c r="F983" s="5">
        <v>5.9</v>
      </c>
      <c r="G983" t="s">
        <v>1626</v>
      </c>
      <c r="H983">
        <v>2</v>
      </c>
    </row>
    <row r="984" spans="1:8">
      <c r="A984" t="s">
        <v>2618</v>
      </c>
      <c r="B984" t="s">
        <v>587</v>
      </c>
      <c r="C984" s="4">
        <v>45080</v>
      </c>
      <c r="D984" t="s">
        <v>1641</v>
      </c>
      <c r="E984" t="s">
        <v>1629</v>
      </c>
      <c r="F984" s="5">
        <v>7.5</v>
      </c>
      <c r="G984" t="s">
        <v>1626</v>
      </c>
      <c r="H984">
        <v>1</v>
      </c>
    </row>
    <row r="985" spans="1:8">
      <c r="A985" t="s">
        <v>2619</v>
      </c>
      <c r="B985" t="s">
        <v>918</v>
      </c>
      <c r="C985" s="4">
        <v>45957</v>
      </c>
      <c r="D985" t="s">
        <v>1632</v>
      </c>
      <c r="E985" t="s">
        <v>1633</v>
      </c>
      <c r="F985" s="5">
        <v>28</v>
      </c>
      <c r="G985" t="s">
        <v>1630</v>
      </c>
      <c r="H985">
        <v>5</v>
      </c>
    </row>
    <row r="986" spans="1:8">
      <c r="A986" t="s">
        <v>2620</v>
      </c>
      <c r="B986" t="s">
        <v>1174</v>
      </c>
      <c r="C986" s="4">
        <v>45432</v>
      </c>
      <c r="D986" t="s">
        <v>1641</v>
      </c>
      <c r="E986" t="s">
        <v>1633</v>
      </c>
      <c r="F986" s="5">
        <v>3.4</v>
      </c>
      <c r="G986" t="s">
        <v>1630</v>
      </c>
      <c r="H986">
        <v>1</v>
      </c>
    </row>
    <row r="987" spans="1:8">
      <c r="A987" t="s">
        <v>2621</v>
      </c>
      <c r="B987" t="s">
        <v>1275</v>
      </c>
      <c r="C987" s="4">
        <v>45235</v>
      </c>
      <c r="D987" t="s">
        <v>1632</v>
      </c>
      <c r="E987" t="s">
        <v>1629</v>
      </c>
      <c r="F987" s="5">
        <v>3.7</v>
      </c>
      <c r="G987" t="s">
        <v>1626</v>
      </c>
      <c r="H987">
        <v>2</v>
      </c>
    </row>
    <row r="988" spans="1:8">
      <c r="A988" t="s">
        <v>2622</v>
      </c>
      <c r="B988" t="s">
        <v>1018</v>
      </c>
      <c r="C988" s="4">
        <v>45714</v>
      </c>
      <c r="D988" t="s">
        <v>1655</v>
      </c>
      <c r="E988" t="s">
        <v>1648</v>
      </c>
      <c r="F988" s="5">
        <v>16.3</v>
      </c>
      <c r="G988" t="s">
        <v>1630</v>
      </c>
      <c r="H988">
        <v>1</v>
      </c>
    </row>
    <row r="989" spans="1:8">
      <c r="A989" t="s">
        <v>2623</v>
      </c>
      <c r="B989" t="s">
        <v>382</v>
      </c>
      <c r="C989" s="4">
        <v>45589</v>
      </c>
      <c r="D989" t="s">
        <v>1625</v>
      </c>
      <c r="E989" t="s">
        <v>1633</v>
      </c>
      <c r="F989" s="5">
        <v>7.7</v>
      </c>
      <c r="G989" t="s">
        <v>1630</v>
      </c>
      <c r="H989">
        <v>2</v>
      </c>
    </row>
    <row r="990" spans="1:8">
      <c r="A990" t="s">
        <v>2624</v>
      </c>
      <c r="B990" t="s">
        <v>749</v>
      </c>
      <c r="C990" s="4">
        <v>45594</v>
      </c>
      <c r="D990" t="s">
        <v>1628</v>
      </c>
      <c r="E990" t="s">
        <v>1633</v>
      </c>
      <c r="F990" s="5">
        <v>8.9</v>
      </c>
      <c r="G990" t="s">
        <v>1630</v>
      </c>
      <c r="H990">
        <v>1</v>
      </c>
    </row>
    <row r="991" spans="1:8">
      <c r="A991" t="s">
        <v>2625</v>
      </c>
      <c r="B991" t="s">
        <v>1340</v>
      </c>
      <c r="C991" s="4">
        <v>45837</v>
      </c>
      <c r="D991" t="s">
        <v>1632</v>
      </c>
      <c r="E991" t="s">
        <v>1605</v>
      </c>
      <c r="F991" s="5">
        <v>6.9</v>
      </c>
      <c r="G991" t="s">
        <v>1630</v>
      </c>
      <c r="H991">
        <v>4</v>
      </c>
    </row>
    <row r="992" spans="1:8">
      <c r="A992" t="s">
        <v>2626</v>
      </c>
      <c r="B992" t="s">
        <v>623</v>
      </c>
      <c r="C992" s="4">
        <v>45900</v>
      </c>
      <c r="D992" t="s">
        <v>1628</v>
      </c>
      <c r="E992" t="s">
        <v>1648</v>
      </c>
      <c r="F992" s="5">
        <v>4.2</v>
      </c>
      <c r="G992" t="s">
        <v>1630</v>
      </c>
      <c r="H992">
        <v>3</v>
      </c>
    </row>
    <row r="993" spans="1:8">
      <c r="A993" t="s">
        <v>2627</v>
      </c>
      <c r="B993" t="s">
        <v>233</v>
      </c>
      <c r="C993" s="4">
        <v>45823</v>
      </c>
      <c r="D993" t="s">
        <v>1641</v>
      </c>
      <c r="E993" t="s">
        <v>1629</v>
      </c>
      <c r="F993" s="5">
        <v>5.3</v>
      </c>
      <c r="G993" t="s">
        <v>1630</v>
      </c>
      <c r="H993">
        <v>5</v>
      </c>
    </row>
    <row r="994" spans="1:8">
      <c r="A994" t="s">
        <v>2628</v>
      </c>
      <c r="B994" t="s">
        <v>1366</v>
      </c>
      <c r="C994" s="4">
        <v>46146</v>
      </c>
      <c r="D994" t="s">
        <v>1625</v>
      </c>
      <c r="E994" t="s">
        <v>1629</v>
      </c>
      <c r="F994" s="5">
        <v>2.4</v>
      </c>
      <c r="G994" t="s">
        <v>1630</v>
      </c>
      <c r="H994">
        <v>5</v>
      </c>
    </row>
    <row r="995" spans="1:8">
      <c r="A995" t="s">
        <v>2629</v>
      </c>
      <c r="B995" t="s">
        <v>1446</v>
      </c>
      <c r="C995" s="4">
        <v>46096</v>
      </c>
      <c r="D995" t="s">
        <v>1625</v>
      </c>
      <c r="E995" t="s">
        <v>1633</v>
      </c>
      <c r="F995" s="5">
        <v>0.6</v>
      </c>
      <c r="G995" t="s">
        <v>1630</v>
      </c>
      <c r="H995">
        <v>5</v>
      </c>
    </row>
    <row r="996" spans="1:8">
      <c r="A996" t="s">
        <v>2630</v>
      </c>
      <c r="B996" t="s">
        <v>1389</v>
      </c>
      <c r="C996" s="4">
        <v>45959</v>
      </c>
      <c r="D996" t="s">
        <v>1655</v>
      </c>
      <c r="E996" t="s">
        <v>1609</v>
      </c>
      <c r="F996" s="5">
        <v>4.2</v>
      </c>
      <c r="G996" t="s">
        <v>1630</v>
      </c>
      <c r="H996">
        <v>4</v>
      </c>
    </row>
    <row r="997" spans="1:8">
      <c r="A997" t="s">
        <v>2631</v>
      </c>
      <c r="B997" t="s">
        <v>998</v>
      </c>
      <c r="C997" s="4">
        <v>45630</v>
      </c>
      <c r="D997" t="s">
        <v>1628</v>
      </c>
      <c r="E997" t="s">
        <v>1648</v>
      </c>
      <c r="F997" s="5">
        <v>6.2</v>
      </c>
      <c r="G997" t="s">
        <v>1630</v>
      </c>
      <c r="H997">
        <v>4</v>
      </c>
    </row>
    <row r="998" spans="1:8">
      <c r="A998" t="s">
        <v>2632</v>
      </c>
      <c r="B998" t="s">
        <v>663</v>
      </c>
      <c r="C998" s="4">
        <v>46123</v>
      </c>
      <c r="D998" t="s">
        <v>1641</v>
      </c>
      <c r="E998" t="s">
        <v>1633</v>
      </c>
      <c r="F998" s="5">
        <v>2.7</v>
      </c>
      <c r="G998" t="s">
        <v>1630</v>
      </c>
      <c r="H998">
        <v>5</v>
      </c>
    </row>
    <row r="999" spans="1:8">
      <c r="A999" t="s">
        <v>2633</v>
      </c>
      <c r="B999" t="s">
        <v>437</v>
      </c>
      <c r="C999" s="4">
        <v>45981</v>
      </c>
      <c r="D999" t="s">
        <v>1655</v>
      </c>
      <c r="E999" t="s">
        <v>1609</v>
      </c>
      <c r="F999" s="5">
        <v>3.2</v>
      </c>
      <c r="G999" t="s">
        <v>1630</v>
      </c>
      <c r="H999">
        <v>1</v>
      </c>
    </row>
    <row r="1000" spans="1:8">
      <c r="A1000" t="s">
        <v>2634</v>
      </c>
      <c r="B1000" t="s">
        <v>432</v>
      </c>
      <c r="C1000" s="4">
        <v>45743</v>
      </c>
      <c r="D1000" t="s">
        <v>1628</v>
      </c>
      <c r="E1000" t="s">
        <v>1629</v>
      </c>
      <c r="F1000" s="5">
        <v>0.3</v>
      </c>
      <c r="G1000" t="s">
        <v>1630</v>
      </c>
      <c r="H1000">
        <v>5</v>
      </c>
    </row>
    <row r="1001" spans="1:8">
      <c r="A1001" t="s">
        <v>2635</v>
      </c>
      <c r="B1001" t="s">
        <v>1118</v>
      </c>
      <c r="C1001" s="4">
        <v>45052</v>
      </c>
      <c r="D1001" t="s">
        <v>1628</v>
      </c>
      <c r="E1001" t="s">
        <v>1648</v>
      </c>
      <c r="F1001" s="5">
        <v>1.6</v>
      </c>
      <c r="G1001" t="s">
        <v>1630</v>
      </c>
      <c r="H1001">
        <v>3</v>
      </c>
    </row>
    <row r="1002" spans="1:8">
      <c r="A1002" t="s">
        <v>2636</v>
      </c>
      <c r="B1002" t="s">
        <v>770</v>
      </c>
      <c r="C1002" s="4">
        <v>45992</v>
      </c>
      <c r="D1002" t="s">
        <v>1628</v>
      </c>
      <c r="E1002" t="s">
        <v>1605</v>
      </c>
      <c r="F1002" s="5">
        <v>0.2</v>
      </c>
      <c r="G1002" t="s">
        <v>1626</v>
      </c>
      <c r="H1002">
        <v>3</v>
      </c>
    </row>
    <row r="1003" spans="1:8">
      <c r="A1003" t="s">
        <v>2637</v>
      </c>
      <c r="B1003" t="s">
        <v>1047</v>
      </c>
      <c r="C1003" s="4">
        <v>45316</v>
      </c>
      <c r="D1003" t="s">
        <v>1637</v>
      </c>
      <c r="E1003" t="s">
        <v>1609</v>
      </c>
      <c r="F1003" s="5">
        <v>3.2</v>
      </c>
      <c r="G1003" t="s">
        <v>1630</v>
      </c>
      <c r="H1003">
        <v>5</v>
      </c>
    </row>
    <row r="1004" spans="1:8">
      <c r="A1004" t="s">
        <v>2638</v>
      </c>
      <c r="B1004" t="s">
        <v>1040</v>
      </c>
      <c r="C1004" s="4">
        <v>45412</v>
      </c>
      <c r="D1004" t="s">
        <v>1641</v>
      </c>
      <c r="E1004" t="s">
        <v>1629</v>
      </c>
      <c r="F1004" s="5">
        <v>2.4</v>
      </c>
      <c r="G1004" t="s">
        <v>1626</v>
      </c>
      <c r="H1004">
        <v>1</v>
      </c>
    </row>
    <row r="1005" spans="1:8">
      <c r="A1005" t="s">
        <v>2639</v>
      </c>
      <c r="B1005" t="s">
        <v>1043</v>
      </c>
      <c r="C1005" s="4">
        <v>45638</v>
      </c>
      <c r="D1005" t="s">
        <v>1625</v>
      </c>
      <c r="E1005" t="s">
        <v>1605</v>
      </c>
      <c r="F1005" s="5">
        <v>0.2</v>
      </c>
      <c r="G1005" t="s">
        <v>1626</v>
      </c>
      <c r="H1005">
        <v>2</v>
      </c>
    </row>
    <row r="1006" spans="1:8">
      <c r="A1006" t="s">
        <v>2640</v>
      </c>
      <c r="B1006" t="s">
        <v>1374</v>
      </c>
      <c r="C1006" s="4">
        <v>45685</v>
      </c>
      <c r="D1006" t="s">
        <v>1637</v>
      </c>
      <c r="E1006" t="s">
        <v>1609</v>
      </c>
      <c r="F1006" s="5">
        <v>0.2</v>
      </c>
      <c r="G1006" t="s">
        <v>1630</v>
      </c>
      <c r="H1006">
        <v>3</v>
      </c>
    </row>
    <row r="1007" spans="1:8">
      <c r="A1007" t="s">
        <v>2641</v>
      </c>
      <c r="B1007" t="s">
        <v>1281</v>
      </c>
      <c r="C1007" s="4">
        <v>45726</v>
      </c>
      <c r="D1007" t="s">
        <v>1632</v>
      </c>
      <c r="E1007" t="s">
        <v>1629</v>
      </c>
      <c r="F1007" s="5">
        <v>0.9</v>
      </c>
      <c r="G1007" t="s">
        <v>1626</v>
      </c>
      <c r="H1007">
        <v>3</v>
      </c>
    </row>
    <row r="1008" spans="1:8">
      <c r="A1008" t="s">
        <v>2642</v>
      </c>
      <c r="B1008" t="s">
        <v>766</v>
      </c>
      <c r="C1008" s="4">
        <v>45343</v>
      </c>
      <c r="D1008" t="s">
        <v>1628</v>
      </c>
      <c r="E1008" t="s">
        <v>1633</v>
      </c>
      <c r="F1008" s="5">
        <v>3.9</v>
      </c>
      <c r="G1008" t="s">
        <v>1630</v>
      </c>
      <c r="H1008">
        <v>3</v>
      </c>
    </row>
    <row r="1009" spans="1:8">
      <c r="A1009" t="s">
        <v>2643</v>
      </c>
      <c r="B1009" t="s">
        <v>1344</v>
      </c>
      <c r="C1009" s="4">
        <v>46084</v>
      </c>
      <c r="D1009" t="s">
        <v>1628</v>
      </c>
      <c r="E1009" t="s">
        <v>1629</v>
      </c>
      <c r="F1009" s="5">
        <v>30.8</v>
      </c>
      <c r="G1009" t="s">
        <v>1630</v>
      </c>
      <c r="H1009">
        <v>3</v>
      </c>
    </row>
    <row r="1010" spans="1:8">
      <c r="A1010" t="s">
        <v>2644</v>
      </c>
      <c r="B1010" t="s">
        <v>878</v>
      </c>
      <c r="C1010" s="4">
        <v>45846</v>
      </c>
      <c r="D1010" t="s">
        <v>1641</v>
      </c>
      <c r="E1010" t="s">
        <v>1648</v>
      </c>
      <c r="F1010" s="5">
        <v>11.5</v>
      </c>
      <c r="G1010" t="s">
        <v>1626</v>
      </c>
      <c r="H1010">
        <v>1</v>
      </c>
    </row>
    <row r="1011" spans="1:8">
      <c r="A1011" t="s">
        <v>2645</v>
      </c>
      <c r="B1011" t="s">
        <v>1189</v>
      </c>
      <c r="C1011" s="4">
        <v>45169</v>
      </c>
      <c r="D1011" t="s">
        <v>1641</v>
      </c>
      <c r="E1011" t="s">
        <v>1605</v>
      </c>
      <c r="F1011" s="5">
        <v>4.3</v>
      </c>
      <c r="G1011" t="s">
        <v>1630</v>
      </c>
      <c r="H1011">
        <v>1</v>
      </c>
    </row>
    <row r="1012" spans="1:8">
      <c r="A1012" t="s">
        <v>2646</v>
      </c>
      <c r="B1012" t="s">
        <v>154</v>
      </c>
      <c r="C1012" s="4">
        <v>45158</v>
      </c>
      <c r="D1012" t="s">
        <v>1641</v>
      </c>
      <c r="E1012" t="s">
        <v>1605</v>
      </c>
      <c r="F1012" s="5">
        <v>4.5</v>
      </c>
      <c r="G1012" t="s">
        <v>1626</v>
      </c>
      <c r="H1012">
        <v>1</v>
      </c>
    </row>
    <row r="1013" spans="1:8">
      <c r="A1013" t="s">
        <v>2647</v>
      </c>
      <c r="B1013" t="s">
        <v>197</v>
      </c>
      <c r="C1013" s="4">
        <v>45399</v>
      </c>
      <c r="D1013" t="s">
        <v>1628</v>
      </c>
      <c r="E1013" t="s">
        <v>1633</v>
      </c>
      <c r="F1013" s="5">
        <v>2.9</v>
      </c>
      <c r="G1013" t="s">
        <v>1626</v>
      </c>
      <c r="H1013">
        <v>1</v>
      </c>
    </row>
    <row r="1014" spans="1:8">
      <c r="A1014" t="s">
        <v>2648</v>
      </c>
      <c r="B1014" t="s">
        <v>1117</v>
      </c>
      <c r="C1014" s="4">
        <v>46146</v>
      </c>
      <c r="D1014" t="s">
        <v>1667</v>
      </c>
      <c r="E1014" t="s">
        <v>1629</v>
      </c>
      <c r="F1014" s="5">
        <v>5.3</v>
      </c>
      <c r="G1014" t="s">
        <v>1630</v>
      </c>
      <c r="H1014">
        <v>4</v>
      </c>
    </row>
    <row r="1015" spans="1:8">
      <c r="A1015" t="s">
        <v>2649</v>
      </c>
      <c r="B1015" t="s">
        <v>1052</v>
      </c>
      <c r="C1015" s="4">
        <v>45747</v>
      </c>
      <c r="D1015" t="s">
        <v>1655</v>
      </c>
      <c r="E1015" t="s">
        <v>1633</v>
      </c>
      <c r="F1015" s="5">
        <v>1.4</v>
      </c>
      <c r="G1015" t="s">
        <v>1626</v>
      </c>
      <c r="H1015">
        <v>2</v>
      </c>
    </row>
    <row r="1016" spans="1:8">
      <c r="A1016" t="s">
        <v>2650</v>
      </c>
      <c r="B1016" t="s">
        <v>389</v>
      </c>
      <c r="C1016" s="4">
        <v>45185</v>
      </c>
      <c r="D1016" t="s">
        <v>1628</v>
      </c>
      <c r="E1016" t="s">
        <v>1633</v>
      </c>
      <c r="F1016" s="5">
        <v>7.6</v>
      </c>
      <c r="G1016" t="s">
        <v>1630</v>
      </c>
      <c r="H1016">
        <v>4</v>
      </c>
    </row>
    <row r="1017" spans="1:8">
      <c r="A1017" t="s">
        <v>2651</v>
      </c>
      <c r="B1017" t="s">
        <v>380</v>
      </c>
      <c r="C1017" s="4">
        <v>45572</v>
      </c>
      <c r="D1017" t="s">
        <v>1667</v>
      </c>
      <c r="E1017" t="s">
        <v>1605</v>
      </c>
      <c r="F1017" s="5">
        <v>1.6</v>
      </c>
      <c r="G1017" t="s">
        <v>1626</v>
      </c>
      <c r="H1017">
        <v>1</v>
      </c>
    </row>
    <row r="1018" spans="1:8">
      <c r="A1018" t="s">
        <v>2652</v>
      </c>
      <c r="B1018" t="s">
        <v>1129</v>
      </c>
      <c r="C1018" s="4">
        <v>44943</v>
      </c>
      <c r="D1018" t="s">
        <v>1625</v>
      </c>
      <c r="E1018" t="s">
        <v>1605</v>
      </c>
      <c r="F1018" s="5">
        <v>21.5</v>
      </c>
      <c r="G1018" t="s">
        <v>1630</v>
      </c>
      <c r="H1018">
        <v>3</v>
      </c>
    </row>
    <row r="1019" spans="1:8">
      <c r="A1019" t="s">
        <v>2653</v>
      </c>
      <c r="B1019" t="s">
        <v>892</v>
      </c>
      <c r="C1019" s="4">
        <v>44987</v>
      </c>
      <c r="D1019" t="s">
        <v>1628</v>
      </c>
      <c r="E1019" t="s">
        <v>1633</v>
      </c>
      <c r="F1019" s="5">
        <v>5.2</v>
      </c>
      <c r="G1019" t="s">
        <v>1630</v>
      </c>
      <c r="H1019">
        <v>5</v>
      </c>
    </row>
    <row r="1020" spans="1:8">
      <c r="A1020" t="s">
        <v>2654</v>
      </c>
      <c r="B1020" t="s">
        <v>657</v>
      </c>
      <c r="C1020" s="4">
        <v>45593</v>
      </c>
      <c r="D1020" t="s">
        <v>1625</v>
      </c>
      <c r="E1020" t="s">
        <v>1605</v>
      </c>
      <c r="F1020" s="5">
        <v>7.3</v>
      </c>
      <c r="G1020" t="s">
        <v>1630</v>
      </c>
      <c r="H1020">
        <v>1</v>
      </c>
    </row>
    <row r="1021" spans="1:8">
      <c r="A1021" t="s">
        <v>2655</v>
      </c>
      <c r="B1021" t="s">
        <v>1443</v>
      </c>
      <c r="C1021" s="4">
        <v>45401</v>
      </c>
      <c r="D1021" t="s">
        <v>1641</v>
      </c>
      <c r="E1021" t="s">
        <v>1633</v>
      </c>
      <c r="F1021" s="5">
        <v>0.2</v>
      </c>
      <c r="G1021" t="s">
        <v>1626</v>
      </c>
      <c r="H1021">
        <v>1</v>
      </c>
    </row>
    <row r="1022" spans="1:8">
      <c r="A1022" t="s">
        <v>2656</v>
      </c>
      <c r="B1022" t="s">
        <v>655</v>
      </c>
      <c r="C1022" s="4">
        <v>45609</v>
      </c>
      <c r="D1022" t="s">
        <v>1632</v>
      </c>
      <c r="E1022" t="s">
        <v>1605</v>
      </c>
      <c r="F1022" s="5">
        <v>0.9</v>
      </c>
      <c r="G1022" t="s">
        <v>1630</v>
      </c>
      <c r="H1022">
        <v>5</v>
      </c>
    </row>
    <row r="1023" spans="1:8">
      <c r="A1023" t="s">
        <v>2657</v>
      </c>
      <c r="B1023" t="s">
        <v>218</v>
      </c>
      <c r="C1023" s="4">
        <v>44933</v>
      </c>
      <c r="D1023" t="s">
        <v>1632</v>
      </c>
      <c r="E1023" t="s">
        <v>1629</v>
      </c>
      <c r="F1023" s="5">
        <v>1.1000000000000001</v>
      </c>
      <c r="G1023" t="s">
        <v>1630</v>
      </c>
      <c r="H1023">
        <v>1</v>
      </c>
    </row>
    <row r="1024" spans="1:8">
      <c r="A1024" t="s">
        <v>2658</v>
      </c>
      <c r="B1024" t="s">
        <v>1544</v>
      </c>
      <c r="C1024" s="4">
        <v>45066</v>
      </c>
      <c r="D1024" t="s">
        <v>1667</v>
      </c>
      <c r="E1024" t="s">
        <v>1629</v>
      </c>
      <c r="F1024" s="5">
        <v>2.2000000000000002</v>
      </c>
      <c r="G1024" t="s">
        <v>1630</v>
      </c>
      <c r="H1024">
        <v>2</v>
      </c>
    </row>
    <row r="1025" spans="1:8">
      <c r="A1025" t="s">
        <v>2659</v>
      </c>
      <c r="B1025" t="s">
        <v>1162</v>
      </c>
      <c r="C1025" s="4">
        <v>45875</v>
      </c>
      <c r="D1025" t="s">
        <v>1641</v>
      </c>
      <c r="E1025" t="s">
        <v>1629</v>
      </c>
      <c r="F1025" s="5">
        <v>11.8</v>
      </c>
      <c r="G1025" t="s">
        <v>1630</v>
      </c>
      <c r="H1025">
        <v>5</v>
      </c>
    </row>
    <row r="1026" spans="1:8">
      <c r="A1026" t="s">
        <v>2660</v>
      </c>
      <c r="B1026" t="s">
        <v>1298</v>
      </c>
      <c r="C1026" s="4">
        <v>45431</v>
      </c>
      <c r="D1026" t="s">
        <v>1641</v>
      </c>
      <c r="E1026" t="s">
        <v>1648</v>
      </c>
      <c r="F1026" s="5">
        <v>3.1</v>
      </c>
      <c r="G1026" t="s">
        <v>1630</v>
      </c>
      <c r="H1026">
        <v>5</v>
      </c>
    </row>
    <row r="1027" spans="1:8">
      <c r="A1027" t="s">
        <v>2661</v>
      </c>
      <c r="B1027" t="s">
        <v>718</v>
      </c>
      <c r="C1027" s="4">
        <v>45277</v>
      </c>
      <c r="D1027" t="s">
        <v>1628</v>
      </c>
      <c r="E1027" t="s">
        <v>1633</v>
      </c>
      <c r="F1027" s="5">
        <v>1.5</v>
      </c>
      <c r="G1027" t="s">
        <v>1626</v>
      </c>
      <c r="H1027">
        <v>1</v>
      </c>
    </row>
    <row r="1028" spans="1:8">
      <c r="A1028" t="s">
        <v>2662</v>
      </c>
      <c r="B1028" t="s">
        <v>1269</v>
      </c>
      <c r="C1028" s="4">
        <v>45567</v>
      </c>
      <c r="D1028" t="s">
        <v>1628</v>
      </c>
      <c r="E1028" t="s">
        <v>1609</v>
      </c>
      <c r="F1028" s="5">
        <v>30.4</v>
      </c>
      <c r="G1028" t="s">
        <v>1630</v>
      </c>
      <c r="H1028">
        <v>3</v>
      </c>
    </row>
    <row r="1029" spans="1:8">
      <c r="A1029" t="s">
        <v>2663</v>
      </c>
      <c r="B1029" t="s">
        <v>1138</v>
      </c>
      <c r="C1029" s="4">
        <v>45099</v>
      </c>
      <c r="D1029" t="s">
        <v>1625</v>
      </c>
      <c r="E1029" t="s">
        <v>1609</v>
      </c>
      <c r="F1029" s="5">
        <v>3.3</v>
      </c>
      <c r="G1029" t="s">
        <v>1630</v>
      </c>
      <c r="H1029">
        <v>1</v>
      </c>
    </row>
    <row r="1030" spans="1:8">
      <c r="A1030" t="s">
        <v>2664</v>
      </c>
      <c r="B1030" t="s">
        <v>775</v>
      </c>
      <c r="C1030" s="4">
        <v>45558</v>
      </c>
      <c r="D1030" t="s">
        <v>1641</v>
      </c>
      <c r="E1030" t="s">
        <v>1633</v>
      </c>
      <c r="F1030" s="5">
        <v>4.8</v>
      </c>
      <c r="G1030" t="s">
        <v>1630</v>
      </c>
      <c r="H1030">
        <v>4</v>
      </c>
    </row>
    <row r="1031" spans="1:8">
      <c r="A1031" t="s">
        <v>2665</v>
      </c>
      <c r="B1031" t="s">
        <v>555</v>
      </c>
      <c r="C1031" s="4">
        <v>45676</v>
      </c>
      <c r="D1031" t="s">
        <v>1641</v>
      </c>
      <c r="E1031" t="s">
        <v>1633</v>
      </c>
      <c r="F1031" s="5">
        <v>11.8</v>
      </c>
      <c r="G1031" t="s">
        <v>1630</v>
      </c>
      <c r="H1031">
        <v>5</v>
      </c>
    </row>
    <row r="1032" spans="1:8">
      <c r="A1032" t="s">
        <v>2666</v>
      </c>
      <c r="B1032" t="s">
        <v>1298</v>
      </c>
      <c r="C1032" s="4">
        <v>45532</v>
      </c>
      <c r="D1032" t="s">
        <v>1628</v>
      </c>
      <c r="E1032" t="s">
        <v>1629</v>
      </c>
      <c r="F1032" s="5">
        <v>1</v>
      </c>
      <c r="G1032" t="s">
        <v>1630</v>
      </c>
      <c r="H1032">
        <v>5</v>
      </c>
    </row>
    <row r="1033" spans="1:8">
      <c r="A1033" t="s">
        <v>2667</v>
      </c>
      <c r="B1033" t="s">
        <v>916</v>
      </c>
      <c r="C1033" s="4">
        <v>45335</v>
      </c>
      <c r="D1033" t="s">
        <v>1628</v>
      </c>
      <c r="E1033" t="s">
        <v>1648</v>
      </c>
      <c r="F1033" s="5">
        <v>1.8</v>
      </c>
      <c r="G1033" t="s">
        <v>1630</v>
      </c>
      <c r="H1033">
        <v>4</v>
      </c>
    </row>
    <row r="1034" spans="1:8">
      <c r="A1034" t="s">
        <v>2668</v>
      </c>
      <c r="B1034" t="s">
        <v>987</v>
      </c>
      <c r="C1034" s="4">
        <v>46021</v>
      </c>
      <c r="D1034" t="s">
        <v>1628</v>
      </c>
      <c r="E1034" t="s">
        <v>1605</v>
      </c>
      <c r="F1034" s="5">
        <v>1.1000000000000001</v>
      </c>
      <c r="G1034" t="s">
        <v>1630</v>
      </c>
      <c r="H1034">
        <v>1</v>
      </c>
    </row>
    <row r="1035" spans="1:8">
      <c r="A1035" t="s">
        <v>2669</v>
      </c>
      <c r="B1035" t="s">
        <v>1474</v>
      </c>
      <c r="C1035" s="4">
        <v>45067</v>
      </c>
      <c r="D1035" t="s">
        <v>1632</v>
      </c>
      <c r="E1035" t="s">
        <v>1605</v>
      </c>
      <c r="F1035" s="5">
        <v>14</v>
      </c>
      <c r="G1035" t="s">
        <v>1630</v>
      </c>
      <c r="H1035">
        <v>5</v>
      </c>
    </row>
    <row r="1036" spans="1:8">
      <c r="A1036" t="s">
        <v>2670</v>
      </c>
      <c r="B1036" t="s">
        <v>466</v>
      </c>
      <c r="C1036" s="4">
        <v>45801</v>
      </c>
      <c r="D1036" t="s">
        <v>1667</v>
      </c>
      <c r="E1036" t="s">
        <v>1648</v>
      </c>
      <c r="F1036" s="5">
        <v>5.0999999999999996</v>
      </c>
      <c r="G1036" t="s">
        <v>1630</v>
      </c>
      <c r="H1036">
        <v>2</v>
      </c>
    </row>
    <row r="1037" spans="1:8">
      <c r="A1037" t="s">
        <v>2671</v>
      </c>
      <c r="B1037" t="s">
        <v>1401</v>
      </c>
      <c r="C1037" s="4">
        <v>46067</v>
      </c>
      <c r="D1037" t="s">
        <v>1628</v>
      </c>
      <c r="E1037" t="s">
        <v>1605</v>
      </c>
      <c r="F1037" s="5">
        <v>5.2</v>
      </c>
      <c r="G1037" t="s">
        <v>1630</v>
      </c>
      <c r="H1037">
        <v>1</v>
      </c>
    </row>
    <row r="1038" spans="1:8">
      <c r="A1038" t="s">
        <v>2672</v>
      </c>
      <c r="B1038" t="s">
        <v>651</v>
      </c>
      <c r="C1038" s="4">
        <v>46063</v>
      </c>
      <c r="D1038" t="s">
        <v>1625</v>
      </c>
      <c r="E1038" t="s">
        <v>1633</v>
      </c>
      <c r="F1038" s="5">
        <v>9.1999999999999993</v>
      </c>
      <c r="G1038" t="s">
        <v>1630</v>
      </c>
      <c r="H1038">
        <v>1</v>
      </c>
    </row>
    <row r="1039" spans="1:8">
      <c r="A1039" t="s">
        <v>2673</v>
      </c>
      <c r="B1039" t="s">
        <v>897</v>
      </c>
      <c r="C1039" s="4">
        <v>45553</v>
      </c>
      <c r="D1039" t="s">
        <v>1625</v>
      </c>
      <c r="E1039" t="s">
        <v>1605</v>
      </c>
      <c r="F1039" s="5">
        <v>20.9</v>
      </c>
      <c r="G1039" t="s">
        <v>1630</v>
      </c>
      <c r="H1039">
        <v>4</v>
      </c>
    </row>
    <row r="1040" spans="1:8">
      <c r="A1040" t="s">
        <v>2674</v>
      </c>
      <c r="B1040" t="s">
        <v>1401</v>
      </c>
      <c r="C1040" s="4">
        <v>45975</v>
      </c>
      <c r="D1040" t="s">
        <v>1628</v>
      </c>
      <c r="E1040" t="s">
        <v>1648</v>
      </c>
      <c r="F1040" s="5">
        <v>6.7</v>
      </c>
      <c r="G1040" t="s">
        <v>1630</v>
      </c>
      <c r="H1040">
        <v>4</v>
      </c>
    </row>
    <row r="1041" spans="1:8">
      <c r="A1041" t="s">
        <v>2675</v>
      </c>
      <c r="B1041" t="s">
        <v>1237</v>
      </c>
      <c r="C1041" s="4">
        <v>45906</v>
      </c>
      <c r="D1041" t="s">
        <v>1628</v>
      </c>
      <c r="E1041" t="s">
        <v>1633</v>
      </c>
      <c r="F1041" s="5">
        <v>16.3</v>
      </c>
      <c r="G1041" t="s">
        <v>1630</v>
      </c>
      <c r="H1041">
        <v>4</v>
      </c>
    </row>
    <row r="1042" spans="1:8">
      <c r="A1042" t="s">
        <v>2676</v>
      </c>
      <c r="B1042" t="s">
        <v>895</v>
      </c>
      <c r="C1042" s="4">
        <v>45702</v>
      </c>
      <c r="D1042" t="s">
        <v>1667</v>
      </c>
      <c r="E1042" t="s">
        <v>1648</v>
      </c>
      <c r="F1042" s="5">
        <v>13.2</v>
      </c>
      <c r="G1042" t="s">
        <v>1630</v>
      </c>
      <c r="H1042">
        <v>1</v>
      </c>
    </row>
    <row r="1043" spans="1:8">
      <c r="A1043" t="s">
        <v>2677</v>
      </c>
      <c r="B1043" t="s">
        <v>693</v>
      </c>
      <c r="C1043" s="4">
        <v>45386</v>
      </c>
      <c r="D1043" t="s">
        <v>1628</v>
      </c>
      <c r="E1043" t="s">
        <v>1629</v>
      </c>
      <c r="F1043" s="5">
        <v>1.2</v>
      </c>
      <c r="G1043" t="s">
        <v>1630</v>
      </c>
      <c r="H1043">
        <v>3</v>
      </c>
    </row>
    <row r="1044" spans="1:8">
      <c r="A1044" t="s">
        <v>2678</v>
      </c>
      <c r="B1044" t="s">
        <v>1493</v>
      </c>
      <c r="C1044" s="4">
        <v>45697</v>
      </c>
      <c r="D1044" t="s">
        <v>1641</v>
      </c>
      <c r="E1044" t="s">
        <v>1629</v>
      </c>
      <c r="F1044" s="5">
        <v>2.4</v>
      </c>
      <c r="G1044" t="s">
        <v>1626</v>
      </c>
      <c r="H1044">
        <v>1</v>
      </c>
    </row>
    <row r="1045" spans="1:8">
      <c r="A1045" t="s">
        <v>2679</v>
      </c>
      <c r="B1045" t="s">
        <v>1131</v>
      </c>
      <c r="C1045" s="4">
        <v>46130</v>
      </c>
      <c r="D1045" t="s">
        <v>1641</v>
      </c>
      <c r="E1045" t="s">
        <v>1609</v>
      </c>
      <c r="F1045" s="5">
        <v>9.4</v>
      </c>
      <c r="G1045" t="s">
        <v>1630</v>
      </c>
      <c r="H1045">
        <v>5</v>
      </c>
    </row>
    <row r="1046" spans="1:8">
      <c r="A1046" t="s">
        <v>2680</v>
      </c>
      <c r="B1046" t="s">
        <v>1106</v>
      </c>
      <c r="C1046" s="4">
        <v>46061</v>
      </c>
      <c r="D1046" t="s">
        <v>1625</v>
      </c>
      <c r="E1046" t="s">
        <v>1605</v>
      </c>
      <c r="F1046" s="5">
        <v>6.9</v>
      </c>
      <c r="G1046" t="s">
        <v>1630</v>
      </c>
      <c r="H1046">
        <v>2</v>
      </c>
    </row>
    <row r="1047" spans="1:8">
      <c r="A1047" t="s">
        <v>2681</v>
      </c>
      <c r="B1047" t="s">
        <v>1425</v>
      </c>
      <c r="C1047" s="4">
        <v>45624</v>
      </c>
      <c r="D1047" t="s">
        <v>1628</v>
      </c>
      <c r="E1047" t="s">
        <v>1609</v>
      </c>
      <c r="F1047" s="5">
        <v>6.2</v>
      </c>
      <c r="G1047" t="s">
        <v>1630</v>
      </c>
      <c r="H1047">
        <v>5</v>
      </c>
    </row>
    <row r="1048" spans="1:8">
      <c r="A1048" t="s">
        <v>2682</v>
      </c>
      <c r="B1048" t="s">
        <v>661</v>
      </c>
      <c r="C1048" s="4">
        <v>45515</v>
      </c>
      <c r="D1048" t="s">
        <v>1628</v>
      </c>
      <c r="E1048" t="s">
        <v>1633</v>
      </c>
      <c r="F1048" s="5">
        <v>4</v>
      </c>
      <c r="G1048" t="s">
        <v>1630</v>
      </c>
      <c r="H1048">
        <v>5</v>
      </c>
    </row>
    <row r="1049" spans="1:8">
      <c r="A1049" t="s">
        <v>2683</v>
      </c>
      <c r="B1049" t="s">
        <v>1359</v>
      </c>
      <c r="C1049" s="4">
        <v>45985</v>
      </c>
      <c r="D1049" t="s">
        <v>1625</v>
      </c>
      <c r="E1049" t="s">
        <v>1648</v>
      </c>
      <c r="F1049" s="5">
        <v>10.3</v>
      </c>
      <c r="G1049" t="s">
        <v>1630</v>
      </c>
      <c r="H1049">
        <v>4</v>
      </c>
    </row>
    <row r="1050" spans="1:8">
      <c r="A1050" t="s">
        <v>2684</v>
      </c>
      <c r="B1050" t="s">
        <v>445</v>
      </c>
      <c r="C1050" s="4">
        <v>46076</v>
      </c>
      <c r="D1050" t="s">
        <v>1637</v>
      </c>
      <c r="E1050" t="s">
        <v>1633</v>
      </c>
      <c r="F1050" s="5">
        <v>13.9</v>
      </c>
      <c r="G1050" t="s">
        <v>1626</v>
      </c>
      <c r="H1050">
        <v>2</v>
      </c>
    </row>
    <row r="1051" spans="1:8">
      <c r="A1051" t="s">
        <v>2685</v>
      </c>
      <c r="B1051" t="s">
        <v>1165</v>
      </c>
      <c r="C1051" s="4">
        <v>46096</v>
      </c>
      <c r="D1051" t="s">
        <v>1625</v>
      </c>
      <c r="E1051" t="s">
        <v>1648</v>
      </c>
      <c r="F1051" s="5">
        <v>1.1000000000000001</v>
      </c>
      <c r="G1051" t="s">
        <v>1630</v>
      </c>
      <c r="H1051">
        <v>1</v>
      </c>
    </row>
    <row r="1052" spans="1:8">
      <c r="A1052" t="s">
        <v>2686</v>
      </c>
      <c r="B1052" t="s">
        <v>1436</v>
      </c>
      <c r="C1052" s="4">
        <v>46140</v>
      </c>
      <c r="D1052" t="s">
        <v>1628</v>
      </c>
      <c r="E1052" t="s">
        <v>1605</v>
      </c>
      <c r="F1052" s="5">
        <v>0.6</v>
      </c>
      <c r="G1052" t="s">
        <v>1630</v>
      </c>
      <c r="H1052">
        <v>4</v>
      </c>
    </row>
    <row r="1053" spans="1:8">
      <c r="A1053" t="s">
        <v>2687</v>
      </c>
      <c r="B1053" t="s">
        <v>1296</v>
      </c>
      <c r="C1053" s="4">
        <v>46030</v>
      </c>
      <c r="D1053" t="s">
        <v>1641</v>
      </c>
      <c r="E1053" t="s">
        <v>1609</v>
      </c>
      <c r="F1053" s="5">
        <v>13.7</v>
      </c>
      <c r="G1053" t="s">
        <v>1630</v>
      </c>
      <c r="H1053">
        <v>5</v>
      </c>
    </row>
    <row r="1054" spans="1:8">
      <c r="A1054" t="s">
        <v>2688</v>
      </c>
      <c r="B1054" t="s">
        <v>478</v>
      </c>
      <c r="C1054" s="4">
        <v>45852</v>
      </c>
      <c r="D1054" t="s">
        <v>1637</v>
      </c>
      <c r="E1054" t="s">
        <v>1629</v>
      </c>
      <c r="F1054" s="5">
        <v>0.2</v>
      </c>
      <c r="G1054" t="s">
        <v>1630</v>
      </c>
      <c r="H1054">
        <v>5</v>
      </c>
    </row>
    <row r="1055" spans="1:8">
      <c r="A1055" t="s">
        <v>2689</v>
      </c>
      <c r="B1055" t="s">
        <v>1012</v>
      </c>
      <c r="C1055" s="4">
        <v>45539</v>
      </c>
      <c r="D1055" t="s">
        <v>1637</v>
      </c>
      <c r="E1055" t="s">
        <v>1633</v>
      </c>
      <c r="F1055" s="5">
        <v>20.8</v>
      </c>
      <c r="G1055" t="s">
        <v>1630</v>
      </c>
      <c r="H1055">
        <v>3</v>
      </c>
    </row>
    <row r="1056" spans="1:8">
      <c r="A1056" t="s">
        <v>2690</v>
      </c>
      <c r="B1056" t="s">
        <v>1381</v>
      </c>
      <c r="C1056" s="4">
        <v>45349</v>
      </c>
      <c r="D1056" t="s">
        <v>1625</v>
      </c>
      <c r="E1056" t="s">
        <v>1605</v>
      </c>
      <c r="F1056" s="5">
        <v>5.9</v>
      </c>
      <c r="G1056" t="s">
        <v>1630</v>
      </c>
      <c r="H1056">
        <v>5</v>
      </c>
    </row>
    <row r="1057" spans="1:8">
      <c r="A1057" t="s">
        <v>2691</v>
      </c>
      <c r="B1057" t="s">
        <v>319</v>
      </c>
      <c r="C1057" s="4">
        <v>45096</v>
      </c>
      <c r="D1057" t="s">
        <v>1628</v>
      </c>
      <c r="E1057" t="s">
        <v>1605</v>
      </c>
      <c r="F1057" s="5">
        <v>8.1</v>
      </c>
      <c r="G1057" t="s">
        <v>1630</v>
      </c>
      <c r="H1057">
        <v>5</v>
      </c>
    </row>
    <row r="1058" spans="1:8">
      <c r="A1058" t="s">
        <v>2692</v>
      </c>
      <c r="B1058" t="s">
        <v>745</v>
      </c>
      <c r="C1058" s="4">
        <v>45816</v>
      </c>
      <c r="D1058" t="s">
        <v>1655</v>
      </c>
      <c r="E1058" t="s">
        <v>1609</v>
      </c>
      <c r="F1058" s="5">
        <v>11.9</v>
      </c>
      <c r="G1058" t="s">
        <v>1630</v>
      </c>
      <c r="H1058">
        <v>5</v>
      </c>
    </row>
    <row r="1059" spans="1:8">
      <c r="A1059" t="s">
        <v>2693</v>
      </c>
      <c r="B1059" t="s">
        <v>962</v>
      </c>
      <c r="C1059" s="4">
        <v>46030</v>
      </c>
      <c r="D1059" t="s">
        <v>1628</v>
      </c>
      <c r="E1059" t="s">
        <v>1633</v>
      </c>
      <c r="F1059" s="5">
        <v>6.9</v>
      </c>
      <c r="G1059" t="s">
        <v>1626</v>
      </c>
      <c r="H1059">
        <v>1</v>
      </c>
    </row>
    <row r="1060" spans="1:8">
      <c r="A1060" t="s">
        <v>2694</v>
      </c>
      <c r="B1060" t="s">
        <v>1306</v>
      </c>
      <c r="C1060" s="4">
        <v>46100</v>
      </c>
      <c r="D1060" t="s">
        <v>1641</v>
      </c>
      <c r="E1060" t="s">
        <v>1605</v>
      </c>
      <c r="F1060" s="5">
        <v>14.3</v>
      </c>
      <c r="G1060" t="s">
        <v>1630</v>
      </c>
      <c r="H1060">
        <v>5</v>
      </c>
    </row>
    <row r="1061" spans="1:8">
      <c r="A1061" t="s">
        <v>2695</v>
      </c>
      <c r="B1061" t="s">
        <v>197</v>
      </c>
      <c r="C1061" s="4">
        <v>45685</v>
      </c>
      <c r="D1061" t="s">
        <v>1625</v>
      </c>
      <c r="E1061" t="s">
        <v>1648</v>
      </c>
      <c r="F1061" s="5">
        <v>15.8</v>
      </c>
      <c r="G1061" t="s">
        <v>1626</v>
      </c>
      <c r="H1061">
        <v>3</v>
      </c>
    </row>
    <row r="1062" spans="1:8">
      <c r="A1062" t="s">
        <v>2696</v>
      </c>
      <c r="B1062" t="s">
        <v>512</v>
      </c>
      <c r="C1062" s="4">
        <v>45379</v>
      </c>
      <c r="D1062" t="s">
        <v>1655</v>
      </c>
      <c r="E1062" t="s">
        <v>1633</v>
      </c>
      <c r="F1062" s="5">
        <v>0.7</v>
      </c>
      <c r="G1062" t="s">
        <v>1626</v>
      </c>
      <c r="H1062">
        <v>2</v>
      </c>
    </row>
    <row r="1063" spans="1:8">
      <c r="A1063" t="s">
        <v>2697</v>
      </c>
      <c r="B1063" t="s">
        <v>1316</v>
      </c>
      <c r="C1063" s="4">
        <v>45960</v>
      </c>
      <c r="D1063" t="s">
        <v>1641</v>
      </c>
      <c r="E1063" t="s">
        <v>1609</v>
      </c>
      <c r="F1063" s="5">
        <v>11.2</v>
      </c>
      <c r="G1063" t="s">
        <v>1630</v>
      </c>
      <c r="H1063">
        <v>1</v>
      </c>
    </row>
    <row r="1064" spans="1:8">
      <c r="A1064" t="s">
        <v>2698</v>
      </c>
      <c r="B1064" t="s">
        <v>1347</v>
      </c>
      <c r="C1064" s="4">
        <v>45579</v>
      </c>
      <c r="D1064" t="s">
        <v>1628</v>
      </c>
      <c r="E1064" t="s">
        <v>1629</v>
      </c>
      <c r="F1064" s="5">
        <v>0.2</v>
      </c>
      <c r="G1064" t="s">
        <v>1630</v>
      </c>
      <c r="H1064">
        <v>1</v>
      </c>
    </row>
    <row r="1065" spans="1:8">
      <c r="A1065" t="s">
        <v>2699</v>
      </c>
      <c r="B1065" t="s">
        <v>1078</v>
      </c>
      <c r="C1065" s="4">
        <v>45420</v>
      </c>
      <c r="D1065" t="s">
        <v>1655</v>
      </c>
      <c r="E1065" t="s">
        <v>1609</v>
      </c>
      <c r="F1065" s="5">
        <v>0.2</v>
      </c>
      <c r="G1065" t="s">
        <v>1626</v>
      </c>
      <c r="H1065">
        <v>3</v>
      </c>
    </row>
    <row r="1066" spans="1:8">
      <c r="A1066" t="s">
        <v>2700</v>
      </c>
      <c r="B1066" t="s">
        <v>359</v>
      </c>
      <c r="C1066" s="4">
        <v>46101</v>
      </c>
      <c r="D1066" t="s">
        <v>1667</v>
      </c>
      <c r="E1066" t="s">
        <v>1633</v>
      </c>
      <c r="F1066" s="5">
        <v>1.2</v>
      </c>
      <c r="G1066" t="s">
        <v>1626</v>
      </c>
      <c r="H1066">
        <v>2</v>
      </c>
    </row>
    <row r="1067" spans="1:8">
      <c r="A1067" t="s">
        <v>2701</v>
      </c>
      <c r="B1067" t="s">
        <v>351</v>
      </c>
      <c r="C1067" s="4">
        <v>45425</v>
      </c>
      <c r="D1067" t="s">
        <v>1632</v>
      </c>
      <c r="E1067" t="s">
        <v>1609</v>
      </c>
      <c r="F1067" s="5">
        <v>6.8</v>
      </c>
      <c r="G1067" t="s">
        <v>1630</v>
      </c>
      <c r="H1067">
        <v>3</v>
      </c>
    </row>
    <row r="1068" spans="1:8">
      <c r="A1068" t="s">
        <v>2702</v>
      </c>
      <c r="B1068" t="s">
        <v>1419</v>
      </c>
      <c r="C1068" s="4">
        <v>46022</v>
      </c>
      <c r="D1068" t="s">
        <v>1655</v>
      </c>
      <c r="E1068" t="s">
        <v>1648</v>
      </c>
      <c r="F1068" s="5">
        <v>10.1</v>
      </c>
      <c r="G1068" t="s">
        <v>1630</v>
      </c>
      <c r="H1068">
        <v>3</v>
      </c>
    </row>
    <row r="1069" spans="1:8">
      <c r="A1069" t="s">
        <v>2703</v>
      </c>
      <c r="B1069" t="s">
        <v>229</v>
      </c>
      <c r="C1069" s="4">
        <v>45204</v>
      </c>
      <c r="D1069" t="s">
        <v>1625</v>
      </c>
      <c r="E1069" t="s">
        <v>1629</v>
      </c>
      <c r="F1069" s="5">
        <v>1.9</v>
      </c>
      <c r="G1069" t="s">
        <v>1630</v>
      </c>
      <c r="H1069">
        <v>3</v>
      </c>
    </row>
    <row r="1070" spans="1:8">
      <c r="A1070" t="s">
        <v>2704</v>
      </c>
      <c r="B1070" t="s">
        <v>1548</v>
      </c>
      <c r="C1070" s="4">
        <v>46014</v>
      </c>
      <c r="D1070" t="s">
        <v>1641</v>
      </c>
      <c r="E1070" t="s">
        <v>1629</v>
      </c>
      <c r="F1070" s="5">
        <v>11.3</v>
      </c>
      <c r="G1070" t="s">
        <v>1630</v>
      </c>
      <c r="H1070">
        <v>4</v>
      </c>
    </row>
    <row r="1071" spans="1:8">
      <c r="A1071" t="s">
        <v>2705</v>
      </c>
      <c r="B1071" t="s">
        <v>265</v>
      </c>
      <c r="C1071" s="4">
        <v>45371</v>
      </c>
      <c r="D1071" t="s">
        <v>1632</v>
      </c>
      <c r="E1071" t="s">
        <v>1648</v>
      </c>
      <c r="F1071" s="5">
        <v>10.199999999999999</v>
      </c>
      <c r="G1071" t="s">
        <v>1630</v>
      </c>
      <c r="H1071">
        <v>2</v>
      </c>
    </row>
    <row r="1072" spans="1:8">
      <c r="A1072" t="s">
        <v>2706</v>
      </c>
      <c r="B1072" t="s">
        <v>517</v>
      </c>
      <c r="C1072" s="4">
        <v>45650</v>
      </c>
      <c r="D1072" t="s">
        <v>1628</v>
      </c>
      <c r="E1072" t="s">
        <v>1648</v>
      </c>
      <c r="F1072" s="5">
        <v>0.5</v>
      </c>
      <c r="G1072" t="s">
        <v>1630</v>
      </c>
      <c r="H1072">
        <v>3</v>
      </c>
    </row>
    <row r="1073" spans="1:8">
      <c r="A1073" t="s">
        <v>2707</v>
      </c>
      <c r="B1073" t="s">
        <v>1030</v>
      </c>
      <c r="C1073" s="4">
        <v>45585</v>
      </c>
      <c r="D1073" t="s">
        <v>1667</v>
      </c>
      <c r="E1073" t="s">
        <v>1629</v>
      </c>
      <c r="F1073" s="5">
        <v>0.8</v>
      </c>
      <c r="G1073" t="s">
        <v>1630</v>
      </c>
      <c r="H1073">
        <v>3</v>
      </c>
    </row>
    <row r="1074" spans="1:8">
      <c r="A1074" t="s">
        <v>2708</v>
      </c>
      <c r="B1074" t="s">
        <v>905</v>
      </c>
      <c r="C1074" s="4">
        <v>45431</v>
      </c>
      <c r="D1074" t="s">
        <v>1628</v>
      </c>
      <c r="E1074" t="s">
        <v>1633</v>
      </c>
      <c r="F1074" s="5">
        <v>15.8</v>
      </c>
      <c r="G1074" t="s">
        <v>1626</v>
      </c>
      <c r="H1074">
        <v>1</v>
      </c>
    </row>
    <row r="1075" spans="1:8">
      <c r="A1075" t="s">
        <v>2709</v>
      </c>
      <c r="B1075" t="s">
        <v>1090</v>
      </c>
      <c r="C1075" s="4">
        <v>45925</v>
      </c>
      <c r="D1075" t="s">
        <v>1641</v>
      </c>
      <c r="E1075" t="s">
        <v>1633</v>
      </c>
      <c r="F1075" s="5">
        <v>3.4</v>
      </c>
      <c r="G1075" t="s">
        <v>1626</v>
      </c>
      <c r="H1075">
        <v>1</v>
      </c>
    </row>
    <row r="1076" spans="1:8">
      <c r="A1076" t="s">
        <v>2710</v>
      </c>
      <c r="B1076" t="s">
        <v>800</v>
      </c>
      <c r="C1076" s="4">
        <v>45521</v>
      </c>
      <c r="D1076" t="s">
        <v>1628</v>
      </c>
      <c r="E1076" t="s">
        <v>1648</v>
      </c>
      <c r="F1076" s="5">
        <v>0.3</v>
      </c>
      <c r="G1076" t="s">
        <v>1630</v>
      </c>
      <c r="H1076">
        <v>5</v>
      </c>
    </row>
    <row r="1077" spans="1:8">
      <c r="A1077" t="s">
        <v>2711</v>
      </c>
      <c r="B1077" t="s">
        <v>1522</v>
      </c>
      <c r="C1077" s="4">
        <v>45418</v>
      </c>
      <c r="D1077" t="s">
        <v>1641</v>
      </c>
      <c r="E1077" t="s">
        <v>1605</v>
      </c>
      <c r="F1077" s="5">
        <v>4.9000000000000004</v>
      </c>
      <c r="G1077" t="s">
        <v>1626</v>
      </c>
      <c r="H1077">
        <v>3</v>
      </c>
    </row>
    <row r="1078" spans="1:8">
      <c r="A1078" t="s">
        <v>2712</v>
      </c>
      <c r="B1078" t="s">
        <v>1105</v>
      </c>
      <c r="C1078" s="4">
        <v>45790</v>
      </c>
      <c r="D1078" t="s">
        <v>1667</v>
      </c>
      <c r="E1078" t="s">
        <v>1629</v>
      </c>
      <c r="F1078" s="5">
        <v>4.2</v>
      </c>
      <c r="G1078" t="s">
        <v>1630</v>
      </c>
      <c r="H1078">
        <v>2</v>
      </c>
    </row>
    <row r="1079" spans="1:8">
      <c r="A1079" t="s">
        <v>2713</v>
      </c>
      <c r="B1079" t="s">
        <v>668</v>
      </c>
      <c r="C1079" s="4">
        <v>45289</v>
      </c>
      <c r="D1079" t="s">
        <v>1641</v>
      </c>
      <c r="E1079" t="s">
        <v>1629</v>
      </c>
      <c r="F1079" s="5">
        <v>13.2</v>
      </c>
      <c r="G1079" t="s">
        <v>1630</v>
      </c>
      <c r="H1079">
        <v>4</v>
      </c>
    </row>
    <row r="1080" spans="1:8">
      <c r="A1080" t="s">
        <v>2714</v>
      </c>
      <c r="B1080" t="s">
        <v>262</v>
      </c>
      <c r="C1080" s="4">
        <v>44998</v>
      </c>
      <c r="D1080" t="s">
        <v>1637</v>
      </c>
      <c r="E1080" t="s">
        <v>1648</v>
      </c>
      <c r="F1080" s="5">
        <v>56.8</v>
      </c>
      <c r="G1080" t="s">
        <v>1630</v>
      </c>
      <c r="H1080">
        <v>3</v>
      </c>
    </row>
    <row r="1081" spans="1:8">
      <c r="A1081" t="s">
        <v>2715</v>
      </c>
      <c r="B1081" t="s">
        <v>1164</v>
      </c>
      <c r="C1081" s="4">
        <v>45346</v>
      </c>
      <c r="D1081" t="s">
        <v>1625</v>
      </c>
      <c r="E1081" t="s">
        <v>1633</v>
      </c>
      <c r="F1081" s="5">
        <v>4.2</v>
      </c>
      <c r="G1081" t="s">
        <v>1630</v>
      </c>
      <c r="H1081">
        <v>3</v>
      </c>
    </row>
    <row r="1082" spans="1:8">
      <c r="A1082" t="s">
        <v>2716</v>
      </c>
      <c r="B1082" t="s">
        <v>1581</v>
      </c>
      <c r="C1082" s="4">
        <v>45181</v>
      </c>
      <c r="D1082" t="s">
        <v>1628</v>
      </c>
      <c r="E1082" t="s">
        <v>1648</v>
      </c>
      <c r="F1082" s="5">
        <v>6.3</v>
      </c>
      <c r="G1082" t="s">
        <v>1630</v>
      </c>
      <c r="H1082">
        <v>2</v>
      </c>
    </row>
    <row r="1083" spans="1:8">
      <c r="A1083" t="s">
        <v>2717</v>
      </c>
      <c r="B1083" t="s">
        <v>80</v>
      </c>
      <c r="C1083" s="4">
        <v>45467</v>
      </c>
      <c r="D1083" t="s">
        <v>1628</v>
      </c>
      <c r="E1083" t="s">
        <v>1629</v>
      </c>
      <c r="F1083" s="5">
        <v>1.9</v>
      </c>
      <c r="G1083" t="s">
        <v>1630</v>
      </c>
      <c r="H1083">
        <v>5</v>
      </c>
    </row>
    <row r="1084" spans="1:8">
      <c r="A1084" t="s">
        <v>2718</v>
      </c>
      <c r="B1084" t="s">
        <v>1473</v>
      </c>
      <c r="C1084" s="4">
        <v>45136</v>
      </c>
      <c r="D1084" t="s">
        <v>1628</v>
      </c>
      <c r="E1084" t="s">
        <v>1633</v>
      </c>
      <c r="F1084" s="5">
        <v>9</v>
      </c>
      <c r="G1084" t="s">
        <v>1630</v>
      </c>
      <c r="H1084">
        <v>5</v>
      </c>
    </row>
    <row r="1085" spans="1:8">
      <c r="A1085" t="s">
        <v>2719</v>
      </c>
      <c r="B1085" t="s">
        <v>1330</v>
      </c>
      <c r="C1085" s="4">
        <v>46112</v>
      </c>
      <c r="D1085" t="s">
        <v>1628</v>
      </c>
      <c r="E1085" t="s">
        <v>1633</v>
      </c>
      <c r="F1085" s="5">
        <v>12.6</v>
      </c>
      <c r="G1085" t="s">
        <v>1626</v>
      </c>
      <c r="H1085">
        <v>3</v>
      </c>
    </row>
    <row r="1086" spans="1:8">
      <c r="A1086" t="s">
        <v>2720</v>
      </c>
      <c r="B1086" t="s">
        <v>847</v>
      </c>
      <c r="C1086" s="4">
        <v>46104</v>
      </c>
      <c r="D1086" t="s">
        <v>1655</v>
      </c>
      <c r="E1086" t="s">
        <v>1629</v>
      </c>
      <c r="F1086" s="5">
        <v>5.5</v>
      </c>
      <c r="G1086" t="s">
        <v>1630</v>
      </c>
      <c r="H1086">
        <v>5</v>
      </c>
    </row>
    <row r="1087" spans="1:8">
      <c r="A1087" t="s">
        <v>2721</v>
      </c>
      <c r="B1087" t="s">
        <v>1155</v>
      </c>
      <c r="C1087" s="4">
        <v>44934</v>
      </c>
      <c r="D1087" t="s">
        <v>1641</v>
      </c>
      <c r="E1087" t="s">
        <v>1605</v>
      </c>
      <c r="F1087" s="5">
        <v>5.6</v>
      </c>
      <c r="G1087" t="s">
        <v>1630</v>
      </c>
      <c r="H1087">
        <v>3</v>
      </c>
    </row>
    <row r="1088" spans="1:8">
      <c r="A1088" t="s">
        <v>2722</v>
      </c>
      <c r="B1088" t="s">
        <v>1554</v>
      </c>
      <c r="C1088" s="4">
        <v>45969</v>
      </c>
      <c r="D1088" t="s">
        <v>1625</v>
      </c>
      <c r="E1088" t="s">
        <v>1633</v>
      </c>
      <c r="F1088" s="5">
        <v>16.399999999999999</v>
      </c>
      <c r="G1088" t="s">
        <v>1630</v>
      </c>
      <c r="H1088">
        <v>3</v>
      </c>
    </row>
    <row r="1089" spans="1:8">
      <c r="A1089" t="s">
        <v>2723</v>
      </c>
      <c r="B1089" t="s">
        <v>332</v>
      </c>
      <c r="C1089" s="4">
        <v>45412</v>
      </c>
      <c r="D1089" t="s">
        <v>1655</v>
      </c>
      <c r="E1089" t="s">
        <v>1633</v>
      </c>
      <c r="F1089" s="5">
        <v>6.2</v>
      </c>
      <c r="G1089" t="s">
        <v>1626</v>
      </c>
      <c r="H1089">
        <v>1</v>
      </c>
    </row>
    <row r="1090" spans="1:8">
      <c r="A1090" t="s">
        <v>2724</v>
      </c>
      <c r="B1090" t="s">
        <v>1441</v>
      </c>
      <c r="C1090" s="4">
        <v>45932</v>
      </c>
      <c r="D1090" t="s">
        <v>1628</v>
      </c>
      <c r="E1090" t="s">
        <v>1633</v>
      </c>
      <c r="F1090" s="5">
        <v>17.5</v>
      </c>
      <c r="G1090" t="s">
        <v>1630</v>
      </c>
      <c r="H1090">
        <v>4</v>
      </c>
    </row>
    <row r="1091" spans="1:8">
      <c r="A1091" t="s">
        <v>2725</v>
      </c>
      <c r="B1091" t="s">
        <v>1394</v>
      </c>
      <c r="C1091" s="4">
        <v>46059</v>
      </c>
      <c r="D1091" t="s">
        <v>1667</v>
      </c>
      <c r="E1091" t="s">
        <v>1609</v>
      </c>
      <c r="F1091" s="5">
        <v>12.4</v>
      </c>
      <c r="G1091" t="s">
        <v>1630</v>
      </c>
      <c r="H1091">
        <v>3</v>
      </c>
    </row>
    <row r="1092" spans="1:8">
      <c r="A1092" t="s">
        <v>2726</v>
      </c>
      <c r="B1092" t="s">
        <v>1357</v>
      </c>
      <c r="C1092" s="4">
        <v>44998</v>
      </c>
      <c r="D1092" t="s">
        <v>1628</v>
      </c>
      <c r="E1092" t="s">
        <v>1605</v>
      </c>
      <c r="F1092" s="5">
        <v>7.1</v>
      </c>
      <c r="G1092" t="s">
        <v>1630</v>
      </c>
      <c r="H1092">
        <v>1</v>
      </c>
    </row>
    <row r="1093" spans="1:8">
      <c r="A1093" t="s">
        <v>2727</v>
      </c>
      <c r="B1093" t="s">
        <v>983</v>
      </c>
      <c r="C1093" s="4">
        <v>45937</v>
      </c>
      <c r="D1093" t="s">
        <v>1628</v>
      </c>
      <c r="E1093" t="s">
        <v>1629</v>
      </c>
      <c r="F1093" s="5">
        <v>4.7</v>
      </c>
      <c r="G1093" t="s">
        <v>1630</v>
      </c>
      <c r="H1093">
        <v>5</v>
      </c>
    </row>
    <row r="1094" spans="1:8">
      <c r="A1094" t="s">
        <v>2728</v>
      </c>
      <c r="B1094" t="s">
        <v>540</v>
      </c>
      <c r="C1094" s="4">
        <v>45406</v>
      </c>
      <c r="D1094" t="s">
        <v>1628</v>
      </c>
      <c r="E1094" t="s">
        <v>1633</v>
      </c>
      <c r="F1094" s="5">
        <v>11.4</v>
      </c>
      <c r="G1094" t="s">
        <v>1630</v>
      </c>
      <c r="H1094">
        <v>3</v>
      </c>
    </row>
    <row r="1095" spans="1:8">
      <c r="A1095" t="s">
        <v>2729</v>
      </c>
      <c r="B1095" t="s">
        <v>298</v>
      </c>
      <c r="C1095" s="4">
        <v>45403</v>
      </c>
      <c r="D1095" t="s">
        <v>1632</v>
      </c>
      <c r="E1095" t="s">
        <v>1648</v>
      </c>
      <c r="F1095" s="5">
        <v>0.2</v>
      </c>
      <c r="G1095" t="s">
        <v>1626</v>
      </c>
      <c r="H1095">
        <v>2</v>
      </c>
    </row>
    <row r="1096" spans="1:8">
      <c r="A1096" t="s">
        <v>2730</v>
      </c>
      <c r="B1096" t="s">
        <v>487</v>
      </c>
      <c r="C1096" s="4">
        <v>45976</v>
      </c>
      <c r="D1096" t="s">
        <v>1655</v>
      </c>
      <c r="E1096" t="s">
        <v>1629</v>
      </c>
      <c r="F1096" s="5">
        <v>27.9</v>
      </c>
      <c r="G1096" t="s">
        <v>1630</v>
      </c>
      <c r="H1096">
        <v>2</v>
      </c>
    </row>
    <row r="1097" spans="1:8">
      <c r="A1097" t="s">
        <v>2731</v>
      </c>
      <c r="B1097" t="s">
        <v>824</v>
      </c>
      <c r="C1097" s="4">
        <v>45199</v>
      </c>
      <c r="D1097" t="s">
        <v>1625</v>
      </c>
      <c r="E1097" t="s">
        <v>1605</v>
      </c>
      <c r="F1097" s="5">
        <v>28</v>
      </c>
      <c r="G1097" t="s">
        <v>1626</v>
      </c>
      <c r="H1097">
        <v>1</v>
      </c>
    </row>
    <row r="1098" spans="1:8">
      <c r="A1098" t="s">
        <v>2732</v>
      </c>
      <c r="B1098" t="s">
        <v>1191</v>
      </c>
      <c r="C1098" s="4">
        <v>45275</v>
      </c>
      <c r="D1098" t="s">
        <v>1637</v>
      </c>
      <c r="E1098" t="s">
        <v>1605</v>
      </c>
      <c r="F1098" s="5">
        <v>18</v>
      </c>
      <c r="G1098" t="s">
        <v>1630</v>
      </c>
      <c r="H1098">
        <v>3</v>
      </c>
    </row>
    <row r="1099" spans="1:8">
      <c r="A1099" t="s">
        <v>2733</v>
      </c>
      <c r="B1099" t="s">
        <v>905</v>
      </c>
      <c r="C1099" s="4">
        <v>45872</v>
      </c>
      <c r="D1099" t="s">
        <v>1628</v>
      </c>
      <c r="E1099" t="s">
        <v>1633</v>
      </c>
      <c r="F1099" s="5">
        <v>11.3</v>
      </c>
      <c r="G1099" t="s">
        <v>1630</v>
      </c>
      <c r="H1099">
        <v>1</v>
      </c>
    </row>
    <row r="1100" spans="1:8">
      <c r="A1100" t="s">
        <v>2734</v>
      </c>
      <c r="B1100" t="s">
        <v>1262</v>
      </c>
      <c r="C1100" s="4">
        <v>45940</v>
      </c>
      <c r="D1100" t="s">
        <v>1632</v>
      </c>
      <c r="E1100" t="s">
        <v>1633</v>
      </c>
      <c r="F1100" s="5">
        <v>0.8</v>
      </c>
      <c r="G1100" t="s">
        <v>1630</v>
      </c>
      <c r="H1100">
        <v>3</v>
      </c>
    </row>
    <row r="1101" spans="1:8">
      <c r="A1101" t="s">
        <v>2735</v>
      </c>
      <c r="B1101" t="s">
        <v>790</v>
      </c>
      <c r="C1101" s="4">
        <v>45418</v>
      </c>
      <c r="D1101" t="s">
        <v>1655</v>
      </c>
      <c r="E1101" t="s">
        <v>1609</v>
      </c>
      <c r="F1101" s="5">
        <v>0.5</v>
      </c>
      <c r="G1101" t="s">
        <v>1630</v>
      </c>
      <c r="H1101">
        <v>5</v>
      </c>
    </row>
    <row r="1102" spans="1:8">
      <c r="A1102" t="s">
        <v>2736</v>
      </c>
      <c r="B1102" t="s">
        <v>691</v>
      </c>
      <c r="C1102" s="4">
        <v>45129</v>
      </c>
      <c r="D1102" t="s">
        <v>1667</v>
      </c>
      <c r="E1102" t="s">
        <v>1605</v>
      </c>
      <c r="F1102" s="5">
        <v>1.2</v>
      </c>
      <c r="G1102" t="s">
        <v>1630</v>
      </c>
      <c r="H1102">
        <v>4</v>
      </c>
    </row>
    <row r="1103" spans="1:8">
      <c r="A1103" t="s">
        <v>2737</v>
      </c>
      <c r="B1103" t="s">
        <v>146</v>
      </c>
      <c r="C1103" s="4">
        <v>46129</v>
      </c>
      <c r="D1103" t="s">
        <v>1632</v>
      </c>
      <c r="E1103" t="s">
        <v>1648</v>
      </c>
      <c r="F1103" s="5">
        <v>5.0999999999999996</v>
      </c>
      <c r="G1103" t="s">
        <v>1630</v>
      </c>
      <c r="H1103">
        <v>3</v>
      </c>
    </row>
    <row r="1104" spans="1:8">
      <c r="A1104" t="s">
        <v>2738</v>
      </c>
      <c r="B1104" t="s">
        <v>1464</v>
      </c>
      <c r="C1104" s="4">
        <v>46103</v>
      </c>
      <c r="D1104" t="s">
        <v>1625</v>
      </c>
      <c r="E1104" t="s">
        <v>1605</v>
      </c>
      <c r="F1104" s="5">
        <v>1.6</v>
      </c>
      <c r="G1104" t="s">
        <v>1630</v>
      </c>
      <c r="H1104">
        <v>4</v>
      </c>
    </row>
    <row r="1105" spans="1:8">
      <c r="A1105" t="s">
        <v>2739</v>
      </c>
      <c r="B1105" t="s">
        <v>1436</v>
      </c>
      <c r="C1105" s="4">
        <v>45538</v>
      </c>
      <c r="D1105" t="s">
        <v>1655</v>
      </c>
      <c r="E1105" t="s">
        <v>1605</v>
      </c>
      <c r="F1105" s="5">
        <v>2.7</v>
      </c>
      <c r="G1105" t="s">
        <v>1630</v>
      </c>
      <c r="H1105">
        <v>2</v>
      </c>
    </row>
    <row r="1106" spans="1:8">
      <c r="A1106" t="s">
        <v>2740</v>
      </c>
      <c r="B1106" t="s">
        <v>448</v>
      </c>
      <c r="C1106" s="4">
        <v>45785</v>
      </c>
      <c r="D1106" t="s">
        <v>1628</v>
      </c>
      <c r="E1106" t="s">
        <v>1648</v>
      </c>
      <c r="F1106" s="5">
        <v>14.1</v>
      </c>
      <c r="G1106" t="s">
        <v>1630</v>
      </c>
      <c r="H1106">
        <v>2</v>
      </c>
    </row>
    <row r="1107" spans="1:8">
      <c r="A1107" t="s">
        <v>2741</v>
      </c>
      <c r="B1107" t="s">
        <v>685</v>
      </c>
      <c r="C1107" s="4">
        <v>45710</v>
      </c>
      <c r="D1107" t="s">
        <v>1641</v>
      </c>
      <c r="E1107" t="s">
        <v>1609</v>
      </c>
      <c r="F1107" s="5">
        <v>9.3000000000000007</v>
      </c>
      <c r="G1107" t="s">
        <v>1630</v>
      </c>
      <c r="H1107">
        <v>4</v>
      </c>
    </row>
    <row r="1108" spans="1:8">
      <c r="A1108" t="s">
        <v>2742</v>
      </c>
      <c r="B1108" t="s">
        <v>98</v>
      </c>
      <c r="C1108" s="4">
        <v>45232</v>
      </c>
      <c r="D1108" t="s">
        <v>1641</v>
      </c>
      <c r="E1108" t="s">
        <v>1629</v>
      </c>
      <c r="F1108" s="5">
        <v>9.5</v>
      </c>
      <c r="G1108" t="s">
        <v>1630</v>
      </c>
      <c r="H1108">
        <v>2</v>
      </c>
    </row>
    <row r="1109" spans="1:8">
      <c r="A1109" t="s">
        <v>2743</v>
      </c>
      <c r="B1109" t="s">
        <v>1362</v>
      </c>
      <c r="C1109" s="4">
        <v>44998</v>
      </c>
      <c r="D1109" t="s">
        <v>1628</v>
      </c>
      <c r="E1109" t="s">
        <v>1633</v>
      </c>
      <c r="F1109" s="5">
        <v>12.1</v>
      </c>
      <c r="G1109" t="s">
        <v>1630</v>
      </c>
      <c r="H1109">
        <v>4</v>
      </c>
    </row>
    <row r="1110" spans="1:8">
      <c r="A1110" t="s">
        <v>2744</v>
      </c>
      <c r="B1110" t="s">
        <v>1283</v>
      </c>
      <c r="C1110" s="4">
        <v>45204</v>
      </c>
      <c r="D1110" t="s">
        <v>1628</v>
      </c>
      <c r="E1110" t="s">
        <v>1633</v>
      </c>
      <c r="F1110" s="5">
        <v>1.8</v>
      </c>
      <c r="G1110" t="s">
        <v>1626</v>
      </c>
      <c r="H1110">
        <v>3</v>
      </c>
    </row>
    <row r="1111" spans="1:8">
      <c r="A1111" t="s">
        <v>2745</v>
      </c>
      <c r="B1111" t="s">
        <v>154</v>
      </c>
      <c r="C1111" s="4">
        <v>44947</v>
      </c>
      <c r="D1111" t="s">
        <v>1625</v>
      </c>
      <c r="E1111" t="s">
        <v>1629</v>
      </c>
      <c r="F1111" s="5">
        <v>7.4</v>
      </c>
      <c r="G1111" t="s">
        <v>1630</v>
      </c>
      <c r="H1111">
        <v>1</v>
      </c>
    </row>
    <row r="1112" spans="1:8">
      <c r="A1112" t="s">
        <v>2746</v>
      </c>
      <c r="B1112" t="s">
        <v>965</v>
      </c>
      <c r="C1112" s="4">
        <v>45425</v>
      </c>
      <c r="D1112" t="s">
        <v>1628</v>
      </c>
      <c r="E1112" t="s">
        <v>1648</v>
      </c>
      <c r="F1112" s="5">
        <v>27</v>
      </c>
      <c r="G1112" t="s">
        <v>1630</v>
      </c>
      <c r="H1112">
        <v>4</v>
      </c>
    </row>
    <row r="1113" spans="1:8">
      <c r="A1113" t="s">
        <v>2747</v>
      </c>
      <c r="B1113" t="s">
        <v>531</v>
      </c>
      <c r="C1113" s="4">
        <v>45872</v>
      </c>
      <c r="D1113" t="s">
        <v>1628</v>
      </c>
      <c r="E1113" t="s">
        <v>1609</v>
      </c>
      <c r="F1113" s="5">
        <v>8.5</v>
      </c>
      <c r="G1113" t="s">
        <v>1630</v>
      </c>
      <c r="H1113">
        <v>1</v>
      </c>
    </row>
    <row r="1114" spans="1:8">
      <c r="A1114" t="s">
        <v>2748</v>
      </c>
      <c r="B1114" t="s">
        <v>326</v>
      </c>
      <c r="C1114" s="4">
        <v>45345</v>
      </c>
      <c r="D1114" t="s">
        <v>1641</v>
      </c>
      <c r="E1114" t="s">
        <v>1629</v>
      </c>
      <c r="F1114" s="5">
        <v>6.7</v>
      </c>
      <c r="G1114" t="s">
        <v>1630</v>
      </c>
      <c r="H1114">
        <v>4</v>
      </c>
    </row>
    <row r="1115" spans="1:8">
      <c r="A1115" t="s">
        <v>2749</v>
      </c>
      <c r="B1115" t="s">
        <v>1488</v>
      </c>
      <c r="C1115" s="4">
        <v>45081</v>
      </c>
      <c r="D1115" t="s">
        <v>1632</v>
      </c>
      <c r="E1115" t="s">
        <v>1629</v>
      </c>
      <c r="F1115" s="5">
        <v>1.2</v>
      </c>
      <c r="G1115" t="s">
        <v>1630</v>
      </c>
      <c r="H1115">
        <v>3</v>
      </c>
    </row>
    <row r="1116" spans="1:8">
      <c r="A1116" t="s">
        <v>2750</v>
      </c>
      <c r="B1116" t="s">
        <v>703</v>
      </c>
      <c r="C1116" s="4">
        <v>45499</v>
      </c>
      <c r="D1116" t="s">
        <v>1632</v>
      </c>
      <c r="E1116" t="s">
        <v>1609</v>
      </c>
      <c r="F1116" s="5">
        <v>53.8</v>
      </c>
      <c r="G1116" t="s">
        <v>1630</v>
      </c>
      <c r="H1116">
        <v>2</v>
      </c>
    </row>
    <row r="1117" spans="1:8">
      <c r="A1117" t="s">
        <v>2751</v>
      </c>
      <c r="B1117" t="s">
        <v>1035</v>
      </c>
      <c r="C1117" s="4">
        <v>45067</v>
      </c>
      <c r="D1117" t="s">
        <v>1641</v>
      </c>
      <c r="E1117" t="s">
        <v>1609</v>
      </c>
      <c r="F1117" s="5">
        <v>4.9000000000000004</v>
      </c>
      <c r="G1117" t="s">
        <v>1630</v>
      </c>
      <c r="H1117">
        <v>4</v>
      </c>
    </row>
    <row r="1118" spans="1:8">
      <c r="A1118" t="s">
        <v>2752</v>
      </c>
      <c r="B1118" t="s">
        <v>213</v>
      </c>
      <c r="C1118" s="4">
        <v>45223</v>
      </c>
      <c r="D1118" t="s">
        <v>1655</v>
      </c>
      <c r="E1118" t="s">
        <v>1633</v>
      </c>
      <c r="F1118" s="5">
        <v>2.8</v>
      </c>
      <c r="G1118" t="s">
        <v>1630</v>
      </c>
      <c r="H1118">
        <v>2</v>
      </c>
    </row>
    <row r="1119" spans="1:8">
      <c r="A1119" t="s">
        <v>2753</v>
      </c>
      <c r="B1119" t="s">
        <v>470</v>
      </c>
      <c r="C1119" s="4">
        <v>45665</v>
      </c>
      <c r="D1119" t="s">
        <v>1628</v>
      </c>
      <c r="E1119" t="s">
        <v>1629</v>
      </c>
      <c r="F1119" s="5">
        <v>0.2</v>
      </c>
      <c r="G1119" t="s">
        <v>1630</v>
      </c>
      <c r="H1119">
        <v>2</v>
      </c>
    </row>
    <row r="1120" spans="1:8">
      <c r="A1120" t="s">
        <v>2754</v>
      </c>
      <c r="B1120" t="s">
        <v>1523</v>
      </c>
      <c r="C1120" s="4">
        <v>46130</v>
      </c>
      <c r="D1120" t="s">
        <v>1628</v>
      </c>
      <c r="E1120" t="s">
        <v>1609</v>
      </c>
      <c r="F1120" s="5">
        <v>1.2</v>
      </c>
      <c r="G1120" t="s">
        <v>1630</v>
      </c>
      <c r="H1120">
        <v>1</v>
      </c>
    </row>
    <row r="1121" spans="1:8">
      <c r="A1121" t="s">
        <v>2755</v>
      </c>
      <c r="B1121" t="s">
        <v>1088</v>
      </c>
      <c r="C1121" s="4">
        <v>45483</v>
      </c>
      <c r="D1121" t="s">
        <v>1625</v>
      </c>
      <c r="E1121" t="s">
        <v>1629</v>
      </c>
      <c r="F1121" s="5">
        <v>12.8</v>
      </c>
      <c r="G1121" t="s">
        <v>1630</v>
      </c>
      <c r="H1121">
        <v>2</v>
      </c>
    </row>
    <row r="1122" spans="1:8">
      <c r="A1122" t="s">
        <v>2756</v>
      </c>
      <c r="B1122" t="s">
        <v>794</v>
      </c>
      <c r="C1122" s="4">
        <v>44973</v>
      </c>
      <c r="D1122" t="s">
        <v>1628</v>
      </c>
      <c r="E1122" t="s">
        <v>1605</v>
      </c>
      <c r="F1122" s="5">
        <v>4.4000000000000004</v>
      </c>
      <c r="G1122" t="s">
        <v>1630</v>
      </c>
      <c r="H1122">
        <v>3</v>
      </c>
    </row>
    <row r="1123" spans="1:8">
      <c r="A1123" t="s">
        <v>2757</v>
      </c>
      <c r="B1123" t="s">
        <v>298</v>
      </c>
      <c r="C1123" s="4">
        <v>45387</v>
      </c>
      <c r="D1123" t="s">
        <v>1667</v>
      </c>
      <c r="E1123" t="s">
        <v>1629</v>
      </c>
      <c r="F1123" s="5">
        <v>4.2</v>
      </c>
      <c r="G1123" t="s">
        <v>1630</v>
      </c>
      <c r="H1123">
        <v>5</v>
      </c>
    </row>
    <row r="1124" spans="1:8">
      <c r="A1124" t="s">
        <v>2758</v>
      </c>
      <c r="B1124" t="s">
        <v>1408</v>
      </c>
      <c r="C1124" s="4">
        <v>45541</v>
      </c>
      <c r="D1124" t="s">
        <v>1632</v>
      </c>
      <c r="E1124" t="s">
        <v>1609</v>
      </c>
      <c r="F1124" s="5">
        <v>28.2</v>
      </c>
      <c r="G1124" t="s">
        <v>1630</v>
      </c>
      <c r="H1124">
        <v>3</v>
      </c>
    </row>
    <row r="1125" spans="1:8">
      <c r="A1125" t="s">
        <v>2759</v>
      </c>
      <c r="B1125" t="s">
        <v>1563</v>
      </c>
      <c r="C1125" s="4">
        <v>45633</v>
      </c>
      <c r="D1125" t="s">
        <v>1655</v>
      </c>
      <c r="E1125" t="s">
        <v>1633</v>
      </c>
      <c r="F1125" s="5">
        <v>7</v>
      </c>
      <c r="G1125" t="s">
        <v>1630</v>
      </c>
      <c r="H1125">
        <v>4</v>
      </c>
    </row>
    <row r="1126" spans="1:8">
      <c r="A1126" t="s">
        <v>2760</v>
      </c>
      <c r="B1126" t="s">
        <v>173</v>
      </c>
      <c r="C1126" s="4">
        <v>45196</v>
      </c>
      <c r="D1126" t="s">
        <v>1628</v>
      </c>
      <c r="E1126" t="s">
        <v>1648</v>
      </c>
      <c r="F1126" s="5">
        <v>8.8000000000000007</v>
      </c>
      <c r="G1126" t="s">
        <v>1630</v>
      </c>
      <c r="H1126">
        <v>5</v>
      </c>
    </row>
    <row r="1127" spans="1:8">
      <c r="A1127" t="s">
        <v>2761</v>
      </c>
      <c r="B1127" t="s">
        <v>1086</v>
      </c>
      <c r="C1127" s="4">
        <v>45113</v>
      </c>
      <c r="D1127" t="s">
        <v>1628</v>
      </c>
      <c r="E1127" t="s">
        <v>1629</v>
      </c>
      <c r="F1127" s="5">
        <v>6.2</v>
      </c>
      <c r="G1127" t="s">
        <v>1630</v>
      </c>
      <c r="H1127">
        <v>3</v>
      </c>
    </row>
    <row r="1128" spans="1:8">
      <c r="A1128" t="s">
        <v>2762</v>
      </c>
      <c r="B1128" t="s">
        <v>1299</v>
      </c>
      <c r="C1128" s="4">
        <v>46169</v>
      </c>
      <c r="D1128" t="s">
        <v>1655</v>
      </c>
      <c r="E1128" t="s">
        <v>1629</v>
      </c>
      <c r="F1128" s="5">
        <v>2.4</v>
      </c>
      <c r="G1128" t="s">
        <v>1630</v>
      </c>
      <c r="H1128">
        <v>5</v>
      </c>
    </row>
    <row r="1129" spans="1:8">
      <c r="A1129" t="s">
        <v>2763</v>
      </c>
      <c r="B1129" t="s">
        <v>1220</v>
      </c>
      <c r="C1129" s="4">
        <v>45789</v>
      </c>
      <c r="D1129" t="s">
        <v>1628</v>
      </c>
      <c r="E1129" t="s">
        <v>1629</v>
      </c>
      <c r="F1129" s="5">
        <v>3.8</v>
      </c>
      <c r="G1129" t="s">
        <v>1630</v>
      </c>
      <c r="H1129">
        <v>1</v>
      </c>
    </row>
    <row r="1130" spans="1:8">
      <c r="A1130" t="s">
        <v>2764</v>
      </c>
      <c r="B1130" t="s">
        <v>973</v>
      </c>
      <c r="C1130" s="4">
        <v>46003</v>
      </c>
      <c r="D1130" t="s">
        <v>1628</v>
      </c>
      <c r="E1130" t="s">
        <v>1629</v>
      </c>
      <c r="F1130" s="5">
        <v>2.4</v>
      </c>
      <c r="G1130" t="s">
        <v>1630</v>
      </c>
      <c r="H1130">
        <v>2</v>
      </c>
    </row>
    <row r="1131" spans="1:8">
      <c r="A1131" t="s">
        <v>2765</v>
      </c>
      <c r="B1131" t="s">
        <v>888</v>
      </c>
      <c r="C1131" s="4">
        <v>46068</v>
      </c>
      <c r="D1131" t="s">
        <v>1667</v>
      </c>
      <c r="E1131" t="s">
        <v>1648</v>
      </c>
      <c r="F1131" s="5">
        <v>0.9</v>
      </c>
      <c r="G1131" t="s">
        <v>1630</v>
      </c>
      <c r="H1131">
        <v>3</v>
      </c>
    </row>
    <row r="1132" spans="1:8">
      <c r="A1132" t="s">
        <v>2766</v>
      </c>
      <c r="B1132" t="s">
        <v>1145</v>
      </c>
      <c r="C1132" s="4">
        <v>46088</v>
      </c>
      <c r="D1132" t="s">
        <v>1628</v>
      </c>
      <c r="E1132" t="s">
        <v>1629</v>
      </c>
      <c r="F1132" s="5">
        <v>2.9</v>
      </c>
      <c r="G1132" t="s">
        <v>1630</v>
      </c>
      <c r="H1132">
        <v>5</v>
      </c>
    </row>
    <row r="1133" spans="1:8">
      <c r="A1133" t="s">
        <v>2767</v>
      </c>
      <c r="B1133" t="s">
        <v>1304</v>
      </c>
      <c r="C1133" s="4">
        <v>46010</v>
      </c>
      <c r="D1133" t="s">
        <v>1667</v>
      </c>
      <c r="E1133" t="s">
        <v>1605</v>
      </c>
      <c r="F1133" s="5">
        <v>4</v>
      </c>
      <c r="G1133" t="s">
        <v>1626</v>
      </c>
      <c r="H1133">
        <v>3</v>
      </c>
    </row>
    <row r="1134" spans="1:8">
      <c r="A1134" t="s">
        <v>2768</v>
      </c>
      <c r="B1134" t="s">
        <v>362</v>
      </c>
      <c r="C1134" s="4">
        <v>45331</v>
      </c>
      <c r="D1134" t="s">
        <v>1655</v>
      </c>
      <c r="E1134" t="s">
        <v>1605</v>
      </c>
      <c r="F1134" s="5">
        <v>2.6</v>
      </c>
      <c r="G1134" t="s">
        <v>1630</v>
      </c>
      <c r="H1134">
        <v>4</v>
      </c>
    </row>
    <row r="1135" spans="1:8">
      <c r="A1135" t="s">
        <v>2769</v>
      </c>
      <c r="B1135" t="s">
        <v>626</v>
      </c>
      <c r="C1135" s="4">
        <v>45846</v>
      </c>
      <c r="D1135" t="s">
        <v>1667</v>
      </c>
      <c r="E1135" t="s">
        <v>1609</v>
      </c>
      <c r="F1135" s="5">
        <v>5.6</v>
      </c>
      <c r="G1135" t="s">
        <v>1630</v>
      </c>
      <c r="H1135">
        <v>5</v>
      </c>
    </row>
    <row r="1136" spans="1:8">
      <c r="A1136" t="s">
        <v>2770</v>
      </c>
      <c r="B1136" t="s">
        <v>1583</v>
      </c>
      <c r="C1136" s="4">
        <v>46007</v>
      </c>
      <c r="D1136" t="s">
        <v>1625</v>
      </c>
      <c r="E1136" t="s">
        <v>1633</v>
      </c>
      <c r="F1136" s="5">
        <v>4.5</v>
      </c>
      <c r="G1136" t="s">
        <v>1630</v>
      </c>
      <c r="H1136">
        <v>1</v>
      </c>
    </row>
    <row r="1137" spans="1:8">
      <c r="A1137" t="s">
        <v>2771</v>
      </c>
      <c r="B1137" t="s">
        <v>441</v>
      </c>
      <c r="C1137" s="4">
        <v>45062</v>
      </c>
      <c r="D1137" t="s">
        <v>1667</v>
      </c>
      <c r="E1137" t="s">
        <v>1605</v>
      </c>
      <c r="F1137" s="5">
        <v>10.9</v>
      </c>
      <c r="G1137" t="s">
        <v>1630</v>
      </c>
      <c r="H1137">
        <v>2</v>
      </c>
    </row>
    <row r="1138" spans="1:8">
      <c r="A1138" t="s">
        <v>2772</v>
      </c>
      <c r="B1138" t="s">
        <v>1466</v>
      </c>
      <c r="C1138" s="4">
        <v>44956</v>
      </c>
      <c r="D1138" t="s">
        <v>1625</v>
      </c>
      <c r="E1138" t="s">
        <v>1633</v>
      </c>
      <c r="F1138" s="5">
        <v>0.2</v>
      </c>
      <c r="G1138" t="s">
        <v>1630</v>
      </c>
      <c r="H1138">
        <v>2</v>
      </c>
    </row>
    <row r="1139" spans="1:8">
      <c r="A1139" t="s">
        <v>2773</v>
      </c>
      <c r="B1139" t="s">
        <v>46</v>
      </c>
      <c r="C1139" s="4">
        <v>45051</v>
      </c>
      <c r="D1139" t="s">
        <v>1628</v>
      </c>
      <c r="E1139" t="s">
        <v>1648</v>
      </c>
      <c r="F1139" s="5">
        <v>5.9</v>
      </c>
      <c r="G1139" t="s">
        <v>1630</v>
      </c>
      <c r="H1139">
        <v>3</v>
      </c>
    </row>
    <row r="1140" spans="1:8">
      <c r="A1140" t="s">
        <v>2774</v>
      </c>
      <c r="B1140" t="s">
        <v>1314</v>
      </c>
      <c r="C1140" s="4">
        <v>45752</v>
      </c>
      <c r="D1140" t="s">
        <v>1625</v>
      </c>
      <c r="E1140" t="s">
        <v>1648</v>
      </c>
      <c r="F1140" s="5">
        <v>0.9</v>
      </c>
      <c r="G1140" t="s">
        <v>1630</v>
      </c>
      <c r="H1140">
        <v>5</v>
      </c>
    </row>
    <row r="1141" spans="1:8">
      <c r="A1141" t="s">
        <v>2775</v>
      </c>
      <c r="B1141" t="s">
        <v>1002</v>
      </c>
      <c r="C1141" s="4">
        <v>46097</v>
      </c>
      <c r="D1141" t="s">
        <v>1655</v>
      </c>
      <c r="E1141" t="s">
        <v>1648</v>
      </c>
      <c r="F1141" s="5">
        <v>57.8</v>
      </c>
      <c r="G1141" t="s">
        <v>1630</v>
      </c>
      <c r="H1141">
        <v>1</v>
      </c>
    </row>
    <row r="1142" spans="1:8">
      <c r="A1142" t="s">
        <v>2776</v>
      </c>
      <c r="B1142" t="s">
        <v>839</v>
      </c>
      <c r="C1142" s="4">
        <v>44932</v>
      </c>
      <c r="D1142" t="s">
        <v>1628</v>
      </c>
      <c r="E1142" t="s">
        <v>1609</v>
      </c>
      <c r="F1142" s="5">
        <v>3.9</v>
      </c>
      <c r="G1142" t="s">
        <v>1630</v>
      </c>
      <c r="H1142">
        <v>2</v>
      </c>
    </row>
    <row r="1143" spans="1:8">
      <c r="A1143" t="s">
        <v>2777</v>
      </c>
      <c r="B1143" t="s">
        <v>1412</v>
      </c>
      <c r="C1143" s="4">
        <v>45408</v>
      </c>
      <c r="D1143" t="s">
        <v>1628</v>
      </c>
      <c r="E1143" t="s">
        <v>1629</v>
      </c>
      <c r="F1143" s="5">
        <v>1.8</v>
      </c>
      <c r="G1143" t="s">
        <v>1630</v>
      </c>
      <c r="H1143">
        <v>5</v>
      </c>
    </row>
    <row r="1144" spans="1:8">
      <c r="A1144" t="s">
        <v>2778</v>
      </c>
      <c r="B1144" t="s">
        <v>1219</v>
      </c>
      <c r="C1144" s="4">
        <v>46016</v>
      </c>
      <c r="D1144" t="s">
        <v>1667</v>
      </c>
      <c r="E1144" t="s">
        <v>1648</v>
      </c>
      <c r="F1144" s="5">
        <v>10.4</v>
      </c>
      <c r="G1144" t="s">
        <v>1630</v>
      </c>
      <c r="H1144">
        <v>5</v>
      </c>
    </row>
    <row r="1145" spans="1:8">
      <c r="A1145" t="s">
        <v>2779</v>
      </c>
      <c r="B1145" t="s">
        <v>190</v>
      </c>
      <c r="C1145" s="4">
        <v>45722</v>
      </c>
      <c r="D1145" t="s">
        <v>1628</v>
      </c>
      <c r="E1145" t="s">
        <v>1633</v>
      </c>
      <c r="F1145" s="5">
        <v>2.9</v>
      </c>
      <c r="G1145" t="s">
        <v>1626</v>
      </c>
      <c r="H1145">
        <v>1</v>
      </c>
    </row>
    <row r="1146" spans="1:8">
      <c r="A1146" t="s">
        <v>2780</v>
      </c>
      <c r="B1146" t="s">
        <v>1558</v>
      </c>
      <c r="C1146" s="4">
        <v>46048</v>
      </c>
      <c r="D1146" t="s">
        <v>1625</v>
      </c>
      <c r="E1146" t="s">
        <v>1633</v>
      </c>
      <c r="F1146" s="5">
        <v>3.9</v>
      </c>
      <c r="G1146" t="s">
        <v>1630</v>
      </c>
      <c r="H1146">
        <v>1</v>
      </c>
    </row>
    <row r="1147" spans="1:8">
      <c r="A1147" t="s">
        <v>2781</v>
      </c>
      <c r="B1147" t="s">
        <v>1535</v>
      </c>
      <c r="C1147" s="4">
        <v>46149</v>
      </c>
      <c r="D1147" t="s">
        <v>1655</v>
      </c>
      <c r="E1147" t="s">
        <v>1648</v>
      </c>
      <c r="F1147" s="5">
        <v>5.8</v>
      </c>
      <c r="G1147" t="s">
        <v>1630</v>
      </c>
      <c r="H1147">
        <v>2</v>
      </c>
    </row>
    <row r="1148" spans="1:8">
      <c r="A1148" t="s">
        <v>2782</v>
      </c>
      <c r="B1148" t="s">
        <v>881</v>
      </c>
      <c r="C1148" s="4">
        <v>45170</v>
      </c>
      <c r="D1148" t="s">
        <v>1637</v>
      </c>
      <c r="E1148" t="s">
        <v>1605</v>
      </c>
      <c r="F1148" s="5">
        <v>24.5</v>
      </c>
      <c r="G1148" t="s">
        <v>1630</v>
      </c>
      <c r="H1148">
        <v>1</v>
      </c>
    </row>
    <row r="1149" spans="1:8">
      <c r="A1149" t="s">
        <v>2783</v>
      </c>
      <c r="B1149" t="s">
        <v>1005</v>
      </c>
      <c r="C1149" s="4">
        <v>45101</v>
      </c>
      <c r="D1149" t="s">
        <v>1625</v>
      </c>
      <c r="E1149" t="s">
        <v>1648</v>
      </c>
      <c r="F1149" s="5">
        <v>6.5</v>
      </c>
      <c r="G1149" t="s">
        <v>1630</v>
      </c>
      <c r="H1149">
        <v>3</v>
      </c>
    </row>
    <row r="1150" spans="1:8">
      <c r="A1150" t="s">
        <v>2784</v>
      </c>
      <c r="B1150" t="s">
        <v>726</v>
      </c>
      <c r="C1150" s="4">
        <v>45953</v>
      </c>
      <c r="D1150" t="s">
        <v>1628</v>
      </c>
      <c r="E1150" t="s">
        <v>1648</v>
      </c>
      <c r="F1150" s="5">
        <v>26.3</v>
      </c>
      <c r="G1150" t="s">
        <v>1630</v>
      </c>
      <c r="H1150">
        <v>1</v>
      </c>
    </row>
    <row r="1151" spans="1:8">
      <c r="A1151" t="s">
        <v>2785</v>
      </c>
      <c r="B1151" t="s">
        <v>480</v>
      </c>
      <c r="C1151" s="4">
        <v>45459</v>
      </c>
      <c r="D1151" t="s">
        <v>1655</v>
      </c>
      <c r="E1151" t="s">
        <v>1609</v>
      </c>
      <c r="F1151" s="5">
        <v>0.6</v>
      </c>
      <c r="G1151" t="s">
        <v>1630</v>
      </c>
      <c r="H1151">
        <v>2</v>
      </c>
    </row>
    <row r="1152" spans="1:8">
      <c r="A1152" t="s">
        <v>2786</v>
      </c>
      <c r="B1152" t="s">
        <v>640</v>
      </c>
      <c r="C1152" s="4">
        <v>45772</v>
      </c>
      <c r="D1152" t="s">
        <v>1625</v>
      </c>
      <c r="E1152" t="s">
        <v>1629</v>
      </c>
      <c r="F1152" s="5">
        <v>3.1</v>
      </c>
      <c r="G1152" t="s">
        <v>1626</v>
      </c>
      <c r="H1152">
        <v>3</v>
      </c>
    </row>
    <row r="1153" spans="1:8">
      <c r="A1153" t="s">
        <v>2787</v>
      </c>
      <c r="B1153" t="s">
        <v>1109</v>
      </c>
      <c r="C1153" s="4">
        <v>45439</v>
      </c>
      <c r="D1153" t="s">
        <v>1625</v>
      </c>
      <c r="E1153" t="s">
        <v>1633</v>
      </c>
      <c r="F1153" s="5">
        <v>15.9</v>
      </c>
      <c r="G1153" t="s">
        <v>1630</v>
      </c>
      <c r="H1153">
        <v>2</v>
      </c>
    </row>
    <row r="1154" spans="1:8">
      <c r="A1154" t="s">
        <v>2788</v>
      </c>
      <c r="B1154" t="s">
        <v>1275</v>
      </c>
      <c r="C1154" s="4">
        <v>45036</v>
      </c>
      <c r="D1154" t="s">
        <v>1628</v>
      </c>
      <c r="E1154" t="s">
        <v>1648</v>
      </c>
      <c r="F1154" s="5">
        <v>1.2</v>
      </c>
      <c r="G1154" t="s">
        <v>1626</v>
      </c>
      <c r="H1154">
        <v>3</v>
      </c>
    </row>
    <row r="1155" spans="1:8">
      <c r="A1155" t="s">
        <v>2789</v>
      </c>
      <c r="B1155" t="s">
        <v>113</v>
      </c>
      <c r="C1155" s="4">
        <v>45212</v>
      </c>
      <c r="D1155" t="s">
        <v>1632</v>
      </c>
      <c r="E1155" t="s">
        <v>1648</v>
      </c>
      <c r="F1155" s="5">
        <v>19.3</v>
      </c>
      <c r="G1155" t="s">
        <v>1630</v>
      </c>
      <c r="H1155">
        <v>2</v>
      </c>
    </row>
    <row r="1156" spans="1:8">
      <c r="A1156" t="s">
        <v>2790</v>
      </c>
      <c r="B1156" t="s">
        <v>1534</v>
      </c>
      <c r="C1156" s="4">
        <v>45209</v>
      </c>
      <c r="D1156" t="s">
        <v>1632</v>
      </c>
      <c r="E1156" t="s">
        <v>1648</v>
      </c>
      <c r="F1156" s="5">
        <v>4.7</v>
      </c>
      <c r="G1156" t="s">
        <v>1626</v>
      </c>
      <c r="H1156">
        <v>2</v>
      </c>
    </row>
    <row r="1157" spans="1:8">
      <c r="A1157" t="s">
        <v>2791</v>
      </c>
      <c r="B1157" t="s">
        <v>1586</v>
      </c>
      <c r="C1157" s="4">
        <v>44929</v>
      </c>
      <c r="D1157" t="s">
        <v>1628</v>
      </c>
      <c r="E1157" t="s">
        <v>1629</v>
      </c>
      <c r="F1157" s="5">
        <v>1.2</v>
      </c>
      <c r="G1157" t="s">
        <v>1630</v>
      </c>
      <c r="H1157">
        <v>5</v>
      </c>
    </row>
    <row r="1158" spans="1:8">
      <c r="A1158" t="s">
        <v>2792</v>
      </c>
      <c r="B1158" t="s">
        <v>1491</v>
      </c>
      <c r="C1158" s="4">
        <v>45070</v>
      </c>
      <c r="D1158" t="s">
        <v>1641</v>
      </c>
      <c r="E1158" t="s">
        <v>1633</v>
      </c>
      <c r="F1158" s="5">
        <v>18.8</v>
      </c>
      <c r="G1158" t="s">
        <v>1630</v>
      </c>
      <c r="H1158">
        <v>3</v>
      </c>
    </row>
    <row r="1159" spans="1:8">
      <c r="A1159" t="s">
        <v>2793</v>
      </c>
      <c r="B1159" t="s">
        <v>1168</v>
      </c>
      <c r="C1159" s="4">
        <v>45321</v>
      </c>
      <c r="D1159" t="s">
        <v>1625</v>
      </c>
      <c r="E1159" t="s">
        <v>1605</v>
      </c>
      <c r="F1159" s="5">
        <v>24.1</v>
      </c>
      <c r="G1159" t="s">
        <v>1630</v>
      </c>
      <c r="H1159">
        <v>4</v>
      </c>
    </row>
    <row r="1160" spans="1:8">
      <c r="A1160" t="s">
        <v>2794</v>
      </c>
      <c r="B1160" t="s">
        <v>116</v>
      </c>
      <c r="C1160" s="4">
        <v>44944</v>
      </c>
      <c r="D1160" t="s">
        <v>1625</v>
      </c>
      <c r="E1160" t="s">
        <v>1605</v>
      </c>
      <c r="F1160" s="5">
        <v>7.7</v>
      </c>
      <c r="G1160" t="s">
        <v>1626</v>
      </c>
      <c r="H1160">
        <v>3</v>
      </c>
    </row>
    <row r="1161" spans="1:8">
      <c r="A1161" t="s">
        <v>2795</v>
      </c>
      <c r="B1161" t="s">
        <v>1566</v>
      </c>
      <c r="C1161" s="4">
        <v>45212</v>
      </c>
      <c r="D1161" t="s">
        <v>1641</v>
      </c>
      <c r="E1161" t="s">
        <v>1633</v>
      </c>
      <c r="F1161" s="5">
        <v>0.9</v>
      </c>
      <c r="G1161" t="s">
        <v>1630</v>
      </c>
      <c r="H1161">
        <v>4</v>
      </c>
    </row>
    <row r="1162" spans="1:8">
      <c r="A1162" t="s">
        <v>2796</v>
      </c>
      <c r="B1162" t="s">
        <v>1553</v>
      </c>
      <c r="C1162" s="4">
        <v>45069</v>
      </c>
      <c r="D1162" t="s">
        <v>1641</v>
      </c>
      <c r="E1162" t="s">
        <v>1633</v>
      </c>
      <c r="F1162" s="5">
        <v>3.4</v>
      </c>
      <c r="G1162" t="s">
        <v>1630</v>
      </c>
      <c r="H1162">
        <v>4</v>
      </c>
    </row>
    <row r="1163" spans="1:8">
      <c r="A1163" t="s">
        <v>2797</v>
      </c>
      <c r="B1163" t="s">
        <v>338</v>
      </c>
      <c r="C1163" s="4">
        <v>44991</v>
      </c>
      <c r="D1163" t="s">
        <v>1628</v>
      </c>
      <c r="E1163" t="s">
        <v>1648</v>
      </c>
      <c r="F1163" s="5">
        <v>1.5</v>
      </c>
      <c r="G1163" t="s">
        <v>1630</v>
      </c>
      <c r="H1163">
        <v>4</v>
      </c>
    </row>
    <row r="1164" spans="1:8">
      <c r="A1164" t="s">
        <v>2798</v>
      </c>
      <c r="B1164" t="s">
        <v>844</v>
      </c>
      <c r="C1164" s="4">
        <v>44975</v>
      </c>
      <c r="D1164" t="s">
        <v>1628</v>
      </c>
      <c r="E1164" t="s">
        <v>1605</v>
      </c>
      <c r="F1164" s="5">
        <v>6.6</v>
      </c>
      <c r="G1164" t="s">
        <v>1630</v>
      </c>
      <c r="H1164">
        <v>4</v>
      </c>
    </row>
    <row r="1165" spans="1:8">
      <c r="A1165" t="s">
        <v>2799</v>
      </c>
      <c r="B1165" t="s">
        <v>279</v>
      </c>
      <c r="C1165" s="4">
        <v>44987</v>
      </c>
      <c r="D1165" t="s">
        <v>1628</v>
      </c>
      <c r="E1165" t="s">
        <v>1605</v>
      </c>
      <c r="F1165" s="5">
        <v>1.8</v>
      </c>
      <c r="G1165" t="s">
        <v>1626</v>
      </c>
      <c r="H1165">
        <v>3</v>
      </c>
    </row>
    <row r="1166" spans="1:8">
      <c r="A1166" t="s">
        <v>2800</v>
      </c>
      <c r="B1166" t="s">
        <v>1301</v>
      </c>
      <c r="C1166" s="4">
        <v>45801</v>
      </c>
      <c r="D1166" t="s">
        <v>1628</v>
      </c>
      <c r="E1166" t="s">
        <v>1609</v>
      </c>
      <c r="F1166" s="5">
        <v>1.1000000000000001</v>
      </c>
      <c r="G1166" t="s">
        <v>1630</v>
      </c>
      <c r="H1166">
        <v>3</v>
      </c>
    </row>
    <row r="1167" spans="1:8">
      <c r="A1167" t="s">
        <v>2801</v>
      </c>
      <c r="B1167" t="s">
        <v>1562</v>
      </c>
      <c r="C1167" s="4">
        <v>46017</v>
      </c>
      <c r="D1167" t="s">
        <v>1632</v>
      </c>
      <c r="E1167" t="s">
        <v>1609</v>
      </c>
      <c r="F1167" s="5">
        <v>5.5</v>
      </c>
      <c r="G1167" t="s">
        <v>1630</v>
      </c>
      <c r="H1167">
        <v>3</v>
      </c>
    </row>
    <row r="1168" spans="1:8">
      <c r="A1168" t="s">
        <v>2802</v>
      </c>
      <c r="B1168" t="s">
        <v>544</v>
      </c>
      <c r="C1168" s="4">
        <v>45456</v>
      </c>
      <c r="D1168" t="s">
        <v>1625</v>
      </c>
      <c r="E1168" t="s">
        <v>1609</v>
      </c>
      <c r="F1168" s="5">
        <v>28.2</v>
      </c>
      <c r="G1168" t="s">
        <v>1630</v>
      </c>
      <c r="H1168">
        <v>2</v>
      </c>
    </row>
    <row r="1169" spans="1:8">
      <c r="A1169" t="s">
        <v>2803</v>
      </c>
      <c r="B1169" t="s">
        <v>1500</v>
      </c>
      <c r="C1169" s="4">
        <v>45222</v>
      </c>
      <c r="D1169" t="s">
        <v>1667</v>
      </c>
      <c r="E1169" t="s">
        <v>1629</v>
      </c>
      <c r="F1169" s="5">
        <v>35.1</v>
      </c>
      <c r="G1169" t="s">
        <v>1626</v>
      </c>
      <c r="H1169">
        <v>2</v>
      </c>
    </row>
    <row r="1170" spans="1:8">
      <c r="A1170" t="s">
        <v>2804</v>
      </c>
      <c r="B1170" t="s">
        <v>804</v>
      </c>
      <c r="C1170" s="4">
        <v>44978</v>
      </c>
      <c r="D1170" t="s">
        <v>1628</v>
      </c>
      <c r="E1170" t="s">
        <v>1609</v>
      </c>
      <c r="F1170" s="5">
        <v>3.2</v>
      </c>
      <c r="G1170" t="s">
        <v>1630</v>
      </c>
      <c r="H1170">
        <v>4</v>
      </c>
    </row>
    <row r="1171" spans="1:8">
      <c r="A1171" t="s">
        <v>2805</v>
      </c>
      <c r="B1171" t="s">
        <v>1280</v>
      </c>
      <c r="C1171" s="4">
        <v>45346</v>
      </c>
      <c r="D1171" t="s">
        <v>1667</v>
      </c>
      <c r="E1171" t="s">
        <v>1633</v>
      </c>
      <c r="F1171" s="5">
        <v>5.4</v>
      </c>
      <c r="G1171" t="s">
        <v>1630</v>
      </c>
      <c r="H1171">
        <v>2</v>
      </c>
    </row>
    <row r="1172" spans="1:8">
      <c r="A1172" t="s">
        <v>2806</v>
      </c>
      <c r="B1172" t="s">
        <v>758</v>
      </c>
      <c r="C1172" s="4">
        <v>46070</v>
      </c>
      <c r="D1172" t="s">
        <v>1667</v>
      </c>
      <c r="E1172" t="s">
        <v>1609</v>
      </c>
      <c r="F1172" s="5">
        <v>5.4</v>
      </c>
      <c r="G1172" t="s">
        <v>1630</v>
      </c>
      <c r="H1172">
        <v>2</v>
      </c>
    </row>
    <row r="1173" spans="1:8">
      <c r="A1173" t="s">
        <v>2807</v>
      </c>
      <c r="B1173" t="s">
        <v>432</v>
      </c>
      <c r="C1173" s="4">
        <v>45577</v>
      </c>
      <c r="D1173" t="s">
        <v>1632</v>
      </c>
      <c r="E1173" t="s">
        <v>1605</v>
      </c>
      <c r="F1173" s="5">
        <v>14</v>
      </c>
      <c r="G1173" t="s">
        <v>1630</v>
      </c>
      <c r="H1173">
        <v>2</v>
      </c>
    </row>
    <row r="1174" spans="1:8">
      <c r="A1174" t="s">
        <v>2808</v>
      </c>
      <c r="B1174" t="s">
        <v>821</v>
      </c>
      <c r="C1174" s="4">
        <v>45854</v>
      </c>
      <c r="D1174" t="s">
        <v>1667</v>
      </c>
      <c r="E1174" t="s">
        <v>1648</v>
      </c>
      <c r="F1174" s="5">
        <v>4</v>
      </c>
      <c r="G1174" t="s">
        <v>1630</v>
      </c>
      <c r="H1174">
        <v>4</v>
      </c>
    </row>
    <row r="1175" spans="1:8">
      <c r="A1175" t="s">
        <v>2809</v>
      </c>
      <c r="B1175" t="s">
        <v>1550</v>
      </c>
      <c r="C1175" s="4">
        <v>45646</v>
      </c>
      <c r="D1175" t="s">
        <v>1667</v>
      </c>
      <c r="E1175" t="s">
        <v>1629</v>
      </c>
      <c r="F1175" s="5">
        <v>24.4</v>
      </c>
      <c r="G1175" t="s">
        <v>1626</v>
      </c>
      <c r="H1175">
        <v>2</v>
      </c>
    </row>
    <row r="1176" spans="1:8">
      <c r="A1176" t="s">
        <v>2810</v>
      </c>
      <c r="B1176" t="s">
        <v>262</v>
      </c>
      <c r="C1176" s="4">
        <v>45832</v>
      </c>
      <c r="D1176" t="s">
        <v>1637</v>
      </c>
      <c r="E1176" t="s">
        <v>1629</v>
      </c>
      <c r="F1176" s="5">
        <v>15.3</v>
      </c>
      <c r="G1176" t="s">
        <v>1630</v>
      </c>
      <c r="H1176">
        <v>3</v>
      </c>
    </row>
    <row r="1177" spans="1:8">
      <c r="A1177" t="s">
        <v>2811</v>
      </c>
      <c r="B1177" t="s">
        <v>1376</v>
      </c>
      <c r="C1177" s="4">
        <v>45527</v>
      </c>
      <c r="D1177" t="s">
        <v>1641</v>
      </c>
      <c r="E1177" t="s">
        <v>1609</v>
      </c>
      <c r="F1177" s="5">
        <v>8.6999999999999993</v>
      </c>
      <c r="G1177" t="s">
        <v>1630</v>
      </c>
      <c r="H1177">
        <v>2</v>
      </c>
    </row>
    <row r="1178" spans="1:8">
      <c r="A1178" t="s">
        <v>2812</v>
      </c>
      <c r="B1178" t="s">
        <v>774</v>
      </c>
      <c r="C1178" s="4">
        <v>44957</v>
      </c>
      <c r="D1178" t="s">
        <v>1628</v>
      </c>
      <c r="E1178" t="s">
        <v>1609</v>
      </c>
      <c r="F1178" s="5">
        <v>13.1</v>
      </c>
      <c r="G1178" t="s">
        <v>1630</v>
      </c>
      <c r="H1178">
        <v>5</v>
      </c>
    </row>
    <row r="1179" spans="1:8">
      <c r="A1179" t="s">
        <v>2813</v>
      </c>
      <c r="B1179" t="s">
        <v>949</v>
      </c>
      <c r="C1179" s="4">
        <v>45544</v>
      </c>
      <c r="D1179" t="s">
        <v>1667</v>
      </c>
      <c r="E1179" t="s">
        <v>1605</v>
      </c>
      <c r="F1179" s="5">
        <v>2.1</v>
      </c>
      <c r="G1179" t="s">
        <v>1626</v>
      </c>
      <c r="H1179">
        <v>1</v>
      </c>
    </row>
    <row r="1180" spans="1:8">
      <c r="A1180" t="s">
        <v>2814</v>
      </c>
      <c r="B1180" t="s">
        <v>688</v>
      </c>
      <c r="C1180" s="4">
        <v>45036</v>
      </c>
      <c r="D1180" t="s">
        <v>1625</v>
      </c>
      <c r="E1180" t="s">
        <v>1629</v>
      </c>
      <c r="F1180" s="5">
        <v>16.899999999999999</v>
      </c>
      <c r="G1180" t="s">
        <v>1630</v>
      </c>
      <c r="H1180">
        <v>5</v>
      </c>
    </row>
    <row r="1181" spans="1:8">
      <c r="A1181" t="s">
        <v>2815</v>
      </c>
      <c r="B1181" t="s">
        <v>410</v>
      </c>
      <c r="C1181" s="4">
        <v>45153</v>
      </c>
      <c r="D1181" t="s">
        <v>1628</v>
      </c>
      <c r="E1181" t="s">
        <v>1633</v>
      </c>
      <c r="F1181" s="5">
        <v>12.5</v>
      </c>
      <c r="G1181" t="s">
        <v>1630</v>
      </c>
      <c r="H1181">
        <v>3</v>
      </c>
    </row>
    <row r="1182" spans="1:8">
      <c r="A1182" t="s">
        <v>2816</v>
      </c>
      <c r="B1182" t="s">
        <v>1123</v>
      </c>
      <c r="C1182" s="4">
        <v>45656</v>
      </c>
      <c r="D1182" t="s">
        <v>1628</v>
      </c>
      <c r="E1182" t="s">
        <v>1633</v>
      </c>
      <c r="F1182" s="5">
        <v>6.8</v>
      </c>
      <c r="G1182" t="s">
        <v>1630</v>
      </c>
      <c r="H1182">
        <v>4</v>
      </c>
    </row>
    <row r="1183" spans="1:8">
      <c r="A1183" t="s">
        <v>2817</v>
      </c>
      <c r="B1183" t="s">
        <v>1198</v>
      </c>
      <c r="C1183" s="4">
        <v>45493</v>
      </c>
      <c r="D1183" t="s">
        <v>1655</v>
      </c>
      <c r="E1183" t="s">
        <v>1609</v>
      </c>
      <c r="F1183" s="5">
        <v>11.6</v>
      </c>
      <c r="G1183" t="s">
        <v>1630</v>
      </c>
      <c r="H1183">
        <v>5</v>
      </c>
    </row>
    <row r="1184" spans="1:8">
      <c r="A1184" t="s">
        <v>2818</v>
      </c>
      <c r="B1184" t="s">
        <v>963</v>
      </c>
      <c r="C1184" s="4">
        <v>45327</v>
      </c>
      <c r="D1184" t="s">
        <v>1641</v>
      </c>
      <c r="E1184" t="s">
        <v>1609</v>
      </c>
      <c r="F1184" s="5">
        <v>6.1</v>
      </c>
      <c r="G1184" t="s">
        <v>1630</v>
      </c>
      <c r="H1184">
        <v>1</v>
      </c>
    </row>
    <row r="1185" spans="1:8">
      <c r="A1185" t="s">
        <v>2819</v>
      </c>
      <c r="B1185" t="s">
        <v>1455</v>
      </c>
      <c r="C1185" s="4">
        <v>45805</v>
      </c>
      <c r="D1185" t="s">
        <v>1628</v>
      </c>
      <c r="E1185" t="s">
        <v>1605</v>
      </c>
      <c r="F1185" s="5">
        <v>3.3</v>
      </c>
      <c r="G1185" t="s">
        <v>1630</v>
      </c>
      <c r="H1185">
        <v>3</v>
      </c>
    </row>
    <row r="1186" spans="1:8">
      <c r="A1186" t="s">
        <v>2820</v>
      </c>
      <c r="B1186" t="s">
        <v>973</v>
      </c>
      <c r="C1186" s="4">
        <v>45956</v>
      </c>
      <c r="D1186" t="s">
        <v>1655</v>
      </c>
      <c r="E1186" t="s">
        <v>1609</v>
      </c>
      <c r="F1186" s="5">
        <v>6</v>
      </c>
      <c r="G1186" t="s">
        <v>1630</v>
      </c>
      <c r="H1186">
        <v>4</v>
      </c>
    </row>
    <row r="1187" spans="1:8">
      <c r="A1187" t="s">
        <v>2821</v>
      </c>
      <c r="B1187" t="s">
        <v>1022</v>
      </c>
      <c r="C1187" s="4">
        <v>44974</v>
      </c>
      <c r="D1187" t="s">
        <v>1667</v>
      </c>
      <c r="E1187" t="s">
        <v>1629</v>
      </c>
      <c r="F1187" s="5">
        <v>2.4</v>
      </c>
      <c r="G1187" t="s">
        <v>1630</v>
      </c>
      <c r="H1187">
        <v>3</v>
      </c>
    </row>
    <row r="1188" spans="1:8">
      <c r="A1188" t="s">
        <v>2822</v>
      </c>
      <c r="B1188" t="s">
        <v>1442</v>
      </c>
      <c r="C1188" s="4">
        <v>45128</v>
      </c>
      <c r="D1188" t="s">
        <v>1655</v>
      </c>
      <c r="E1188" t="s">
        <v>1609</v>
      </c>
      <c r="F1188" s="5">
        <v>1.6</v>
      </c>
      <c r="G1188" t="s">
        <v>1630</v>
      </c>
      <c r="H1188">
        <v>3</v>
      </c>
    </row>
    <row r="1189" spans="1:8">
      <c r="A1189" t="s">
        <v>2823</v>
      </c>
      <c r="B1189" t="s">
        <v>695</v>
      </c>
      <c r="C1189" s="4">
        <v>45328</v>
      </c>
      <c r="D1189" t="s">
        <v>1632</v>
      </c>
      <c r="E1189" t="s">
        <v>1633</v>
      </c>
      <c r="F1189" s="5">
        <v>0.7</v>
      </c>
      <c r="G1189" t="s">
        <v>1630</v>
      </c>
      <c r="H1189">
        <v>2</v>
      </c>
    </row>
    <row r="1190" spans="1:8">
      <c r="A1190" t="s">
        <v>2824</v>
      </c>
      <c r="B1190" t="s">
        <v>1461</v>
      </c>
      <c r="C1190" s="4">
        <v>44987</v>
      </c>
      <c r="D1190" t="s">
        <v>1628</v>
      </c>
      <c r="E1190" t="s">
        <v>1629</v>
      </c>
      <c r="F1190" s="5">
        <v>0.4</v>
      </c>
      <c r="G1190" t="s">
        <v>1630</v>
      </c>
      <c r="H1190">
        <v>5</v>
      </c>
    </row>
    <row r="1191" spans="1:8">
      <c r="A1191" t="s">
        <v>2825</v>
      </c>
      <c r="B1191" t="s">
        <v>866</v>
      </c>
      <c r="C1191" s="4">
        <v>44935</v>
      </c>
      <c r="D1191" t="s">
        <v>1655</v>
      </c>
      <c r="E1191" t="s">
        <v>1605</v>
      </c>
      <c r="F1191" s="5">
        <v>5.5</v>
      </c>
      <c r="G1191" t="s">
        <v>1630</v>
      </c>
      <c r="H1191">
        <v>5</v>
      </c>
    </row>
    <row r="1192" spans="1:8">
      <c r="A1192" t="s">
        <v>2826</v>
      </c>
      <c r="B1192" t="s">
        <v>808</v>
      </c>
      <c r="C1192" s="4">
        <v>45035</v>
      </c>
      <c r="D1192" t="s">
        <v>1667</v>
      </c>
      <c r="E1192" t="s">
        <v>1605</v>
      </c>
      <c r="F1192" s="5">
        <v>1.4</v>
      </c>
      <c r="G1192" t="s">
        <v>1626</v>
      </c>
      <c r="H1192">
        <v>1</v>
      </c>
    </row>
    <row r="1193" spans="1:8">
      <c r="A1193" t="s">
        <v>2827</v>
      </c>
      <c r="B1193" t="s">
        <v>319</v>
      </c>
      <c r="C1193" s="4">
        <v>46144</v>
      </c>
      <c r="D1193" t="s">
        <v>1625</v>
      </c>
      <c r="E1193" t="s">
        <v>1648</v>
      </c>
      <c r="F1193" s="5">
        <v>7.8</v>
      </c>
      <c r="G1193" t="s">
        <v>1626</v>
      </c>
      <c r="H1193">
        <v>1</v>
      </c>
    </row>
    <row r="1194" spans="1:8">
      <c r="A1194" t="s">
        <v>2828</v>
      </c>
      <c r="B1194" t="s">
        <v>269</v>
      </c>
      <c r="C1194" s="4">
        <v>45110</v>
      </c>
      <c r="D1194" t="s">
        <v>1655</v>
      </c>
      <c r="E1194" t="s">
        <v>1609</v>
      </c>
      <c r="F1194" s="5">
        <v>22.3</v>
      </c>
      <c r="G1194" t="s">
        <v>1630</v>
      </c>
      <c r="H1194">
        <v>4</v>
      </c>
    </row>
    <row r="1195" spans="1:8">
      <c r="A1195" t="s">
        <v>2829</v>
      </c>
      <c r="B1195" t="s">
        <v>1402</v>
      </c>
      <c r="C1195" s="4">
        <v>45166</v>
      </c>
      <c r="D1195" t="s">
        <v>1628</v>
      </c>
      <c r="E1195" t="s">
        <v>1629</v>
      </c>
      <c r="F1195" s="5">
        <v>11</v>
      </c>
      <c r="G1195" t="s">
        <v>1630</v>
      </c>
      <c r="H1195">
        <v>4</v>
      </c>
    </row>
    <row r="1196" spans="1:8">
      <c r="A1196" t="s">
        <v>2830</v>
      </c>
      <c r="B1196" t="s">
        <v>1337</v>
      </c>
      <c r="C1196" s="4">
        <v>46063</v>
      </c>
      <c r="D1196" t="s">
        <v>1625</v>
      </c>
      <c r="E1196" t="s">
        <v>1609</v>
      </c>
      <c r="F1196" s="5">
        <v>17.3</v>
      </c>
      <c r="G1196" t="s">
        <v>1630</v>
      </c>
      <c r="H1196">
        <v>2</v>
      </c>
    </row>
    <row r="1197" spans="1:8">
      <c r="A1197" t="s">
        <v>2831</v>
      </c>
      <c r="B1197" t="s">
        <v>1335</v>
      </c>
      <c r="C1197" s="4">
        <v>45653</v>
      </c>
      <c r="D1197" t="s">
        <v>1632</v>
      </c>
      <c r="E1197" t="s">
        <v>1648</v>
      </c>
      <c r="F1197" s="5">
        <v>30.5</v>
      </c>
      <c r="G1197" t="s">
        <v>1626</v>
      </c>
      <c r="H1197">
        <v>3</v>
      </c>
    </row>
    <row r="1198" spans="1:8">
      <c r="A1198" t="s">
        <v>2832</v>
      </c>
      <c r="B1198" t="s">
        <v>983</v>
      </c>
      <c r="C1198" s="4">
        <v>45456</v>
      </c>
      <c r="D1198" t="s">
        <v>1628</v>
      </c>
      <c r="E1198" t="s">
        <v>1633</v>
      </c>
      <c r="F1198" s="5">
        <v>14.9</v>
      </c>
      <c r="G1198" t="s">
        <v>1630</v>
      </c>
      <c r="H1198">
        <v>5</v>
      </c>
    </row>
    <row r="1199" spans="1:8">
      <c r="A1199" t="s">
        <v>2833</v>
      </c>
      <c r="B1199" t="s">
        <v>724</v>
      </c>
      <c r="C1199" s="4">
        <v>45673</v>
      </c>
      <c r="D1199" t="s">
        <v>1667</v>
      </c>
      <c r="E1199" t="s">
        <v>1609</v>
      </c>
      <c r="F1199" s="5">
        <v>0.6</v>
      </c>
      <c r="G1199" t="s">
        <v>1626</v>
      </c>
      <c r="H1199">
        <v>2</v>
      </c>
    </row>
    <row r="1200" spans="1:8">
      <c r="A1200" t="s">
        <v>2834</v>
      </c>
      <c r="B1200" t="s">
        <v>542</v>
      </c>
      <c r="C1200" s="4">
        <v>45618</v>
      </c>
      <c r="D1200" t="s">
        <v>1641</v>
      </c>
      <c r="E1200" t="s">
        <v>1609</v>
      </c>
      <c r="F1200" s="5">
        <v>0.2</v>
      </c>
      <c r="G1200" t="s">
        <v>1626</v>
      </c>
      <c r="H1200">
        <v>3</v>
      </c>
    </row>
    <row r="1201" spans="1:8">
      <c r="A1201" t="s">
        <v>2835</v>
      </c>
      <c r="B1201" t="s">
        <v>1012</v>
      </c>
      <c r="C1201" s="4">
        <v>45835</v>
      </c>
      <c r="D1201" t="s">
        <v>1641</v>
      </c>
      <c r="E1201" t="s">
        <v>1609</v>
      </c>
      <c r="F1201" s="5">
        <v>5.0999999999999996</v>
      </c>
      <c r="G1201" t="s">
        <v>1630</v>
      </c>
      <c r="H1201">
        <v>5</v>
      </c>
    </row>
    <row r="1202" spans="1:8">
      <c r="A1202" t="s">
        <v>2836</v>
      </c>
      <c r="B1202" t="s">
        <v>1335</v>
      </c>
      <c r="C1202" s="4">
        <v>45042</v>
      </c>
      <c r="D1202" t="s">
        <v>1632</v>
      </c>
      <c r="E1202" t="s">
        <v>1629</v>
      </c>
      <c r="F1202" s="5">
        <v>0.9</v>
      </c>
      <c r="G1202" t="s">
        <v>1630</v>
      </c>
      <c r="H1202">
        <v>4</v>
      </c>
    </row>
    <row r="1203" spans="1:8">
      <c r="A1203" t="s">
        <v>2837</v>
      </c>
      <c r="B1203" t="s">
        <v>146</v>
      </c>
      <c r="C1203" s="4">
        <v>46058</v>
      </c>
      <c r="D1203" t="s">
        <v>1632</v>
      </c>
      <c r="E1203" t="s">
        <v>1609</v>
      </c>
      <c r="F1203" s="5">
        <v>12.1</v>
      </c>
      <c r="G1203" t="s">
        <v>1630</v>
      </c>
      <c r="H1203">
        <v>2</v>
      </c>
    </row>
    <row r="1204" spans="1:8">
      <c r="A1204" t="s">
        <v>2838</v>
      </c>
      <c r="B1204" t="s">
        <v>365</v>
      </c>
      <c r="C1204" s="4">
        <v>45342</v>
      </c>
      <c r="D1204" t="s">
        <v>1632</v>
      </c>
      <c r="E1204" t="s">
        <v>1648</v>
      </c>
      <c r="F1204" s="5">
        <v>8</v>
      </c>
      <c r="G1204" t="s">
        <v>1630</v>
      </c>
      <c r="H1204">
        <v>4</v>
      </c>
    </row>
    <row r="1205" spans="1:8">
      <c r="A1205" t="s">
        <v>2839</v>
      </c>
      <c r="B1205" t="s">
        <v>960</v>
      </c>
      <c r="C1205" s="4">
        <v>45174</v>
      </c>
      <c r="D1205" t="s">
        <v>1641</v>
      </c>
      <c r="E1205" t="s">
        <v>1629</v>
      </c>
      <c r="F1205" s="5">
        <v>3.3</v>
      </c>
      <c r="G1205" t="s">
        <v>1630</v>
      </c>
      <c r="H1205">
        <v>4</v>
      </c>
    </row>
    <row r="1206" spans="1:8">
      <c r="A1206" t="s">
        <v>2840</v>
      </c>
      <c r="B1206" t="s">
        <v>1481</v>
      </c>
      <c r="C1206" s="4">
        <v>45785</v>
      </c>
      <c r="D1206" t="s">
        <v>1641</v>
      </c>
      <c r="E1206" t="s">
        <v>1609</v>
      </c>
      <c r="F1206" s="5">
        <v>18.399999999999999</v>
      </c>
      <c r="G1206" t="s">
        <v>1630</v>
      </c>
      <c r="H1206">
        <v>3</v>
      </c>
    </row>
    <row r="1207" spans="1:8">
      <c r="A1207" t="s">
        <v>2841</v>
      </c>
      <c r="B1207" t="s">
        <v>1035</v>
      </c>
      <c r="C1207" s="4">
        <v>44957</v>
      </c>
      <c r="D1207" t="s">
        <v>1632</v>
      </c>
      <c r="E1207" t="s">
        <v>1648</v>
      </c>
      <c r="F1207" s="5">
        <v>3.6</v>
      </c>
      <c r="G1207" t="s">
        <v>1630</v>
      </c>
      <c r="H1207">
        <v>5</v>
      </c>
    </row>
    <row r="1208" spans="1:8">
      <c r="A1208" t="s">
        <v>2842</v>
      </c>
      <c r="B1208" t="s">
        <v>157</v>
      </c>
      <c r="C1208" s="4">
        <v>44957</v>
      </c>
      <c r="D1208" t="s">
        <v>1628</v>
      </c>
      <c r="E1208" t="s">
        <v>1633</v>
      </c>
      <c r="F1208" s="5">
        <v>8.8000000000000007</v>
      </c>
      <c r="G1208" t="s">
        <v>1630</v>
      </c>
      <c r="H1208">
        <v>2</v>
      </c>
    </row>
    <row r="1209" spans="1:8">
      <c r="A1209" t="s">
        <v>2843</v>
      </c>
      <c r="B1209" t="s">
        <v>525</v>
      </c>
      <c r="C1209" s="4">
        <v>45736</v>
      </c>
      <c r="D1209" t="s">
        <v>1667</v>
      </c>
      <c r="E1209" t="s">
        <v>1605</v>
      </c>
      <c r="F1209" s="5">
        <v>28.1</v>
      </c>
      <c r="G1209" t="s">
        <v>1630</v>
      </c>
      <c r="H1209">
        <v>5</v>
      </c>
    </row>
    <row r="1210" spans="1:8">
      <c r="A1210" t="s">
        <v>2844</v>
      </c>
      <c r="B1210" t="s">
        <v>175</v>
      </c>
      <c r="C1210" s="4">
        <v>45714</v>
      </c>
      <c r="D1210" t="s">
        <v>1641</v>
      </c>
      <c r="E1210" t="s">
        <v>1629</v>
      </c>
      <c r="F1210" s="5">
        <v>6.4</v>
      </c>
      <c r="G1210" t="s">
        <v>1626</v>
      </c>
      <c r="H1210">
        <v>2</v>
      </c>
    </row>
    <row r="1211" spans="1:8">
      <c r="A1211" t="s">
        <v>2845</v>
      </c>
      <c r="B1211" t="s">
        <v>827</v>
      </c>
      <c r="C1211" s="4">
        <v>45893</v>
      </c>
      <c r="D1211" t="s">
        <v>1628</v>
      </c>
      <c r="E1211" t="s">
        <v>1629</v>
      </c>
      <c r="F1211" s="5">
        <v>9.1999999999999993</v>
      </c>
      <c r="G1211" t="s">
        <v>1630</v>
      </c>
      <c r="H1211">
        <v>4</v>
      </c>
    </row>
    <row r="1212" spans="1:8">
      <c r="A1212" t="s">
        <v>2846</v>
      </c>
      <c r="B1212" t="s">
        <v>1145</v>
      </c>
      <c r="C1212" s="4">
        <v>45169</v>
      </c>
      <c r="D1212" t="s">
        <v>1628</v>
      </c>
      <c r="E1212" t="s">
        <v>1633</v>
      </c>
      <c r="F1212" s="5">
        <v>9.6</v>
      </c>
      <c r="G1212" t="s">
        <v>1626</v>
      </c>
      <c r="H1212">
        <v>1</v>
      </c>
    </row>
    <row r="1213" spans="1:8">
      <c r="A1213" t="s">
        <v>2847</v>
      </c>
      <c r="B1213" t="s">
        <v>285</v>
      </c>
      <c r="C1213" s="4">
        <v>45586</v>
      </c>
      <c r="D1213" t="s">
        <v>1628</v>
      </c>
      <c r="E1213" t="s">
        <v>1609</v>
      </c>
      <c r="F1213" s="5">
        <v>14.6</v>
      </c>
      <c r="G1213" t="s">
        <v>1626</v>
      </c>
      <c r="H1213">
        <v>1</v>
      </c>
    </row>
    <row r="1214" spans="1:8">
      <c r="A1214" t="s">
        <v>2848</v>
      </c>
      <c r="B1214" t="s">
        <v>812</v>
      </c>
      <c r="C1214" s="4">
        <v>45075</v>
      </c>
      <c r="D1214" t="s">
        <v>1628</v>
      </c>
      <c r="E1214" t="s">
        <v>1609</v>
      </c>
      <c r="F1214" s="5">
        <v>2</v>
      </c>
      <c r="G1214" t="s">
        <v>1630</v>
      </c>
      <c r="H1214">
        <v>5</v>
      </c>
    </row>
    <row r="1215" spans="1:8">
      <c r="A1215" t="s">
        <v>2849</v>
      </c>
      <c r="B1215" t="s">
        <v>1344</v>
      </c>
      <c r="C1215" s="4">
        <v>45455</v>
      </c>
      <c r="D1215" t="s">
        <v>1637</v>
      </c>
      <c r="E1215" t="s">
        <v>1605</v>
      </c>
      <c r="F1215" s="5">
        <v>2.7</v>
      </c>
      <c r="G1215" t="s">
        <v>1630</v>
      </c>
      <c r="H1215">
        <v>1</v>
      </c>
    </row>
    <row r="1216" spans="1:8">
      <c r="A1216" t="s">
        <v>2850</v>
      </c>
      <c r="B1216" t="s">
        <v>1145</v>
      </c>
      <c r="C1216" s="4">
        <v>46029</v>
      </c>
      <c r="D1216" t="s">
        <v>1637</v>
      </c>
      <c r="E1216" t="s">
        <v>1648</v>
      </c>
      <c r="F1216" s="5">
        <v>1.2</v>
      </c>
      <c r="G1216" t="s">
        <v>1630</v>
      </c>
      <c r="H1216">
        <v>3</v>
      </c>
    </row>
    <row r="1217" spans="1:8">
      <c r="A1217" t="s">
        <v>2851</v>
      </c>
      <c r="B1217" t="s">
        <v>977</v>
      </c>
      <c r="C1217" s="4">
        <v>45062</v>
      </c>
      <c r="D1217" t="s">
        <v>1628</v>
      </c>
      <c r="E1217" t="s">
        <v>1609</v>
      </c>
      <c r="F1217" s="5">
        <v>2.9</v>
      </c>
      <c r="G1217" t="s">
        <v>1630</v>
      </c>
      <c r="H1217">
        <v>4</v>
      </c>
    </row>
    <row r="1218" spans="1:8">
      <c r="A1218" t="s">
        <v>2852</v>
      </c>
      <c r="B1218" t="s">
        <v>1117</v>
      </c>
      <c r="C1218" s="4">
        <v>45079</v>
      </c>
      <c r="D1218" t="s">
        <v>1655</v>
      </c>
      <c r="E1218" t="s">
        <v>1633</v>
      </c>
      <c r="F1218" s="5">
        <v>15.6</v>
      </c>
      <c r="G1218" t="s">
        <v>1630</v>
      </c>
      <c r="H1218">
        <v>1</v>
      </c>
    </row>
    <row r="1219" spans="1:8">
      <c r="A1219" t="s">
        <v>2853</v>
      </c>
      <c r="B1219" t="s">
        <v>786</v>
      </c>
      <c r="C1219" s="4">
        <v>45072</v>
      </c>
      <c r="D1219" t="s">
        <v>1625</v>
      </c>
      <c r="E1219" t="s">
        <v>1633</v>
      </c>
      <c r="F1219" s="5">
        <v>11.5</v>
      </c>
      <c r="G1219" t="s">
        <v>1630</v>
      </c>
      <c r="H1219">
        <v>4</v>
      </c>
    </row>
    <row r="1220" spans="1:8">
      <c r="A1220" t="s">
        <v>2854</v>
      </c>
      <c r="B1220" t="s">
        <v>1250</v>
      </c>
      <c r="C1220" s="4">
        <v>45522</v>
      </c>
      <c r="D1220" t="s">
        <v>1625</v>
      </c>
      <c r="E1220" t="s">
        <v>1605</v>
      </c>
      <c r="F1220" s="5">
        <v>2.1</v>
      </c>
      <c r="G1220" t="s">
        <v>1626</v>
      </c>
      <c r="H1220">
        <v>3</v>
      </c>
    </row>
    <row r="1221" spans="1:8">
      <c r="A1221" t="s">
        <v>2855</v>
      </c>
      <c r="B1221" t="s">
        <v>1461</v>
      </c>
      <c r="C1221" s="4">
        <v>45602</v>
      </c>
      <c r="D1221" t="s">
        <v>1628</v>
      </c>
      <c r="E1221" t="s">
        <v>1648</v>
      </c>
      <c r="F1221" s="5">
        <v>0.8</v>
      </c>
      <c r="G1221" t="s">
        <v>1630</v>
      </c>
      <c r="H1221">
        <v>1</v>
      </c>
    </row>
    <row r="1222" spans="1:8">
      <c r="A1222" t="s">
        <v>2856</v>
      </c>
      <c r="B1222" t="s">
        <v>1411</v>
      </c>
      <c r="C1222" s="4">
        <v>45169</v>
      </c>
      <c r="D1222" t="s">
        <v>1637</v>
      </c>
      <c r="E1222" t="s">
        <v>1633</v>
      </c>
      <c r="F1222" s="5">
        <v>19.5</v>
      </c>
      <c r="G1222" t="s">
        <v>1630</v>
      </c>
      <c r="H1222">
        <v>2</v>
      </c>
    </row>
    <row r="1223" spans="1:8">
      <c r="A1223" t="s">
        <v>2857</v>
      </c>
      <c r="B1223" t="s">
        <v>960</v>
      </c>
      <c r="C1223" s="4">
        <v>45962</v>
      </c>
      <c r="D1223" t="s">
        <v>1655</v>
      </c>
      <c r="E1223" t="s">
        <v>1648</v>
      </c>
      <c r="F1223" s="5">
        <v>12.4</v>
      </c>
      <c r="G1223" t="s">
        <v>1626</v>
      </c>
      <c r="H1223">
        <v>1</v>
      </c>
    </row>
    <row r="1224" spans="1:8">
      <c r="A1224" t="s">
        <v>2858</v>
      </c>
      <c r="B1224" t="s">
        <v>710</v>
      </c>
      <c r="C1224" s="4">
        <v>45894</v>
      </c>
      <c r="D1224" t="s">
        <v>1628</v>
      </c>
      <c r="E1224" t="s">
        <v>1633</v>
      </c>
      <c r="F1224" s="5">
        <v>3.1</v>
      </c>
      <c r="G1224" t="s">
        <v>1630</v>
      </c>
      <c r="H1224">
        <v>1</v>
      </c>
    </row>
    <row r="1225" spans="1:8">
      <c r="A1225" t="s">
        <v>2859</v>
      </c>
      <c r="B1225" t="s">
        <v>380</v>
      </c>
      <c r="C1225" s="4">
        <v>46045</v>
      </c>
      <c r="D1225" t="s">
        <v>1655</v>
      </c>
      <c r="E1225" t="s">
        <v>1629</v>
      </c>
      <c r="F1225" s="5">
        <v>19.100000000000001</v>
      </c>
      <c r="G1225" t="s">
        <v>1630</v>
      </c>
      <c r="H1225">
        <v>1</v>
      </c>
    </row>
    <row r="1226" spans="1:8">
      <c r="A1226" t="s">
        <v>2860</v>
      </c>
      <c r="B1226" t="s">
        <v>374</v>
      </c>
      <c r="C1226" s="4">
        <v>45406</v>
      </c>
      <c r="D1226" t="s">
        <v>1641</v>
      </c>
      <c r="E1226" t="s">
        <v>1648</v>
      </c>
      <c r="F1226" s="5">
        <v>5.5</v>
      </c>
      <c r="G1226" t="s">
        <v>1630</v>
      </c>
      <c r="H1226">
        <v>3</v>
      </c>
    </row>
    <row r="1227" spans="1:8">
      <c r="A1227" t="s">
        <v>2861</v>
      </c>
      <c r="B1227" t="s">
        <v>607</v>
      </c>
      <c r="C1227" s="4">
        <v>45243</v>
      </c>
      <c r="D1227" t="s">
        <v>1625</v>
      </c>
      <c r="E1227" t="s">
        <v>1609</v>
      </c>
      <c r="F1227" s="5">
        <v>11.5</v>
      </c>
      <c r="G1227" t="s">
        <v>1630</v>
      </c>
      <c r="H1227">
        <v>4</v>
      </c>
    </row>
    <row r="1228" spans="1:8">
      <c r="A1228" t="s">
        <v>2862</v>
      </c>
      <c r="B1228" t="s">
        <v>426</v>
      </c>
      <c r="C1228" s="4">
        <v>45392</v>
      </c>
      <c r="D1228" t="s">
        <v>1632</v>
      </c>
      <c r="E1228" t="s">
        <v>1609</v>
      </c>
      <c r="F1228" s="5">
        <v>1.3</v>
      </c>
      <c r="G1228" t="s">
        <v>1630</v>
      </c>
      <c r="H1228">
        <v>4</v>
      </c>
    </row>
    <row r="1229" spans="1:8">
      <c r="A1229" t="s">
        <v>2863</v>
      </c>
      <c r="B1229" t="s">
        <v>1333</v>
      </c>
      <c r="C1229" s="4">
        <v>45684</v>
      </c>
      <c r="D1229" t="s">
        <v>1655</v>
      </c>
      <c r="E1229" t="s">
        <v>1629</v>
      </c>
      <c r="F1229" s="5">
        <v>11.9</v>
      </c>
      <c r="G1229" t="s">
        <v>1630</v>
      </c>
      <c r="H1229">
        <v>1</v>
      </c>
    </row>
    <row r="1230" spans="1:8">
      <c r="A1230" t="s">
        <v>2864</v>
      </c>
      <c r="B1230" t="s">
        <v>769</v>
      </c>
      <c r="C1230" s="4">
        <v>45059</v>
      </c>
      <c r="D1230" t="s">
        <v>1625</v>
      </c>
      <c r="E1230" t="s">
        <v>1609</v>
      </c>
      <c r="F1230" s="5">
        <v>4.9000000000000004</v>
      </c>
      <c r="G1230" t="s">
        <v>1630</v>
      </c>
      <c r="H1230">
        <v>5</v>
      </c>
    </row>
    <row r="1231" spans="1:8">
      <c r="A1231" t="s">
        <v>2865</v>
      </c>
      <c r="B1231" t="s">
        <v>923</v>
      </c>
      <c r="C1231" s="4">
        <v>45177</v>
      </c>
      <c r="D1231" t="s">
        <v>1625</v>
      </c>
      <c r="E1231" t="s">
        <v>1633</v>
      </c>
      <c r="F1231" s="5">
        <v>11.2</v>
      </c>
      <c r="G1231" t="s">
        <v>1630</v>
      </c>
      <c r="H1231">
        <v>2</v>
      </c>
    </row>
    <row r="1232" spans="1:8">
      <c r="A1232" t="s">
        <v>2866</v>
      </c>
      <c r="B1232" t="s">
        <v>947</v>
      </c>
      <c r="C1232" s="4">
        <v>45052</v>
      </c>
      <c r="D1232" t="s">
        <v>1628</v>
      </c>
      <c r="E1232" t="s">
        <v>1629</v>
      </c>
      <c r="F1232" s="5">
        <v>3.1</v>
      </c>
      <c r="G1232" t="s">
        <v>1626</v>
      </c>
      <c r="H1232">
        <v>3</v>
      </c>
    </row>
    <row r="1233" spans="1:8">
      <c r="A1233" t="s">
        <v>2867</v>
      </c>
      <c r="B1233" t="s">
        <v>113</v>
      </c>
      <c r="C1233" s="4">
        <v>45307</v>
      </c>
      <c r="D1233" t="s">
        <v>1637</v>
      </c>
      <c r="E1233" t="s">
        <v>1633</v>
      </c>
      <c r="F1233" s="5">
        <v>13.8</v>
      </c>
      <c r="G1233" t="s">
        <v>1626</v>
      </c>
      <c r="H1233">
        <v>3</v>
      </c>
    </row>
    <row r="1234" spans="1:8">
      <c r="A1234" t="s">
        <v>2868</v>
      </c>
      <c r="B1234" t="s">
        <v>1441</v>
      </c>
      <c r="C1234" s="4">
        <v>45591</v>
      </c>
      <c r="D1234" t="s">
        <v>1632</v>
      </c>
      <c r="E1234" t="s">
        <v>1605</v>
      </c>
      <c r="F1234" s="5">
        <v>3.9</v>
      </c>
      <c r="G1234" t="s">
        <v>1630</v>
      </c>
      <c r="H1234">
        <v>2</v>
      </c>
    </row>
    <row r="1235" spans="1:8">
      <c r="A1235" t="s">
        <v>2869</v>
      </c>
      <c r="B1235" t="s">
        <v>729</v>
      </c>
      <c r="C1235" s="4">
        <v>45458</v>
      </c>
      <c r="D1235" t="s">
        <v>1655</v>
      </c>
      <c r="E1235" t="s">
        <v>1629</v>
      </c>
      <c r="F1235" s="5">
        <v>9.1999999999999993</v>
      </c>
      <c r="G1235" t="s">
        <v>1630</v>
      </c>
      <c r="H1235">
        <v>2</v>
      </c>
    </row>
    <row r="1236" spans="1:8">
      <c r="A1236" t="s">
        <v>2870</v>
      </c>
      <c r="B1236" t="s">
        <v>1499</v>
      </c>
      <c r="C1236" s="4">
        <v>45850</v>
      </c>
      <c r="D1236" t="s">
        <v>1628</v>
      </c>
      <c r="E1236" t="s">
        <v>1648</v>
      </c>
      <c r="F1236" s="5">
        <v>14.4</v>
      </c>
      <c r="G1236" t="s">
        <v>1626</v>
      </c>
      <c r="H1236">
        <v>2</v>
      </c>
    </row>
    <row r="1237" spans="1:8">
      <c r="A1237" t="s">
        <v>2871</v>
      </c>
      <c r="B1237" t="s">
        <v>853</v>
      </c>
      <c r="C1237" s="4">
        <v>45804</v>
      </c>
      <c r="D1237" t="s">
        <v>1628</v>
      </c>
      <c r="E1237" t="s">
        <v>1609</v>
      </c>
      <c r="F1237" s="5">
        <v>4.7</v>
      </c>
      <c r="G1237" t="s">
        <v>1626</v>
      </c>
      <c r="H1237">
        <v>3</v>
      </c>
    </row>
    <row r="1238" spans="1:8">
      <c r="A1238" t="s">
        <v>2872</v>
      </c>
      <c r="B1238" t="s">
        <v>510</v>
      </c>
      <c r="C1238" s="4">
        <v>45221</v>
      </c>
      <c r="D1238" t="s">
        <v>1641</v>
      </c>
      <c r="E1238" t="s">
        <v>1609</v>
      </c>
      <c r="F1238" s="5">
        <v>15.7</v>
      </c>
      <c r="G1238" t="s">
        <v>1630</v>
      </c>
      <c r="H1238">
        <v>3</v>
      </c>
    </row>
    <row r="1239" spans="1:8">
      <c r="A1239" t="s">
        <v>2873</v>
      </c>
      <c r="B1239" t="s">
        <v>514</v>
      </c>
      <c r="C1239" s="4">
        <v>46050</v>
      </c>
      <c r="D1239" t="s">
        <v>1667</v>
      </c>
      <c r="E1239" t="s">
        <v>1629</v>
      </c>
      <c r="F1239" s="5">
        <v>5.2</v>
      </c>
      <c r="G1239" t="s">
        <v>1630</v>
      </c>
      <c r="H1239">
        <v>3</v>
      </c>
    </row>
    <row r="1240" spans="1:8">
      <c r="A1240" t="s">
        <v>2874</v>
      </c>
      <c r="B1240" t="s">
        <v>1122</v>
      </c>
      <c r="C1240" s="4">
        <v>45183</v>
      </c>
      <c r="D1240" t="s">
        <v>1628</v>
      </c>
      <c r="E1240" t="s">
        <v>1648</v>
      </c>
      <c r="F1240" s="5">
        <v>4.5</v>
      </c>
      <c r="G1240" t="s">
        <v>1630</v>
      </c>
      <c r="H1240">
        <v>4</v>
      </c>
    </row>
    <row r="1241" spans="1:8">
      <c r="A1241" t="s">
        <v>2875</v>
      </c>
      <c r="B1241" t="s">
        <v>1126</v>
      </c>
      <c r="C1241" s="4">
        <v>45033</v>
      </c>
      <c r="D1241" t="s">
        <v>1625</v>
      </c>
      <c r="E1241" t="s">
        <v>1609</v>
      </c>
      <c r="F1241" s="5">
        <v>12.8</v>
      </c>
      <c r="G1241" t="s">
        <v>1630</v>
      </c>
      <c r="H1241">
        <v>5</v>
      </c>
    </row>
    <row r="1242" spans="1:8">
      <c r="A1242" t="s">
        <v>2876</v>
      </c>
      <c r="B1242" t="s">
        <v>820</v>
      </c>
      <c r="C1242" s="4">
        <v>46138</v>
      </c>
      <c r="D1242" t="s">
        <v>1632</v>
      </c>
      <c r="E1242" t="s">
        <v>1605</v>
      </c>
      <c r="F1242" s="5">
        <v>0.5</v>
      </c>
      <c r="G1242" t="s">
        <v>1630</v>
      </c>
      <c r="H1242">
        <v>3</v>
      </c>
    </row>
    <row r="1243" spans="1:8">
      <c r="A1243" t="s">
        <v>2877</v>
      </c>
      <c r="B1243" t="s">
        <v>1361</v>
      </c>
      <c r="C1243" s="4">
        <v>45408</v>
      </c>
      <c r="D1243" t="s">
        <v>1628</v>
      </c>
      <c r="E1243" t="s">
        <v>1633</v>
      </c>
      <c r="F1243" s="5">
        <v>12.4</v>
      </c>
      <c r="G1243" t="s">
        <v>1630</v>
      </c>
      <c r="H1243">
        <v>5</v>
      </c>
    </row>
    <row r="1244" spans="1:8">
      <c r="A1244" t="s">
        <v>2878</v>
      </c>
      <c r="B1244" t="s">
        <v>1351</v>
      </c>
      <c r="C1244" s="4">
        <v>45223</v>
      </c>
      <c r="D1244" t="s">
        <v>1641</v>
      </c>
      <c r="E1244" t="s">
        <v>1648</v>
      </c>
      <c r="F1244" s="5">
        <v>4.3</v>
      </c>
      <c r="G1244" t="s">
        <v>1630</v>
      </c>
      <c r="H1244">
        <v>3</v>
      </c>
    </row>
    <row r="1245" spans="1:8">
      <c r="A1245" t="s">
        <v>2879</v>
      </c>
      <c r="B1245" t="s">
        <v>1107</v>
      </c>
      <c r="C1245" s="4">
        <v>45847</v>
      </c>
      <c r="D1245" t="s">
        <v>1625</v>
      </c>
      <c r="E1245" t="s">
        <v>1633</v>
      </c>
      <c r="F1245" s="5">
        <v>12</v>
      </c>
      <c r="G1245" t="s">
        <v>1630</v>
      </c>
      <c r="H1245">
        <v>3</v>
      </c>
    </row>
    <row r="1246" spans="1:8">
      <c r="A1246" t="s">
        <v>2880</v>
      </c>
      <c r="B1246" t="s">
        <v>847</v>
      </c>
      <c r="C1246" s="4">
        <v>45849</v>
      </c>
      <c r="D1246" t="s">
        <v>1628</v>
      </c>
      <c r="E1246" t="s">
        <v>1629</v>
      </c>
      <c r="F1246" s="5">
        <v>5.5</v>
      </c>
      <c r="G1246" t="s">
        <v>1626</v>
      </c>
      <c r="H1246">
        <v>2</v>
      </c>
    </row>
    <row r="1247" spans="1:8">
      <c r="A1247" t="s">
        <v>2881</v>
      </c>
      <c r="B1247" t="s">
        <v>1266</v>
      </c>
      <c r="C1247" s="4">
        <v>45621</v>
      </c>
      <c r="D1247" t="s">
        <v>1625</v>
      </c>
      <c r="E1247" t="s">
        <v>1605</v>
      </c>
      <c r="F1247" s="5">
        <v>4.5999999999999996</v>
      </c>
      <c r="G1247" t="s">
        <v>1630</v>
      </c>
      <c r="H1247">
        <v>1</v>
      </c>
    </row>
    <row r="1248" spans="1:8">
      <c r="A1248" t="s">
        <v>2882</v>
      </c>
      <c r="B1248" t="s">
        <v>575</v>
      </c>
      <c r="C1248" s="4">
        <v>46006</v>
      </c>
      <c r="D1248" t="s">
        <v>1628</v>
      </c>
      <c r="E1248" t="s">
        <v>1605</v>
      </c>
      <c r="F1248" s="5">
        <v>5.2</v>
      </c>
      <c r="G1248" t="s">
        <v>1626</v>
      </c>
      <c r="H1248">
        <v>3</v>
      </c>
    </row>
    <row r="1249" spans="1:8">
      <c r="A1249" t="s">
        <v>2883</v>
      </c>
      <c r="B1249" t="s">
        <v>1431</v>
      </c>
      <c r="C1249" s="4">
        <v>45193</v>
      </c>
      <c r="D1249" t="s">
        <v>1625</v>
      </c>
      <c r="E1249" t="s">
        <v>1605</v>
      </c>
      <c r="F1249" s="5">
        <v>1.6</v>
      </c>
      <c r="G1249" t="s">
        <v>1630</v>
      </c>
      <c r="H1249">
        <v>2</v>
      </c>
    </row>
    <row r="1250" spans="1:8">
      <c r="A1250" t="s">
        <v>2884</v>
      </c>
      <c r="B1250" t="s">
        <v>1559</v>
      </c>
      <c r="C1250" s="4">
        <v>45228</v>
      </c>
      <c r="D1250" t="s">
        <v>1641</v>
      </c>
      <c r="E1250" t="s">
        <v>1609</v>
      </c>
      <c r="F1250" s="5">
        <v>11.5</v>
      </c>
      <c r="G1250" t="s">
        <v>1626</v>
      </c>
      <c r="H1250">
        <v>2</v>
      </c>
    </row>
    <row r="1251" spans="1:8">
      <c r="A1251" t="s">
        <v>2885</v>
      </c>
      <c r="B1251" t="s">
        <v>1185</v>
      </c>
      <c r="C1251" s="4">
        <v>45930</v>
      </c>
      <c r="D1251" t="s">
        <v>1625</v>
      </c>
      <c r="E1251" t="s">
        <v>1609</v>
      </c>
      <c r="F1251" s="5">
        <v>27.7</v>
      </c>
      <c r="G1251" t="s">
        <v>1630</v>
      </c>
      <c r="H1251">
        <v>2</v>
      </c>
    </row>
    <row r="1252" spans="1:8">
      <c r="A1252" t="s">
        <v>2886</v>
      </c>
      <c r="B1252" t="s">
        <v>220</v>
      </c>
      <c r="C1252" s="4">
        <v>45530</v>
      </c>
      <c r="D1252" t="s">
        <v>1628</v>
      </c>
      <c r="E1252" t="s">
        <v>1648</v>
      </c>
      <c r="F1252" s="5">
        <v>3.7</v>
      </c>
      <c r="G1252" t="s">
        <v>1630</v>
      </c>
      <c r="H1252">
        <v>5</v>
      </c>
    </row>
    <row r="1253" spans="1:8">
      <c r="A1253" t="s">
        <v>2887</v>
      </c>
      <c r="B1253" t="s">
        <v>837</v>
      </c>
      <c r="C1253" s="4">
        <v>46108</v>
      </c>
      <c r="D1253" t="s">
        <v>1641</v>
      </c>
      <c r="E1253" t="s">
        <v>1609</v>
      </c>
      <c r="F1253" s="5">
        <v>3.8</v>
      </c>
      <c r="G1253" t="s">
        <v>1626</v>
      </c>
      <c r="H1253">
        <v>2</v>
      </c>
    </row>
    <row r="1254" spans="1:8">
      <c r="A1254" t="s">
        <v>2888</v>
      </c>
      <c r="B1254" t="s">
        <v>1571</v>
      </c>
      <c r="C1254" s="4">
        <v>46111</v>
      </c>
      <c r="D1254" t="s">
        <v>1628</v>
      </c>
      <c r="E1254" t="s">
        <v>1648</v>
      </c>
      <c r="F1254" s="5">
        <v>15.5</v>
      </c>
      <c r="G1254" t="s">
        <v>1630</v>
      </c>
      <c r="H1254">
        <v>1</v>
      </c>
    </row>
    <row r="1255" spans="1:8">
      <c r="A1255" t="s">
        <v>2889</v>
      </c>
      <c r="B1255" t="s">
        <v>1506</v>
      </c>
      <c r="C1255" s="4">
        <v>45296</v>
      </c>
      <c r="D1255" t="s">
        <v>1632</v>
      </c>
      <c r="E1255" t="s">
        <v>1648</v>
      </c>
      <c r="F1255" s="5">
        <v>12.7</v>
      </c>
      <c r="G1255" t="s">
        <v>1630</v>
      </c>
      <c r="H1255">
        <v>3</v>
      </c>
    </row>
    <row r="1256" spans="1:8">
      <c r="A1256" t="s">
        <v>2890</v>
      </c>
      <c r="B1256" t="s">
        <v>470</v>
      </c>
      <c r="C1256" s="4">
        <v>45741</v>
      </c>
      <c r="D1256" t="s">
        <v>1628</v>
      </c>
      <c r="E1256" t="s">
        <v>1609</v>
      </c>
      <c r="F1256" s="5">
        <v>0.5</v>
      </c>
      <c r="G1256" t="s">
        <v>1630</v>
      </c>
      <c r="H1256">
        <v>1</v>
      </c>
    </row>
    <row r="1257" spans="1:8">
      <c r="A1257" t="s">
        <v>2891</v>
      </c>
      <c r="B1257" t="s">
        <v>905</v>
      </c>
      <c r="C1257" s="4">
        <v>45878</v>
      </c>
      <c r="D1257" t="s">
        <v>1637</v>
      </c>
      <c r="E1257" t="s">
        <v>1609</v>
      </c>
      <c r="F1257" s="5">
        <v>20.399999999999999</v>
      </c>
      <c r="G1257" t="s">
        <v>1630</v>
      </c>
      <c r="H1257">
        <v>1</v>
      </c>
    </row>
    <row r="1258" spans="1:8">
      <c r="A1258" t="s">
        <v>2892</v>
      </c>
      <c r="B1258" t="s">
        <v>831</v>
      </c>
      <c r="C1258" s="4">
        <v>45324</v>
      </c>
      <c r="D1258" t="s">
        <v>1625</v>
      </c>
      <c r="E1258" t="s">
        <v>1609</v>
      </c>
      <c r="F1258" s="5">
        <v>17.5</v>
      </c>
      <c r="G1258" t="s">
        <v>1630</v>
      </c>
      <c r="H1258">
        <v>1</v>
      </c>
    </row>
    <row r="1259" spans="1:8">
      <c r="A1259" t="s">
        <v>2893</v>
      </c>
      <c r="B1259" t="s">
        <v>662</v>
      </c>
      <c r="C1259" s="4">
        <v>46121</v>
      </c>
      <c r="D1259" t="s">
        <v>1628</v>
      </c>
      <c r="E1259" t="s">
        <v>1605</v>
      </c>
      <c r="F1259" s="5">
        <v>4.3</v>
      </c>
      <c r="G1259" t="s">
        <v>1630</v>
      </c>
      <c r="H1259">
        <v>3</v>
      </c>
    </row>
    <row r="1260" spans="1:8">
      <c r="A1260" t="s">
        <v>2894</v>
      </c>
      <c r="B1260" t="s">
        <v>1529</v>
      </c>
      <c r="C1260" s="4">
        <v>45499</v>
      </c>
      <c r="D1260" t="s">
        <v>1625</v>
      </c>
      <c r="E1260" t="s">
        <v>1605</v>
      </c>
      <c r="F1260" s="5">
        <v>15.3</v>
      </c>
      <c r="G1260" t="s">
        <v>1626</v>
      </c>
      <c r="H1260">
        <v>2</v>
      </c>
    </row>
    <row r="1261" spans="1:8">
      <c r="A1261" t="s">
        <v>2895</v>
      </c>
      <c r="B1261" t="s">
        <v>423</v>
      </c>
      <c r="C1261" s="4">
        <v>46080</v>
      </c>
      <c r="D1261" t="s">
        <v>1628</v>
      </c>
      <c r="E1261" t="s">
        <v>1629</v>
      </c>
      <c r="F1261" s="5">
        <v>4.5</v>
      </c>
      <c r="G1261" t="s">
        <v>1630</v>
      </c>
      <c r="H1261">
        <v>5</v>
      </c>
    </row>
    <row r="1262" spans="1:8">
      <c r="A1262" t="s">
        <v>2896</v>
      </c>
      <c r="B1262" t="s">
        <v>63</v>
      </c>
      <c r="C1262" s="4">
        <v>46032</v>
      </c>
      <c r="D1262" t="s">
        <v>1628</v>
      </c>
      <c r="E1262" t="s">
        <v>1648</v>
      </c>
      <c r="F1262" s="5">
        <v>0.3</v>
      </c>
      <c r="G1262" t="s">
        <v>1630</v>
      </c>
      <c r="H1262">
        <v>3</v>
      </c>
    </row>
    <row r="1263" spans="1:8">
      <c r="A1263" t="s">
        <v>2897</v>
      </c>
      <c r="B1263" t="s">
        <v>608</v>
      </c>
      <c r="C1263" s="4">
        <v>45051</v>
      </c>
      <c r="D1263" t="s">
        <v>1628</v>
      </c>
      <c r="E1263" t="s">
        <v>1633</v>
      </c>
      <c r="F1263" s="5">
        <v>7.7</v>
      </c>
      <c r="G1263" t="s">
        <v>1630</v>
      </c>
      <c r="H1263">
        <v>5</v>
      </c>
    </row>
    <row r="1264" spans="1:8">
      <c r="A1264" t="s">
        <v>2898</v>
      </c>
      <c r="B1264" t="s">
        <v>718</v>
      </c>
      <c r="C1264" s="4">
        <v>45149</v>
      </c>
      <c r="D1264" t="s">
        <v>1632</v>
      </c>
      <c r="E1264" t="s">
        <v>1605</v>
      </c>
      <c r="F1264" s="5">
        <v>10.7</v>
      </c>
      <c r="G1264" t="s">
        <v>1630</v>
      </c>
      <c r="H1264">
        <v>4</v>
      </c>
    </row>
    <row r="1265" spans="1:8">
      <c r="A1265" t="s">
        <v>2899</v>
      </c>
      <c r="B1265" t="s">
        <v>1254</v>
      </c>
      <c r="C1265" s="4">
        <v>45250</v>
      </c>
      <c r="D1265" t="s">
        <v>1667</v>
      </c>
      <c r="E1265" t="s">
        <v>1629</v>
      </c>
      <c r="F1265" s="5">
        <v>1.6</v>
      </c>
      <c r="G1265" t="s">
        <v>1626</v>
      </c>
      <c r="H1265">
        <v>1</v>
      </c>
    </row>
    <row r="1266" spans="1:8">
      <c r="A1266" t="s">
        <v>2900</v>
      </c>
      <c r="B1266" t="s">
        <v>1501</v>
      </c>
      <c r="C1266" s="4">
        <v>46099</v>
      </c>
      <c r="D1266" t="s">
        <v>1628</v>
      </c>
      <c r="E1266" t="s">
        <v>1629</v>
      </c>
      <c r="F1266" s="5">
        <v>2</v>
      </c>
      <c r="G1266" t="s">
        <v>1630</v>
      </c>
      <c r="H1266">
        <v>3</v>
      </c>
    </row>
    <row r="1267" spans="1:8">
      <c r="A1267" t="s">
        <v>2901</v>
      </c>
      <c r="B1267" t="s">
        <v>1595</v>
      </c>
      <c r="C1267" s="4">
        <v>46080</v>
      </c>
      <c r="D1267" t="s">
        <v>1655</v>
      </c>
      <c r="E1267" t="s">
        <v>1609</v>
      </c>
      <c r="F1267" s="5">
        <v>1.1000000000000001</v>
      </c>
      <c r="G1267" t="s">
        <v>1630</v>
      </c>
      <c r="H1267">
        <v>4</v>
      </c>
    </row>
    <row r="1268" spans="1:8">
      <c r="A1268" t="s">
        <v>2902</v>
      </c>
      <c r="B1268" t="s">
        <v>908</v>
      </c>
      <c r="C1268" s="4">
        <v>45736</v>
      </c>
      <c r="D1268" t="s">
        <v>1632</v>
      </c>
      <c r="E1268" t="s">
        <v>1605</v>
      </c>
      <c r="F1268" s="5">
        <v>4.8</v>
      </c>
      <c r="G1268" t="s">
        <v>1630</v>
      </c>
      <c r="H1268">
        <v>3</v>
      </c>
    </row>
    <row r="1269" spans="1:8">
      <c r="A1269" t="s">
        <v>2903</v>
      </c>
      <c r="B1269" t="s">
        <v>766</v>
      </c>
      <c r="C1269" s="4">
        <v>45347</v>
      </c>
      <c r="D1269" t="s">
        <v>1641</v>
      </c>
      <c r="E1269" t="s">
        <v>1633</v>
      </c>
      <c r="F1269" s="5">
        <v>7.8</v>
      </c>
      <c r="G1269" t="s">
        <v>1630</v>
      </c>
      <c r="H1269">
        <v>3</v>
      </c>
    </row>
    <row r="1270" spans="1:8">
      <c r="A1270" t="s">
        <v>2904</v>
      </c>
      <c r="B1270" t="s">
        <v>131</v>
      </c>
      <c r="C1270" s="4">
        <v>45854</v>
      </c>
      <c r="D1270" t="s">
        <v>1632</v>
      </c>
      <c r="E1270" t="s">
        <v>1648</v>
      </c>
      <c r="F1270" s="5">
        <v>15.7</v>
      </c>
      <c r="G1270" t="s">
        <v>1630</v>
      </c>
      <c r="H1270">
        <v>1</v>
      </c>
    </row>
    <row r="1271" spans="1:8">
      <c r="A1271" t="s">
        <v>2905</v>
      </c>
      <c r="B1271" t="s">
        <v>857</v>
      </c>
      <c r="C1271" s="4">
        <v>45941</v>
      </c>
      <c r="D1271" t="s">
        <v>1667</v>
      </c>
      <c r="E1271" t="s">
        <v>1629</v>
      </c>
      <c r="F1271" s="5">
        <v>15</v>
      </c>
      <c r="G1271" t="s">
        <v>1630</v>
      </c>
      <c r="H1271">
        <v>1</v>
      </c>
    </row>
    <row r="1272" spans="1:8">
      <c r="A1272" t="s">
        <v>2906</v>
      </c>
      <c r="B1272" t="s">
        <v>1032</v>
      </c>
      <c r="C1272" s="4">
        <v>44947</v>
      </c>
      <c r="D1272" t="s">
        <v>1632</v>
      </c>
      <c r="E1272" t="s">
        <v>1609</v>
      </c>
      <c r="F1272" s="5">
        <v>6.7</v>
      </c>
      <c r="G1272" t="s">
        <v>1626</v>
      </c>
      <c r="H1272">
        <v>1</v>
      </c>
    </row>
    <row r="1273" spans="1:8">
      <c r="A1273" t="s">
        <v>2907</v>
      </c>
      <c r="B1273" t="s">
        <v>1106</v>
      </c>
      <c r="C1273" s="4">
        <v>45022</v>
      </c>
      <c r="D1273" t="s">
        <v>1628</v>
      </c>
      <c r="E1273" t="s">
        <v>1609</v>
      </c>
      <c r="F1273" s="5">
        <v>18.8</v>
      </c>
      <c r="G1273" t="s">
        <v>1630</v>
      </c>
      <c r="H1273">
        <v>3</v>
      </c>
    </row>
    <row r="1274" spans="1:8">
      <c r="A1274" t="s">
        <v>2908</v>
      </c>
      <c r="B1274" t="s">
        <v>1486</v>
      </c>
      <c r="C1274" s="4">
        <v>45414</v>
      </c>
      <c r="D1274" t="s">
        <v>1641</v>
      </c>
      <c r="E1274" t="s">
        <v>1633</v>
      </c>
      <c r="F1274" s="5">
        <v>2.4</v>
      </c>
      <c r="G1274" t="s">
        <v>1630</v>
      </c>
      <c r="H1274">
        <v>1</v>
      </c>
    </row>
    <row r="1275" spans="1:8">
      <c r="A1275" t="s">
        <v>2909</v>
      </c>
      <c r="B1275" t="s">
        <v>1090</v>
      </c>
      <c r="C1275" s="4">
        <v>45388</v>
      </c>
      <c r="D1275" t="s">
        <v>1628</v>
      </c>
      <c r="E1275" t="s">
        <v>1605</v>
      </c>
      <c r="F1275" s="5">
        <v>3.4</v>
      </c>
      <c r="G1275" t="s">
        <v>1630</v>
      </c>
      <c r="H1275">
        <v>2</v>
      </c>
    </row>
    <row r="1276" spans="1:8">
      <c r="A1276" t="s">
        <v>2910</v>
      </c>
      <c r="B1276" t="s">
        <v>450</v>
      </c>
      <c r="C1276" s="4">
        <v>44940</v>
      </c>
      <c r="D1276" t="s">
        <v>1667</v>
      </c>
      <c r="E1276" t="s">
        <v>1605</v>
      </c>
      <c r="F1276" s="5">
        <v>3.5</v>
      </c>
      <c r="G1276" t="s">
        <v>1630</v>
      </c>
      <c r="H1276">
        <v>3</v>
      </c>
    </row>
    <row r="1277" spans="1:8">
      <c r="A1277" t="s">
        <v>2911</v>
      </c>
      <c r="B1277" t="s">
        <v>1514</v>
      </c>
      <c r="C1277" s="4">
        <v>45605</v>
      </c>
      <c r="D1277" t="s">
        <v>1625</v>
      </c>
      <c r="E1277" t="s">
        <v>1609</v>
      </c>
      <c r="F1277" s="5">
        <v>1</v>
      </c>
      <c r="G1277" t="s">
        <v>1626</v>
      </c>
      <c r="H1277">
        <v>1</v>
      </c>
    </row>
    <row r="1278" spans="1:8">
      <c r="A1278" t="s">
        <v>2912</v>
      </c>
      <c r="B1278" t="s">
        <v>738</v>
      </c>
      <c r="C1278" s="4">
        <v>45507</v>
      </c>
      <c r="D1278" t="s">
        <v>1625</v>
      </c>
      <c r="E1278" t="s">
        <v>1609</v>
      </c>
      <c r="F1278" s="5">
        <v>2</v>
      </c>
      <c r="G1278" t="s">
        <v>1630</v>
      </c>
      <c r="H1278">
        <v>5</v>
      </c>
    </row>
    <row r="1279" spans="1:8">
      <c r="A1279" t="s">
        <v>2913</v>
      </c>
      <c r="B1279" t="s">
        <v>1402</v>
      </c>
      <c r="C1279" s="4">
        <v>46062</v>
      </c>
      <c r="D1279" t="s">
        <v>1655</v>
      </c>
      <c r="E1279" t="s">
        <v>1633</v>
      </c>
      <c r="F1279" s="5">
        <v>9.5</v>
      </c>
      <c r="G1279" t="s">
        <v>1630</v>
      </c>
      <c r="H1279">
        <v>2</v>
      </c>
    </row>
    <row r="1280" spans="1:8">
      <c r="A1280" t="s">
        <v>2914</v>
      </c>
      <c r="B1280" t="s">
        <v>1330</v>
      </c>
      <c r="C1280" s="4">
        <v>45429</v>
      </c>
      <c r="D1280" t="s">
        <v>1628</v>
      </c>
      <c r="E1280" t="s">
        <v>1605</v>
      </c>
      <c r="F1280" s="5">
        <v>2.8</v>
      </c>
      <c r="G1280" t="s">
        <v>1630</v>
      </c>
      <c r="H1280">
        <v>2</v>
      </c>
    </row>
    <row r="1281" spans="1:8">
      <c r="A1281" t="s">
        <v>2915</v>
      </c>
      <c r="B1281" t="s">
        <v>1103</v>
      </c>
      <c r="C1281" s="4">
        <v>45800</v>
      </c>
      <c r="D1281" t="s">
        <v>1628</v>
      </c>
      <c r="E1281" t="s">
        <v>1648</v>
      </c>
      <c r="F1281" s="5">
        <v>0.2</v>
      </c>
      <c r="G1281" t="s">
        <v>1630</v>
      </c>
      <c r="H1281">
        <v>5</v>
      </c>
    </row>
    <row r="1282" spans="1:8">
      <c r="A1282" t="s">
        <v>2916</v>
      </c>
      <c r="B1282" t="s">
        <v>1176</v>
      </c>
      <c r="C1282" s="4">
        <v>45399</v>
      </c>
      <c r="D1282" t="s">
        <v>1628</v>
      </c>
      <c r="E1282" t="s">
        <v>1633</v>
      </c>
      <c r="F1282" s="5">
        <v>11.2</v>
      </c>
      <c r="G1282" t="s">
        <v>1630</v>
      </c>
      <c r="H1282">
        <v>5</v>
      </c>
    </row>
    <row r="1283" spans="1:8">
      <c r="A1283" t="s">
        <v>2917</v>
      </c>
      <c r="B1283" t="s">
        <v>220</v>
      </c>
      <c r="C1283" s="4">
        <v>45836</v>
      </c>
      <c r="D1283" t="s">
        <v>1655</v>
      </c>
      <c r="E1283" t="s">
        <v>1648</v>
      </c>
      <c r="F1283" s="5">
        <v>4</v>
      </c>
      <c r="G1283" t="s">
        <v>1626</v>
      </c>
      <c r="H1283">
        <v>3</v>
      </c>
    </row>
    <row r="1284" spans="1:8">
      <c r="A1284" t="s">
        <v>2918</v>
      </c>
      <c r="B1284" t="s">
        <v>1117</v>
      </c>
      <c r="C1284" s="4">
        <v>45201</v>
      </c>
      <c r="D1284" t="s">
        <v>1667</v>
      </c>
      <c r="E1284" t="s">
        <v>1609</v>
      </c>
      <c r="F1284" s="5">
        <v>1.2</v>
      </c>
      <c r="G1284" t="s">
        <v>1626</v>
      </c>
      <c r="H1284">
        <v>2</v>
      </c>
    </row>
    <row r="1285" spans="1:8">
      <c r="A1285" t="s">
        <v>2919</v>
      </c>
      <c r="B1285" t="s">
        <v>494</v>
      </c>
      <c r="C1285" s="4">
        <v>45081</v>
      </c>
      <c r="D1285" t="s">
        <v>1641</v>
      </c>
      <c r="E1285" t="s">
        <v>1633</v>
      </c>
      <c r="F1285" s="5">
        <v>7.1</v>
      </c>
      <c r="G1285" t="s">
        <v>1630</v>
      </c>
      <c r="H1285">
        <v>1</v>
      </c>
    </row>
    <row r="1286" spans="1:8">
      <c r="A1286" t="s">
        <v>2920</v>
      </c>
      <c r="B1286" t="s">
        <v>1515</v>
      </c>
      <c r="C1286" s="4">
        <v>44957</v>
      </c>
      <c r="D1286" t="s">
        <v>1625</v>
      </c>
      <c r="E1286" t="s">
        <v>1648</v>
      </c>
      <c r="F1286" s="5">
        <v>11.9</v>
      </c>
      <c r="G1286" t="s">
        <v>1630</v>
      </c>
      <c r="H1286">
        <v>1</v>
      </c>
    </row>
    <row r="1287" spans="1:8">
      <c r="A1287" t="s">
        <v>2921</v>
      </c>
      <c r="B1287" t="s">
        <v>1061</v>
      </c>
      <c r="C1287" s="4">
        <v>45343</v>
      </c>
      <c r="D1287" t="s">
        <v>1637</v>
      </c>
      <c r="E1287" t="s">
        <v>1633</v>
      </c>
      <c r="F1287" s="5">
        <v>7.8</v>
      </c>
      <c r="G1287" t="s">
        <v>1630</v>
      </c>
      <c r="H1287">
        <v>5</v>
      </c>
    </row>
    <row r="1288" spans="1:8">
      <c r="A1288" t="s">
        <v>2922</v>
      </c>
      <c r="B1288" t="s">
        <v>370</v>
      </c>
      <c r="C1288" s="4">
        <v>45297</v>
      </c>
      <c r="D1288" t="s">
        <v>1625</v>
      </c>
      <c r="E1288" t="s">
        <v>1609</v>
      </c>
      <c r="F1288" s="5">
        <v>9.6999999999999993</v>
      </c>
      <c r="G1288" t="s">
        <v>1630</v>
      </c>
      <c r="H1288">
        <v>3</v>
      </c>
    </row>
    <row r="1289" spans="1:8">
      <c r="A1289" t="s">
        <v>2923</v>
      </c>
      <c r="B1289" t="s">
        <v>559</v>
      </c>
      <c r="C1289" s="4">
        <v>45747</v>
      </c>
      <c r="D1289" t="s">
        <v>1628</v>
      </c>
      <c r="E1289" t="s">
        <v>1629</v>
      </c>
      <c r="F1289" s="5">
        <v>15.4</v>
      </c>
      <c r="G1289" t="s">
        <v>1630</v>
      </c>
      <c r="H1289">
        <v>3</v>
      </c>
    </row>
    <row r="1290" spans="1:8">
      <c r="A1290" t="s">
        <v>2924</v>
      </c>
      <c r="B1290" t="s">
        <v>407</v>
      </c>
      <c r="C1290" s="4">
        <v>45968</v>
      </c>
      <c r="D1290" t="s">
        <v>1641</v>
      </c>
      <c r="E1290" t="s">
        <v>1629</v>
      </c>
      <c r="F1290" s="5">
        <v>2.2999999999999998</v>
      </c>
      <c r="G1290" t="s">
        <v>1630</v>
      </c>
      <c r="H1290">
        <v>2</v>
      </c>
    </row>
    <row r="1291" spans="1:8">
      <c r="A1291" t="s">
        <v>2925</v>
      </c>
      <c r="B1291" t="s">
        <v>1255</v>
      </c>
      <c r="C1291" s="4">
        <v>44979</v>
      </c>
      <c r="D1291" t="s">
        <v>1637</v>
      </c>
      <c r="E1291" t="s">
        <v>1629</v>
      </c>
      <c r="F1291" s="5">
        <v>1</v>
      </c>
      <c r="G1291" t="s">
        <v>1630</v>
      </c>
      <c r="H1291">
        <v>2</v>
      </c>
    </row>
    <row r="1292" spans="1:8">
      <c r="A1292" t="s">
        <v>2926</v>
      </c>
      <c r="B1292" t="s">
        <v>143</v>
      </c>
      <c r="C1292" s="4">
        <v>44936</v>
      </c>
      <c r="D1292" t="s">
        <v>1641</v>
      </c>
      <c r="E1292" t="s">
        <v>1605</v>
      </c>
      <c r="F1292" s="5">
        <v>8.6</v>
      </c>
      <c r="G1292" t="s">
        <v>1626</v>
      </c>
      <c r="H1292">
        <v>2</v>
      </c>
    </row>
    <row r="1293" spans="1:8">
      <c r="A1293" t="s">
        <v>2927</v>
      </c>
      <c r="B1293" t="s">
        <v>701</v>
      </c>
      <c r="C1293" s="4">
        <v>45208</v>
      </c>
      <c r="D1293" t="s">
        <v>1628</v>
      </c>
      <c r="E1293" t="s">
        <v>1605</v>
      </c>
      <c r="F1293" s="5">
        <v>1.5</v>
      </c>
      <c r="G1293" t="s">
        <v>1630</v>
      </c>
      <c r="H1293">
        <v>3</v>
      </c>
    </row>
    <row r="1294" spans="1:8">
      <c r="A1294" t="s">
        <v>2928</v>
      </c>
      <c r="B1294" t="s">
        <v>1242</v>
      </c>
      <c r="C1294" s="4">
        <v>45398</v>
      </c>
      <c r="D1294" t="s">
        <v>1637</v>
      </c>
      <c r="E1294" t="s">
        <v>1633</v>
      </c>
      <c r="F1294" s="5">
        <v>0.2</v>
      </c>
      <c r="G1294" t="s">
        <v>1630</v>
      </c>
      <c r="H1294">
        <v>2</v>
      </c>
    </row>
    <row r="1295" spans="1:8">
      <c r="A1295" t="s">
        <v>2929</v>
      </c>
      <c r="B1295" t="s">
        <v>1281</v>
      </c>
      <c r="C1295" s="4">
        <v>45212</v>
      </c>
      <c r="D1295" t="s">
        <v>1628</v>
      </c>
      <c r="E1295" t="s">
        <v>1609</v>
      </c>
      <c r="F1295" s="5">
        <v>2.8</v>
      </c>
      <c r="G1295" t="s">
        <v>1630</v>
      </c>
      <c r="H1295">
        <v>1</v>
      </c>
    </row>
    <row r="1296" spans="1:8">
      <c r="A1296" t="s">
        <v>2930</v>
      </c>
      <c r="B1296" t="s">
        <v>995</v>
      </c>
      <c r="C1296" s="4">
        <v>45831</v>
      </c>
      <c r="D1296" t="s">
        <v>1641</v>
      </c>
      <c r="E1296" t="s">
        <v>1648</v>
      </c>
      <c r="F1296" s="5">
        <v>4.9000000000000004</v>
      </c>
      <c r="G1296" t="s">
        <v>1630</v>
      </c>
      <c r="H1296">
        <v>4</v>
      </c>
    </row>
    <row r="1297" spans="1:8">
      <c r="A1297" t="s">
        <v>2931</v>
      </c>
      <c r="B1297" t="s">
        <v>1123</v>
      </c>
      <c r="C1297" s="4">
        <v>45186</v>
      </c>
      <c r="D1297" t="s">
        <v>1625</v>
      </c>
      <c r="E1297" t="s">
        <v>1633</v>
      </c>
      <c r="F1297" s="5">
        <v>15.7</v>
      </c>
      <c r="G1297" t="s">
        <v>1630</v>
      </c>
      <c r="H1297">
        <v>1</v>
      </c>
    </row>
    <row r="1298" spans="1:8">
      <c r="A1298" t="s">
        <v>2932</v>
      </c>
      <c r="B1298" t="s">
        <v>975</v>
      </c>
      <c r="C1298" s="4">
        <v>46043</v>
      </c>
      <c r="D1298" t="s">
        <v>1628</v>
      </c>
      <c r="E1298" t="s">
        <v>1633</v>
      </c>
      <c r="F1298" s="5">
        <v>7.9</v>
      </c>
      <c r="G1298" t="s">
        <v>1630</v>
      </c>
      <c r="H1298">
        <v>5</v>
      </c>
    </row>
    <row r="1299" spans="1:8">
      <c r="A1299" t="s">
        <v>2933</v>
      </c>
      <c r="B1299" t="s">
        <v>1377</v>
      </c>
      <c r="C1299" s="4">
        <v>45151</v>
      </c>
      <c r="D1299" t="s">
        <v>1641</v>
      </c>
      <c r="E1299" t="s">
        <v>1609</v>
      </c>
      <c r="F1299" s="5">
        <v>2.9</v>
      </c>
      <c r="G1299" t="s">
        <v>1630</v>
      </c>
      <c r="H1299">
        <v>4</v>
      </c>
    </row>
    <row r="1300" spans="1:8">
      <c r="A1300" t="s">
        <v>2934</v>
      </c>
      <c r="B1300" t="s">
        <v>183</v>
      </c>
      <c r="C1300" s="4">
        <v>45810</v>
      </c>
      <c r="D1300" t="s">
        <v>1641</v>
      </c>
      <c r="E1300" t="s">
        <v>1629</v>
      </c>
      <c r="F1300" s="5">
        <v>14.2</v>
      </c>
      <c r="G1300" t="s">
        <v>1630</v>
      </c>
      <c r="H1300">
        <v>2</v>
      </c>
    </row>
    <row r="1301" spans="1:8">
      <c r="A1301" t="s">
        <v>2935</v>
      </c>
      <c r="B1301" t="s">
        <v>1483</v>
      </c>
      <c r="C1301" s="4">
        <v>45407</v>
      </c>
      <c r="D1301" t="s">
        <v>1632</v>
      </c>
      <c r="E1301" t="s">
        <v>1648</v>
      </c>
      <c r="F1301" s="5">
        <v>7.1</v>
      </c>
      <c r="G1301" t="s">
        <v>1630</v>
      </c>
      <c r="H1301">
        <v>3</v>
      </c>
    </row>
    <row r="1302" spans="1:8">
      <c r="A1302" t="s">
        <v>2936</v>
      </c>
      <c r="B1302" t="s">
        <v>300</v>
      </c>
      <c r="C1302" s="4">
        <v>45660</v>
      </c>
      <c r="D1302" t="s">
        <v>1637</v>
      </c>
      <c r="E1302" t="s">
        <v>1609</v>
      </c>
      <c r="F1302" s="5">
        <v>1.5</v>
      </c>
      <c r="G1302" t="s">
        <v>1630</v>
      </c>
      <c r="H1302">
        <v>5</v>
      </c>
    </row>
    <row r="1303" spans="1:8">
      <c r="A1303" t="s">
        <v>2937</v>
      </c>
      <c r="B1303" t="s">
        <v>1207</v>
      </c>
      <c r="C1303" s="4">
        <v>45520</v>
      </c>
      <c r="D1303" t="s">
        <v>1667</v>
      </c>
      <c r="E1303" t="s">
        <v>1633</v>
      </c>
      <c r="F1303" s="5">
        <v>0.5</v>
      </c>
      <c r="G1303" t="s">
        <v>1630</v>
      </c>
      <c r="H1303">
        <v>5</v>
      </c>
    </row>
    <row r="1304" spans="1:8">
      <c r="A1304" t="s">
        <v>2938</v>
      </c>
      <c r="B1304" t="s">
        <v>1370</v>
      </c>
      <c r="C1304" s="4">
        <v>45662</v>
      </c>
      <c r="D1304" t="s">
        <v>1632</v>
      </c>
      <c r="E1304" t="s">
        <v>1648</v>
      </c>
      <c r="F1304" s="5">
        <v>1.7</v>
      </c>
      <c r="G1304" t="s">
        <v>1630</v>
      </c>
      <c r="H1304">
        <v>2</v>
      </c>
    </row>
    <row r="1305" spans="1:8">
      <c r="A1305" t="s">
        <v>2939</v>
      </c>
      <c r="B1305" t="s">
        <v>1593</v>
      </c>
      <c r="C1305" s="4">
        <v>45583</v>
      </c>
      <c r="D1305" t="s">
        <v>1632</v>
      </c>
      <c r="E1305" t="s">
        <v>1629</v>
      </c>
      <c r="F1305" s="5">
        <v>1.2</v>
      </c>
      <c r="G1305" t="s">
        <v>1630</v>
      </c>
      <c r="H1305">
        <v>1</v>
      </c>
    </row>
    <row r="1306" spans="1:8">
      <c r="A1306" t="s">
        <v>2940</v>
      </c>
      <c r="B1306" t="s">
        <v>1309</v>
      </c>
      <c r="C1306" s="4">
        <v>45967</v>
      </c>
      <c r="D1306" t="s">
        <v>1628</v>
      </c>
      <c r="E1306" t="s">
        <v>1629</v>
      </c>
      <c r="F1306" s="5">
        <v>1.1000000000000001</v>
      </c>
      <c r="G1306" t="s">
        <v>1630</v>
      </c>
      <c r="H1306">
        <v>2</v>
      </c>
    </row>
    <row r="1307" spans="1:8">
      <c r="A1307" t="s">
        <v>2941</v>
      </c>
      <c r="B1307" t="s">
        <v>775</v>
      </c>
      <c r="C1307" s="4">
        <v>45551</v>
      </c>
      <c r="D1307" t="s">
        <v>1667</v>
      </c>
      <c r="E1307" t="s">
        <v>1633</v>
      </c>
      <c r="F1307" s="5">
        <v>10.7</v>
      </c>
      <c r="G1307" t="s">
        <v>1630</v>
      </c>
      <c r="H1307">
        <v>5</v>
      </c>
    </row>
    <row r="1308" spans="1:8">
      <c r="A1308" t="s">
        <v>2942</v>
      </c>
      <c r="B1308" t="s">
        <v>818</v>
      </c>
      <c r="C1308" s="4">
        <v>45272</v>
      </c>
      <c r="D1308" t="s">
        <v>1641</v>
      </c>
      <c r="E1308" t="s">
        <v>1605</v>
      </c>
      <c r="F1308" s="5">
        <v>1.6</v>
      </c>
      <c r="G1308" t="s">
        <v>1630</v>
      </c>
      <c r="H1308">
        <v>1</v>
      </c>
    </row>
    <row r="1309" spans="1:8">
      <c r="A1309" t="s">
        <v>2943</v>
      </c>
      <c r="B1309" t="s">
        <v>1018</v>
      </c>
      <c r="C1309" s="4">
        <v>45302</v>
      </c>
      <c r="D1309" t="s">
        <v>1625</v>
      </c>
      <c r="E1309" t="s">
        <v>1629</v>
      </c>
      <c r="F1309" s="5">
        <v>1.5</v>
      </c>
      <c r="G1309" t="s">
        <v>1626</v>
      </c>
      <c r="H1309">
        <v>2</v>
      </c>
    </row>
    <row r="1310" spans="1:8">
      <c r="A1310" t="s">
        <v>2944</v>
      </c>
      <c r="B1310" t="s">
        <v>900</v>
      </c>
      <c r="C1310" s="4">
        <v>45279</v>
      </c>
      <c r="D1310" t="s">
        <v>1641</v>
      </c>
      <c r="E1310" t="s">
        <v>1605</v>
      </c>
      <c r="F1310" s="5">
        <v>7.1</v>
      </c>
      <c r="G1310" t="s">
        <v>1630</v>
      </c>
      <c r="H1310">
        <v>2</v>
      </c>
    </row>
    <row r="1311" spans="1:8">
      <c r="A1311" t="s">
        <v>2945</v>
      </c>
      <c r="B1311" t="s">
        <v>1178</v>
      </c>
      <c r="C1311" s="4">
        <v>44953</v>
      </c>
      <c r="D1311" t="s">
        <v>1628</v>
      </c>
      <c r="E1311" t="s">
        <v>1605</v>
      </c>
      <c r="F1311" s="5">
        <v>12.6</v>
      </c>
      <c r="G1311" t="s">
        <v>1630</v>
      </c>
      <c r="H1311">
        <v>3</v>
      </c>
    </row>
    <row r="1312" spans="1:8">
      <c r="A1312" t="s">
        <v>2946</v>
      </c>
      <c r="B1312" t="s">
        <v>281</v>
      </c>
      <c r="C1312" s="4">
        <v>45515</v>
      </c>
      <c r="D1312" t="s">
        <v>1641</v>
      </c>
      <c r="E1312" t="s">
        <v>1605</v>
      </c>
      <c r="F1312" s="5">
        <v>7.2</v>
      </c>
      <c r="G1312" t="s">
        <v>1630</v>
      </c>
      <c r="H1312">
        <v>5</v>
      </c>
    </row>
    <row r="1313" spans="1:8">
      <c r="A1313" t="s">
        <v>2947</v>
      </c>
      <c r="B1313" t="s">
        <v>1256</v>
      </c>
      <c r="C1313" s="4">
        <v>45782</v>
      </c>
      <c r="D1313" t="s">
        <v>1625</v>
      </c>
      <c r="E1313" t="s">
        <v>1629</v>
      </c>
      <c r="F1313" s="5">
        <v>0.3</v>
      </c>
      <c r="G1313" t="s">
        <v>1630</v>
      </c>
      <c r="H1313">
        <v>1</v>
      </c>
    </row>
    <row r="1314" spans="1:8">
      <c r="A1314" t="s">
        <v>2948</v>
      </c>
      <c r="B1314" t="s">
        <v>612</v>
      </c>
      <c r="C1314" s="4">
        <v>45628</v>
      </c>
      <c r="D1314" t="s">
        <v>1655</v>
      </c>
      <c r="E1314" t="s">
        <v>1609</v>
      </c>
      <c r="F1314" s="5">
        <v>26.3</v>
      </c>
      <c r="G1314" t="s">
        <v>1630</v>
      </c>
      <c r="H1314">
        <v>2</v>
      </c>
    </row>
    <row r="1315" spans="1:8">
      <c r="A1315" t="s">
        <v>2949</v>
      </c>
      <c r="B1315" t="s">
        <v>472</v>
      </c>
      <c r="C1315" s="4">
        <v>45063</v>
      </c>
      <c r="D1315" t="s">
        <v>1641</v>
      </c>
      <c r="E1315" t="s">
        <v>1633</v>
      </c>
      <c r="F1315" s="5">
        <v>8.3000000000000007</v>
      </c>
      <c r="G1315" t="s">
        <v>1630</v>
      </c>
      <c r="H1315">
        <v>2</v>
      </c>
    </row>
    <row r="1316" spans="1:8">
      <c r="A1316" t="s">
        <v>2950</v>
      </c>
      <c r="B1316" t="s">
        <v>1138</v>
      </c>
      <c r="C1316" s="4">
        <v>45080</v>
      </c>
      <c r="D1316" t="s">
        <v>1628</v>
      </c>
      <c r="E1316" t="s">
        <v>1609</v>
      </c>
      <c r="F1316" s="5">
        <v>6.8</v>
      </c>
      <c r="G1316" t="s">
        <v>1630</v>
      </c>
      <c r="H1316">
        <v>2</v>
      </c>
    </row>
    <row r="1317" spans="1:8">
      <c r="A1317" t="s">
        <v>2951</v>
      </c>
      <c r="B1317" t="s">
        <v>1024</v>
      </c>
      <c r="C1317" s="4">
        <v>45290</v>
      </c>
      <c r="D1317" t="s">
        <v>1628</v>
      </c>
      <c r="E1317" t="s">
        <v>1633</v>
      </c>
      <c r="F1317" s="5">
        <v>14.5</v>
      </c>
      <c r="G1317" t="s">
        <v>1630</v>
      </c>
      <c r="H1317">
        <v>5</v>
      </c>
    </row>
    <row r="1318" spans="1:8">
      <c r="A1318" t="s">
        <v>2952</v>
      </c>
      <c r="B1318" t="s">
        <v>540</v>
      </c>
      <c r="C1318" s="4">
        <v>45709</v>
      </c>
      <c r="D1318" t="s">
        <v>1637</v>
      </c>
      <c r="E1318" t="s">
        <v>1609</v>
      </c>
      <c r="F1318" s="5">
        <v>4.4000000000000004</v>
      </c>
      <c r="G1318" t="s">
        <v>1630</v>
      </c>
      <c r="H1318">
        <v>5</v>
      </c>
    </row>
    <row r="1319" spans="1:8">
      <c r="A1319" t="s">
        <v>2953</v>
      </c>
      <c r="B1319" t="s">
        <v>393</v>
      </c>
      <c r="C1319" s="4">
        <v>45871</v>
      </c>
      <c r="D1319" t="s">
        <v>1641</v>
      </c>
      <c r="E1319" t="s">
        <v>1609</v>
      </c>
      <c r="F1319" s="5">
        <v>3.1</v>
      </c>
      <c r="G1319" t="s">
        <v>1630</v>
      </c>
      <c r="H1319">
        <v>1</v>
      </c>
    </row>
    <row r="1320" spans="1:8">
      <c r="A1320" t="s">
        <v>2954</v>
      </c>
      <c r="B1320" t="s">
        <v>1537</v>
      </c>
      <c r="C1320" s="4">
        <v>45783</v>
      </c>
      <c r="D1320" t="s">
        <v>1655</v>
      </c>
      <c r="E1320" t="s">
        <v>1609</v>
      </c>
      <c r="F1320" s="5">
        <v>5.0999999999999996</v>
      </c>
      <c r="G1320" t="s">
        <v>1630</v>
      </c>
      <c r="H1320">
        <v>2</v>
      </c>
    </row>
    <row r="1321" spans="1:8">
      <c r="A1321" t="s">
        <v>2955</v>
      </c>
      <c r="B1321" t="s">
        <v>816</v>
      </c>
      <c r="C1321" s="4">
        <v>45503</v>
      </c>
      <c r="D1321" t="s">
        <v>1628</v>
      </c>
      <c r="E1321" t="s">
        <v>1648</v>
      </c>
      <c r="F1321" s="5">
        <v>10</v>
      </c>
      <c r="G1321" t="s">
        <v>1630</v>
      </c>
      <c r="H1321">
        <v>1</v>
      </c>
    </row>
    <row r="1322" spans="1:8">
      <c r="A1322" t="s">
        <v>2956</v>
      </c>
      <c r="B1322" t="s">
        <v>1072</v>
      </c>
      <c r="C1322" s="4">
        <v>45593</v>
      </c>
      <c r="D1322" t="s">
        <v>1628</v>
      </c>
      <c r="E1322" t="s">
        <v>1605</v>
      </c>
      <c r="F1322" s="5">
        <v>1.8</v>
      </c>
      <c r="G1322" t="s">
        <v>1630</v>
      </c>
      <c r="H1322">
        <v>4</v>
      </c>
    </row>
    <row r="1323" spans="1:8">
      <c r="A1323" t="s">
        <v>2957</v>
      </c>
      <c r="B1323" t="s">
        <v>1417</v>
      </c>
      <c r="C1323" s="4">
        <v>45798</v>
      </c>
      <c r="D1323" t="s">
        <v>1632</v>
      </c>
      <c r="E1323" t="s">
        <v>1605</v>
      </c>
      <c r="F1323" s="5">
        <v>8.9</v>
      </c>
      <c r="G1323" t="s">
        <v>1630</v>
      </c>
      <c r="H1323">
        <v>2</v>
      </c>
    </row>
    <row r="1324" spans="1:8">
      <c r="A1324" t="s">
        <v>2958</v>
      </c>
      <c r="B1324" t="s">
        <v>1371</v>
      </c>
      <c r="C1324" s="4">
        <v>45767</v>
      </c>
      <c r="D1324" t="s">
        <v>1628</v>
      </c>
      <c r="E1324" t="s">
        <v>1648</v>
      </c>
      <c r="F1324" s="5">
        <v>2.4</v>
      </c>
      <c r="G1324" t="s">
        <v>1630</v>
      </c>
      <c r="H1324">
        <v>4</v>
      </c>
    </row>
    <row r="1325" spans="1:8">
      <c r="A1325" t="s">
        <v>2959</v>
      </c>
      <c r="B1325" t="s">
        <v>674</v>
      </c>
      <c r="C1325" s="4">
        <v>45208</v>
      </c>
      <c r="D1325" t="s">
        <v>1667</v>
      </c>
      <c r="E1325" t="s">
        <v>1609</v>
      </c>
      <c r="F1325" s="5">
        <v>3.9</v>
      </c>
      <c r="G1325" t="s">
        <v>1630</v>
      </c>
      <c r="H1325">
        <v>3</v>
      </c>
    </row>
    <row r="1326" spans="1:8">
      <c r="A1326" t="s">
        <v>2960</v>
      </c>
      <c r="B1326" t="s">
        <v>341</v>
      </c>
      <c r="C1326" s="4">
        <v>45329</v>
      </c>
      <c r="D1326" t="s">
        <v>1625</v>
      </c>
      <c r="E1326" t="s">
        <v>1629</v>
      </c>
      <c r="F1326" s="5">
        <v>5.0999999999999996</v>
      </c>
      <c r="G1326" t="s">
        <v>1626</v>
      </c>
      <c r="H1326">
        <v>3</v>
      </c>
    </row>
    <row r="1327" spans="1:8">
      <c r="A1327" t="s">
        <v>2961</v>
      </c>
      <c r="B1327" t="s">
        <v>774</v>
      </c>
      <c r="C1327" s="4">
        <v>45903</v>
      </c>
      <c r="D1327" t="s">
        <v>1667</v>
      </c>
      <c r="E1327" t="s">
        <v>1609</v>
      </c>
      <c r="F1327" s="5">
        <v>4.4000000000000004</v>
      </c>
      <c r="G1327" t="s">
        <v>1630</v>
      </c>
      <c r="H1327">
        <v>3</v>
      </c>
    </row>
    <row r="1328" spans="1:8">
      <c r="A1328" t="s">
        <v>2962</v>
      </c>
      <c r="B1328" t="s">
        <v>1122</v>
      </c>
      <c r="C1328" s="4">
        <v>45525</v>
      </c>
      <c r="D1328" t="s">
        <v>1628</v>
      </c>
      <c r="E1328" t="s">
        <v>1609</v>
      </c>
      <c r="F1328" s="5">
        <v>13.7</v>
      </c>
      <c r="G1328" t="s">
        <v>1626</v>
      </c>
      <c r="H1328">
        <v>1</v>
      </c>
    </row>
    <row r="1329" spans="1:8">
      <c r="A1329" t="s">
        <v>2963</v>
      </c>
      <c r="B1329" t="s">
        <v>935</v>
      </c>
      <c r="C1329" s="4">
        <v>45598</v>
      </c>
      <c r="D1329" t="s">
        <v>1637</v>
      </c>
      <c r="E1329" t="s">
        <v>1609</v>
      </c>
      <c r="F1329" s="5">
        <v>5.7</v>
      </c>
      <c r="G1329" t="s">
        <v>1630</v>
      </c>
      <c r="H1329">
        <v>1</v>
      </c>
    </row>
    <row r="1330" spans="1:8">
      <c r="A1330" t="s">
        <v>2964</v>
      </c>
      <c r="B1330" t="s">
        <v>1429</v>
      </c>
      <c r="C1330" s="4">
        <v>45939</v>
      </c>
      <c r="D1330" t="s">
        <v>1641</v>
      </c>
      <c r="E1330" t="s">
        <v>1648</v>
      </c>
      <c r="F1330" s="5">
        <v>1.7</v>
      </c>
      <c r="G1330" t="s">
        <v>1630</v>
      </c>
      <c r="H1330">
        <v>2</v>
      </c>
    </row>
    <row r="1331" spans="1:8">
      <c r="A1331" t="s">
        <v>2965</v>
      </c>
      <c r="B1331" t="s">
        <v>183</v>
      </c>
      <c r="C1331" s="4">
        <v>45272</v>
      </c>
      <c r="D1331" t="s">
        <v>1625</v>
      </c>
      <c r="E1331" t="s">
        <v>1605</v>
      </c>
      <c r="F1331" s="5">
        <v>4.7</v>
      </c>
      <c r="G1331" t="s">
        <v>1630</v>
      </c>
      <c r="H1331">
        <v>3</v>
      </c>
    </row>
    <row r="1332" spans="1:8">
      <c r="A1332" t="s">
        <v>2966</v>
      </c>
      <c r="B1332" t="s">
        <v>264</v>
      </c>
      <c r="C1332" s="4">
        <v>45943</v>
      </c>
      <c r="D1332" t="s">
        <v>1628</v>
      </c>
      <c r="E1332" t="s">
        <v>1633</v>
      </c>
      <c r="F1332" s="5">
        <v>3.4</v>
      </c>
      <c r="G1332" t="s">
        <v>1630</v>
      </c>
      <c r="H1332">
        <v>2</v>
      </c>
    </row>
    <row r="1333" spans="1:8">
      <c r="A1333" t="s">
        <v>2967</v>
      </c>
      <c r="B1333" t="s">
        <v>975</v>
      </c>
      <c r="C1333" s="4">
        <v>45723</v>
      </c>
      <c r="D1333" t="s">
        <v>1641</v>
      </c>
      <c r="E1333" t="s">
        <v>1629</v>
      </c>
      <c r="F1333" s="5">
        <v>6.8</v>
      </c>
      <c r="G1333" t="s">
        <v>1626</v>
      </c>
      <c r="H1333">
        <v>1</v>
      </c>
    </row>
    <row r="1334" spans="1:8">
      <c r="A1334" t="s">
        <v>2968</v>
      </c>
      <c r="B1334" t="s">
        <v>770</v>
      </c>
      <c r="C1334" s="4">
        <v>45527</v>
      </c>
      <c r="D1334" t="s">
        <v>1655</v>
      </c>
      <c r="E1334" t="s">
        <v>1633</v>
      </c>
      <c r="F1334" s="5">
        <v>10.9</v>
      </c>
      <c r="G1334" t="s">
        <v>1630</v>
      </c>
      <c r="H1334">
        <v>2</v>
      </c>
    </row>
    <row r="1335" spans="1:8">
      <c r="A1335" t="s">
        <v>2969</v>
      </c>
      <c r="B1335" t="s">
        <v>857</v>
      </c>
      <c r="C1335" s="4">
        <v>46072</v>
      </c>
      <c r="D1335" t="s">
        <v>1641</v>
      </c>
      <c r="E1335" t="s">
        <v>1633</v>
      </c>
      <c r="F1335" s="5">
        <v>9.3000000000000007</v>
      </c>
      <c r="G1335" t="s">
        <v>1630</v>
      </c>
      <c r="H1335">
        <v>5</v>
      </c>
    </row>
    <row r="1336" spans="1:8">
      <c r="A1336" t="s">
        <v>2970</v>
      </c>
      <c r="B1336" t="s">
        <v>881</v>
      </c>
      <c r="C1336" s="4">
        <v>45472</v>
      </c>
      <c r="D1336" t="s">
        <v>1628</v>
      </c>
      <c r="E1336" t="s">
        <v>1609</v>
      </c>
      <c r="F1336" s="5">
        <v>31</v>
      </c>
      <c r="G1336" t="s">
        <v>1630</v>
      </c>
      <c r="H1336">
        <v>3</v>
      </c>
    </row>
    <row r="1337" spans="1:8">
      <c r="A1337" t="s">
        <v>2971</v>
      </c>
      <c r="B1337" t="s">
        <v>550</v>
      </c>
      <c r="C1337" s="4">
        <v>45952</v>
      </c>
      <c r="D1337" t="s">
        <v>1637</v>
      </c>
      <c r="E1337" t="s">
        <v>1633</v>
      </c>
      <c r="F1337" s="5">
        <v>5.3</v>
      </c>
      <c r="G1337" t="s">
        <v>1626</v>
      </c>
      <c r="H1337">
        <v>1</v>
      </c>
    </row>
    <row r="1338" spans="1:8">
      <c r="A1338" t="s">
        <v>2972</v>
      </c>
      <c r="B1338" t="s">
        <v>290</v>
      </c>
      <c r="C1338" s="4">
        <v>45727</v>
      </c>
      <c r="D1338" t="s">
        <v>1632</v>
      </c>
      <c r="E1338" t="s">
        <v>1605</v>
      </c>
      <c r="F1338" s="5">
        <v>3.1</v>
      </c>
      <c r="G1338" t="s">
        <v>1630</v>
      </c>
      <c r="H1338">
        <v>1</v>
      </c>
    </row>
    <row r="1339" spans="1:8">
      <c r="A1339" t="s">
        <v>2973</v>
      </c>
      <c r="B1339" t="s">
        <v>1429</v>
      </c>
      <c r="C1339" s="4">
        <v>44993</v>
      </c>
      <c r="D1339" t="s">
        <v>1641</v>
      </c>
      <c r="E1339" t="s">
        <v>1605</v>
      </c>
      <c r="F1339" s="5">
        <v>5.2</v>
      </c>
      <c r="G1339" t="s">
        <v>1630</v>
      </c>
      <c r="H1339">
        <v>4</v>
      </c>
    </row>
    <row r="1340" spans="1:8">
      <c r="A1340" t="s">
        <v>2974</v>
      </c>
      <c r="B1340" t="s">
        <v>204</v>
      </c>
      <c r="C1340" s="4">
        <v>45551</v>
      </c>
      <c r="D1340" t="s">
        <v>1641</v>
      </c>
      <c r="E1340" t="s">
        <v>1629</v>
      </c>
      <c r="F1340" s="5">
        <v>10.7</v>
      </c>
      <c r="G1340" t="s">
        <v>1630</v>
      </c>
      <c r="H1340">
        <v>4</v>
      </c>
    </row>
    <row r="1341" spans="1:8">
      <c r="A1341" t="s">
        <v>2975</v>
      </c>
      <c r="B1341" t="s">
        <v>979</v>
      </c>
      <c r="C1341" s="4">
        <v>45997</v>
      </c>
      <c r="D1341" t="s">
        <v>1628</v>
      </c>
      <c r="E1341" t="s">
        <v>1605</v>
      </c>
      <c r="F1341" s="5">
        <v>4.9000000000000004</v>
      </c>
      <c r="G1341" t="s">
        <v>1630</v>
      </c>
      <c r="H1341">
        <v>4</v>
      </c>
    </row>
    <row r="1342" spans="1:8">
      <c r="A1342" t="s">
        <v>2976</v>
      </c>
      <c r="B1342" t="s">
        <v>272</v>
      </c>
      <c r="C1342" s="4">
        <v>46037</v>
      </c>
      <c r="D1342" t="s">
        <v>1632</v>
      </c>
      <c r="E1342" t="s">
        <v>1633</v>
      </c>
      <c r="F1342" s="5">
        <v>16.899999999999999</v>
      </c>
      <c r="G1342" t="s">
        <v>1630</v>
      </c>
      <c r="H1342">
        <v>4</v>
      </c>
    </row>
    <row r="1343" spans="1:8">
      <c r="A1343" t="s">
        <v>2977</v>
      </c>
      <c r="B1343" t="s">
        <v>1444</v>
      </c>
      <c r="C1343" s="4">
        <v>45884</v>
      </c>
      <c r="D1343" t="s">
        <v>1628</v>
      </c>
      <c r="E1343" t="s">
        <v>1629</v>
      </c>
      <c r="F1343" s="5">
        <v>11.3</v>
      </c>
      <c r="G1343" t="s">
        <v>1630</v>
      </c>
      <c r="H1343">
        <v>1</v>
      </c>
    </row>
    <row r="1344" spans="1:8">
      <c r="A1344" t="s">
        <v>2978</v>
      </c>
      <c r="B1344" t="s">
        <v>784</v>
      </c>
      <c r="C1344" s="4">
        <v>45535</v>
      </c>
      <c r="D1344" t="s">
        <v>1637</v>
      </c>
      <c r="E1344" t="s">
        <v>1609</v>
      </c>
      <c r="F1344" s="5">
        <v>5.9</v>
      </c>
      <c r="G1344" t="s">
        <v>1630</v>
      </c>
      <c r="H1344">
        <v>5</v>
      </c>
    </row>
    <row r="1345" spans="1:8">
      <c r="A1345" t="s">
        <v>2979</v>
      </c>
      <c r="B1345" t="s">
        <v>1070</v>
      </c>
      <c r="C1345" s="4">
        <v>44995</v>
      </c>
      <c r="D1345" t="s">
        <v>1667</v>
      </c>
      <c r="E1345" t="s">
        <v>1605</v>
      </c>
      <c r="F1345" s="5">
        <v>4.8</v>
      </c>
      <c r="G1345" t="s">
        <v>1626</v>
      </c>
      <c r="H1345">
        <v>1</v>
      </c>
    </row>
    <row r="1346" spans="1:8">
      <c r="A1346" t="s">
        <v>2980</v>
      </c>
      <c r="B1346" t="s">
        <v>1079</v>
      </c>
      <c r="C1346" s="4">
        <v>45152</v>
      </c>
      <c r="D1346" t="s">
        <v>1628</v>
      </c>
      <c r="E1346" t="s">
        <v>1648</v>
      </c>
      <c r="F1346" s="5">
        <v>2.9</v>
      </c>
      <c r="G1346" t="s">
        <v>1630</v>
      </c>
      <c r="H1346">
        <v>4</v>
      </c>
    </row>
    <row r="1347" spans="1:8">
      <c r="A1347" t="s">
        <v>2981</v>
      </c>
      <c r="B1347" t="s">
        <v>1184</v>
      </c>
      <c r="C1347" s="4">
        <v>46078</v>
      </c>
      <c r="D1347" t="s">
        <v>1625</v>
      </c>
      <c r="E1347" t="s">
        <v>1633</v>
      </c>
      <c r="F1347" s="5">
        <v>29.9</v>
      </c>
      <c r="G1347" t="s">
        <v>1630</v>
      </c>
      <c r="H1347">
        <v>4</v>
      </c>
    </row>
    <row r="1348" spans="1:8">
      <c r="A1348" t="s">
        <v>2982</v>
      </c>
      <c r="B1348" t="s">
        <v>163</v>
      </c>
      <c r="C1348" s="4">
        <v>45618</v>
      </c>
      <c r="D1348" t="s">
        <v>1637</v>
      </c>
      <c r="E1348" t="s">
        <v>1605</v>
      </c>
      <c r="F1348" s="5">
        <v>9.8000000000000007</v>
      </c>
      <c r="G1348" t="s">
        <v>1630</v>
      </c>
      <c r="H1348">
        <v>4</v>
      </c>
    </row>
    <row r="1349" spans="1:8">
      <c r="A1349" t="s">
        <v>2983</v>
      </c>
      <c r="B1349" t="s">
        <v>1103</v>
      </c>
      <c r="C1349" s="4">
        <v>45969</v>
      </c>
      <c r="D1349" t="s">
        <v>1628</v>
      </c>
      <c r="E1349" t="s">
        <v>1609</v>
      </c>
      <c r="F1349" s="5">
        <v>4</v>
      </c>
      <c r="G1349" t="s">
        <v>1630</v>
      </c>
      <c r="H1349">
        <v>2</v>
      </c>
    </row>
    <row r="1350" spans="1:8">
      <c r="A1350" t="s">
        <v>2984</v>
      </c>
      <c r="B1350" t="s">
        <v>129</v>
      </c>
      <c r="C1350" s="4">
        <v>45755</v>
      </c>
      <c r="D1350" t="s">
        <v>1641</v>
      </c>
      <c r="E1350" t="s">
        <v>1609</v>
      </c>
      <c r="F1350" s="5">
        <v>6.4</v>
      </c>
      <c r="G1350" t="s">
        <v>1630</v>
      </c>
      <c r="H1350">
        <v>2</v>
      </c>
    </row>
    <row r="1351" spans="1:8">
      <c r="A1351" t="s">
        <v>2985</v>
      </c>
      <c r="B1351" t="s">
        <v>859</v>
      </c>
      <c r="C1351" s="4">
        <v>45767</v>
      </c>
      <c r="D1351" t="s">
        <v>1637</v>
      </c>
      <c r="E1351" t="s">
        <v>1629</v>
      </c>
      <c r="F1351" s="5">
        <v>19.399999999999999</v>
      </c>
      <c r="G1351" t="s">
        <v>1630</v>
      </c>
      <c r="H1351">
        <v>1</v>
      </c>
    </row>
    <row r="1352" spans="1:8">
      <c r="A1352" t="s">
        <v>2986</v>
      </c>
      <c r="B1352" t="s">
        <v>1138</v>
      </c>
      <c r="C1352" s="4">
        <v>44960</v>
      </c>
      <c r="D1352" t="s">
        <v>1655</v>
      </c>
      <c r="E1352" t="s">
        <v>1629</v>
      </c>
      <c r="F1352" s="5">
        <v>5.7</v>
      </c>
      <c r="G1352" t="s">
        <v>1630</v>
      </c>
      <c r="H1352">
        <v>3</v>
      </c>
    </row>
    <row r="1353" spans="1:8">
      <c r="A1353" t="s">
        <v>2987</v>
      </c>
      <c r="B1353" t="s">
        <v>535</v>
      </c>
      <c r="C1353" s="4">
        <v>45955</v>
      </c>
      <c r="D1353" t="s">
        <v>1632</v>
      </c>
      <c r="E1353" t="s">
        <v>1648</v>
      </c>
      <c r="F1353" s="5">
        <v>13.2</v>
      </c>
      <c r="G1353" t="s">
        <v>1630</v>
      </c>
      <c r="H1353">
        <v>4</v>
      </c>
    </row>
    <row r="1354" spans="1:8">
      <c r="A1354" t="s">
        <v>2988</v>
      </c>
      <c r="B1354" t="s">
        <v>1326</v>
      </c>
      <c r="C1354" s="4">
        <v>45347</v>
      </c>
      <c r="D1354" t="s">
        <v>1641</v>
      </c>
      <c r="E1354" t="s">
        <v>1605</v>
      </c>
      <c r="F1354" s="5">
        <v>2.9</v>
      </c>
      <c r="G1354" t="s">
        <v>1630</v>
      </c>
      <c r="H1354">
        <v>5</v>
      </c>
    </row>
    <row r="1355" spans="1:8">
      <c r="A1355" t="s">
        <v>2989</v>
      </c>
      <c r="B1355" t="s">
        <v>1245</v>
      </c>
      <c r="C1355" s="4">
        <v>45958</v>
      </c>
      <c r="D1355" t="s">
        <v>1632</v>
      </c>
      <c r="E1355" t="s">
        <v>1629</v>
      </c>
      <c r="F1355" s="5">
        <v>0.2</v>
      </c>
      <c r="G1355" t="s">
        <v>1626</v>
      </c>
      <c r="H1355">
        <v>3</v>
      </c>
    </row>
    <row r="1356" spans="1:8">
      <c r="A1356" t="s">
        <v>2990</v>
      </c>
      <c r="B1356" t="s">
        <v>715</v>
      </c>
      <c r="C1356" s="4">
        <v>44971</v>
      </c>
      <c r="D1356" t="s">
        <v>1655</v>
      </c>
      <c r="E1356" t="s">
        <v>1633</v>
      </c>
      <c r="F1356" s="5">
        <v>6.8</v>
      </c>
      <c r="G1356" t="s">
        <v>1630</v>
      </c>
      <c r="H1356">
        <v>1</v>
      </c>
    </row>
    <row r="1357" spans="1:8">
      <c r="A1357" t="s">
        <v>2991</v>
      </c>
      <c r="B1357" t="s">
        <v>1246</v>
      </c>
      <c r="C1357" s="4">
        <v>45859</v>
      </c>
      <c r="D1357" t="s">
        <v>1628</v>
      </c>
      <c r="E1357" t="s">
        <v>1648</v>
      </c>
      <c r="F1357" s="5">
        <v>4.4000000000000004</v>
      </c>
      <c r="G1357" t="s">
        <v>1630</v>
      </c>
      <c r="H1357">
        <v>1</v>
      </c>
    </row>
    <row r="1358" spans="1:8">
      <c r="A1358" t="s">
        <v>2992</v>
      </c>
      <c r="B1358" t="s">
        <v>1032</v>
      </c>
      <c r="C1358" s="4">
        <v>45749</v>
      </c>
      <c r="D1358" t="s">
        <v>1632</v>
      </c>
      <c r="E1358" t="s">
        <v>1629</v>
      </c>
      <c r="F1358" s="5">
        <v>0.2</v>
      </c>
      <c r="G1358" t="s">
        <v>1630</v>
      </c>
      <c r="H1358">
        <v>2</v>
      </c>
    </row>
    <row r="1359" spans="1:8">
      <c r="A1359" t="s">
        <v>2993</v>
      </c>
      <c r="B1359" t="s">
        <v>1433</v>
      </c>
      <c r="C1359" s="4">
        <v>45052</v>
      </c>
      <c r="D1359" t="s">
        <v>1655</v>
      </c>
      <c r="E1359" t="s">
        <v>1629</v>
      </c>
      <c r="F1359" s="5">
        <v>11.5</v>
      </c>
      <c r="G1359" t="s">
        <v>1630</v>
      </c>
      <c r="H1359">
        <v>1</v>
      </c>
    </row>
    <row r="1360" spans="1:8">
      <c r="A1360" t="s">
        <v>2994</v>
      </c>
      <c r="B1360" t="s">
        <v>937</v>
      </c>
      <c r="C1360" s="4">
        <v>45319</v>
      </c>
      <c r="D1360" t="s">
        <v>1667</v>
      </c>
      <c r="E1360" t="s">
        <v>1648</v>
      </c>
      <c r="F1360" s="5">
        <v>7</v>
      </c>
      <c r="G1360" t="s">
        <v>1630</v>
      </c>
      <c r="H1360">
        <v>5</v>
      </c>
    </row>
    <row r="1361" spans="1:8">
      <c r="A1361" t="s">
        <v>2995</v>
      </c>
      <c r="B1361" t="s">
        <v>1433</v>
      </c>
      <c r="C1361" s="4">
        <v>45091</v>
      </c>
      <c r="D1361" t="s">
        <v>1632</v>
      </c>
      <c r="E1361" t="s">
        <v>1648</v>
      </c>
      <c r="F1361" s="5">
        <v>13.6</v>
      </c>
      <c r="G1361" t="s">
        <v>1626</v>
      </c>
      <c r="H1361">
        <v>2</v>
      </c>
    </row>
    <row r="1362" spans="1:8">
      <c r="A1362" t="s">
        <v>2996</v>
      </c>
      <c r="B1362" t="s">
        <v>347</v>
      </c>
      <c r="C1362" s="4">
        <v>46077</v>
      </c>
      <c r="D1362" t="s">
        <v>1628</v>
      </c>
      <c r="E1362" t="s">
        <v>1633</v>
      </c>
      <c r="F1362" s="5">
        <v>27</v>
      </c>
      <c r="G1362" t="s">
        <v>1630</v>
      </c>
      <c r="H1362">
        <v>2</v>
      </c>
    </row>
    <row r="1363" spans="1:8">
      <c r="A1363" t="s">
        <v>2997</v>
      </c>
      <c r="B1363" t="s">
        <v>923</v>
      </c>
      <c r="C1363" s="4">
        <v>45112</v>
      </c>
      <c r="D1363" t="s">
        <v>1625</v>
      </c>
      <c r="E1363" t="s">
        <v>1609</v>
      </c>
      <c r="F1363" s="5">
        <v>6.1</v>
      </c>
      <c r="G1363" t="s">
        <v>1626</v>
      </c>
      <c r="H1363">
        <v>2</v>
      </c>
    </row>
    <row r="1364" spans="1:8">
      <c r="A1364" t="s">
        <v>2998</v>
      </c>
      <c r="B1364" t="s">
        <v>1133</v>
      </c>
      <c r="C1364" s="4">
        <v>45464</v>
      </c>
      <c r="D1364" t="s">
        <v>1628</v>
      </c>
      <c r="E1364" t="s">
        <v>1648</v>
      </c>
      <c r="F1364" s="5">
        <v>2.8</v>
      </c>
      <c r="G1364" t="s">
        <v>1630</v>
      </c>
      <c r="H1364">
        <v>5</v>
      </c>
    </row>
    <row r="1365" spans="1:8">
      <c r="A1365" t="s">
        <v>2999</v>
      </c>
      <c r="B1365" t="s">
        <v>1021</v>
      </c>
      <c r="C1365" s="4">
        <v>45407</v>
      </c>
      <c r="D1365" t="s">
        <v>1667</v>
      </c>
      <c r="E1365" t="s">
        <v>1609</v>
      </c>
      <c r="F1365" s="5">
        <v>9</v>
      </c>
      <c r="G1365" t="s">
        <v>1630</v>
      </c>
      <c r="H1365">
        <v>3</v>
      </c>
    </row>
    <row r="1366" spans="1:8">
      <c r="A1366" t="s">
        <v>3000</v>
      </c>
      <c r="B1366" t="s">
        <v>679</v>
      </c>
      <c r="C1366" s="4">
        <v>46158</v>
      </c>
      <c r="D1366" t="s">
        <v>1632</v>
      </c>
      <c r="E1366" t="s">
        <v>1609</v>
      </c>
      <c r="F1366" s="5">
        <v>2.7</v>
      </c>
      <c r="G1366" t="s">
        <v>1630</v>
      </c>
      <c r="H1366">
        <v>5</v>
      </c>
    </row>
    <row r="1367" spans="1:8">
      <c r="A1367" t="s">
        <v>3001</v>
      </c>
      <c r="B1367" t="s">
        <v>857</v>
      </c>
      <c r="C1367" s="4">
        <v>45847</v>
      </c>
      <c r="D1367" t="s">
        <v>1628</v>
      </c>
      <c r="E1367" t="s">
        <v>1629</v>
      </c>
      <c r="F1367" s="5">
        <v>7.3</v>
      </c>
      <c r="G1367" t="s">
        <v>1630</v>
      </c>
      <c r="H1367">
        <v>3</v>
      </c>
    </row>
    <row r="1368" spans="1:8">
      <c r="A1368" t="s">
        <v>3002</v>
      </c>
      <c r="B1368" t="s">
        <v>1411</v>
      </c>
      <c r="C1368" s="4">
        <v>46030</v>
      </c>
      <c r="D1368" t="s">
        <v>1625</v>
      </c>
      <c r="E1368" t="s">
        <v>1609</v>
      </c>
      <c r="F1368" s="5">
        <v>3.7</v>
      </c>
      <c r="G1368" t="s">
        <v>1626</v>
      </c>
      <c r="H1368">
        <v>3</v>
      </c>
    </row>
    <row r="1369" spans="1:8">
      <c r="A1369" t="s">
        <v>3003</v>
      </c>
      <c r="B1369" t="s">
        <v>430</v>
      </c>
      <c r="C1369" s="4">
        <v>45483</v>
      </c>
      <c r="D1369" t="s">
        <v>1628</v>
      </c>
      <c r="E1369" t="s">
        <v>1648</v>
      </c>
      <c r="F1369" s="5">
        <v>10.9</v>
      </c>
      <c r="G1369" t="s">
        <v>1630</v>
      </c>
      <c r="H1369">
        <v>2</v>
      </c>
    </row>
    <row r="1370" spans="1:8">
      <c r="A1370" t="s">
        <v>3004</v>
      </c>
      <c r="B1370" t="s">
        <v>1401</v>
      </c>
      <c r="C1370" s="4">
        <v>45038</v>
      </c>
      <c r="D1370" t="s">
        <v>1632</v>
      </c>
      <c r="E1370" t="s">
        <v>1609</v>
      </c>
      <c r="F1370" s="5">
        <v>5</v>
      </c>
      <c r="G1370" t="s">
        <v>1630</v>
      </c>
      <c r="H1370">
        <v>4</v>
      </c>
    </row>
    <row r="1371" spans="1:8">
      <c r="A1371" t="s">
        <v>3005</v>
      </c>
      <c r="B1371" t="s">
        <v>933</v>
      </c>
      <c r="C1371" s="4">
        <v>45955</v>
      </c>
      <c r="D1371" t="s">
        <v>1637</v>
      </c>
      <c r="E1371" t="s">
        <v>1609</v>
      </c>
      <c r="F1371" s="5">
        <v>3.9</v>
      </c>
      <c r="G1371" t="s">
        <v>1630</v>
      </c>
      <c r="H1371">
        <v>3</v>
      </c>
    </row>
    <row r="1372" spans="1:8">
      <c r="A1372" t="s">
        <v>3006</v>
      </c>
      <c r="B1372" t="s">
        <v>1205</v>
      </c>
      <c r="C1372" s="4">
        <v>45381</v>
      </c>
      <c r="D1372" t="s">
        <v>1632</v>
      </c>
      <c r="E1372" t="s">
        <v>1633</v>
      </c>
      <c r="F1372" s="5">
        <v>17.2</v>
      </c>
      <c r="G1372" t="s">
        <v>1630</v>
      </c>
      <c r="H1372">
        <v>1</v>
      </c>
    </row>
    <row r="1373" spans="1:8">
      <c r="A1373" t="s">
        <v>3007</v>
      </c>
      <c r="B1373" t="s">
        <v>315</v>
      </c>
      <c r="C1373" s="4">
        <v>45704</v>
      </c>
      <c r="D1373" t="s">
        <v>1632</v>
      </c>
      <c r="E1373" t="s">
        <v>1633</v>
      </c>
      <c r="F1373" s="5">
        <v>17.100000000000001</v>
      </c>
      <c r="G1373" t="s">
        <v>1630</v>
      </c>
      <c r="H1373">
        <v>2</v>
      </c>
    </row>
    <row r="1374" spans="1:8">
      <c r="A1374" t="s">
        <v>3008</v>
      </c>
      <c r="B1374" t="s">
        <v>1508</v>
      </c>
      <c r="C1374" s="4">
        <v>45973</v>
      </c>
      <c r="D1374" t="s">
        <v>1628</v>
      </c>
      <c r="E1374" t="s">
        <v>1609</v>
      </c>
      <c r="F1374" s="5">
        <v>1.8</v>
      </c>
      <c r="G1374" t="s">
        <v>1630</v>
      </c>
      <c r="H1374">
        <v>1</v>
      </c>
    </row>
    <row r="1375" spans="1:8">
      <c r="A1375" t="s">
        <v>3009</v>
      </c>
      <c r="B1375" t="s">
        <v>338</v>
      </c>
      <c r="C1375" s="4">
        <v>45901</v>
      </c>
      <c r="D1375" t="s">
        <v>1628</v>
      </c>
      <c r="E1375" t="s">
        <v>1648</v>
      </c>
      <c r="F1375" s="5">
        <v>30.3</v>
      </c>
      <c r="G1375" t="s">
        <v>1630</v>
      </c>
      <c r="H1375">
        <v>3</v>
      </c>
    </row>
    <row r="1376" spans="1:8">
      <c r="A1376" t="s">
        <v>3010</v>
      </c>
      <c r="B1376" t="s">
        <v>185</v>
      </c>
      <c r="C1376" s="4">
        <v>45840</v>
      </c>
      <c r="D1376" t="s">
        <v>1637</v>
      </c>
      <c r="E1376" t="s">
        <v>1605</v>
      </c>
      <c r="F1376" s="5">
        <v>0.3</v>
      </c>
      <c r="G1376" t="s">
        <v>1630</v>
      </c>
      <c r="H1376">
        <v>1</v>
      </c>
    </row>
    <row r="1377" spans="1:8">
      <c r="A1377" t="s">
        <v>3011</v>
      </c>
      <c r="B1377" t="s">
        <v>997</v>
      </c>
      <c r="C1377" s="4">
        <v>45061</v>
      </c>
      <c r="D1377" t="s">
        <v>1625</v>
      </c>
      <c r="E1377" t="s">
        <v>1629</v>
      </c>
      <c r="F1377" s="5">
        <v>1.3</v>
      </c>
      <c r="G1377" t="s">
        <v>1630</v>
      </c>
      <c r="H1377">
        <v>4</v>
      </c>
    </row>
    <row r="1378" spans="1:8">
      <c r="A1378" t="s">
        <v>3012</v>
      </c>
      <c r="B1378" t="s">
        <v>1039</v>
      </c>
      <c r="C1378" s="4">
        <v>45283</v>
      </c>
      <c r="D1378" t="s">
        <v>1632</v>
      </c>
      <c r="E1378" t="s">
        <v>1633</v>
      </c>
      <c r="F1378" s="5">
        <v>14.3</v>
      </c>
      <c r="G1378" t="s">
        <v>1626</v>
      </c>
      <c r="H1378">
        <v>2</v>
      </c>
    </row>
    <row r="1379" spans="1:8">
      <c r="A1379" t="s">
        <v>3013</v>
      </c>
      <c r="B1379" t="s">
        <v>1327</v>
      </c>
      <c r="C1379" s="4">
        <v>44988</v>
      </c>
      <c r="D1379" t="s">
        <v>1632</v>
      </c>
      <c r="E1379" t="s">
        <v>1609</v>
      </c>
      <c r="F1379" s="5">
        <v>4.9000000000000004</v>
      </c>
      <c r="G1379" t="s">
        <v>1630</v>
      </c>
      <c r="H1379">
        <v>5</v>
      </c>
    </row>
    <row r="1380" spans="1:8">
      <c r="A1380" t="s">
        <v>3014</v>
      </c>
      <c r="B1380" t="s">
        <v>1584</v>
      </c>
      <c r="C1380" s="4">
        <v>45621</v>
      </c>
      <c r="D1380" t="s">
        <v>1667</v>
      </c>
      <c r="E1380" t="s">
        <v>1605</v>
      </c>
      <c r="F1380" s="5">
        <v>8.1999999999999993</v>
      </c>
      <c r="G1380" t="s">
        <v>1630</v>
      </c>
      <c r="H1380">
        <v>3</v>
      </c>
    </row>
    <row r="1381" spans="1:8">
      <c r="A1381" t="s">
        <v>3015</v>
      </c>
      <c r="B1381" t="s">
        <v>283</v>
      </c>
      <c r="C1381" s="4">
        <v>45081</v>
      </c>
      <c r="D1381" t="s">
        <v>1625</v>
      </c>
      <c r="E1381" t="s">
        <v>1609</v>
      </c>
      <c r="F1381" s="5">
        <v>4.4000000000000004</v>
      </c>
      <c r="G1381" t="s">
        <v>1630</v>
      </c>
      <c r="H1381">
        <v>1</v>
      </c>
    </row>
    <row r="1382" spans="1:8">
      <c r="A1382" t="s">
        <v>3016</v>
      </c>
      <c r="B1382" t="s">
        <v>1280</v>
      </c>
      <c r="C1382" s="4">
        <v>46155</v>
      </c>
      <c r="D1382" t="s">
        <v>1637</v>
      </c>
      <c r="E1382" t="s">
        <v>1629</v>
      </c>
      <c r="F1382" s="5">
        <v>15.6</v>
      </c>
      <c r="G1382" t="s">
        <v>1630</v>
      </c>
      <c r="H1382">
        <v>4</v>
      </c>
    </row>
    <row r="1383" spans="1:8">
      <c r="A1383" t="s">
        <v>3017</v>
      </c>
      <c r="B1383" t="s">
        <v>839</v>
      </c>
      <c r="C1383" s="4">
        <v>45729</v>
      </c>
      <c r="D1383" t="s">
        <v>1628</v>
      </c>
      <c r="E1383" t="s">
        <v>1648</v>
      </c>
      <c r="F1383" s="5">
        <v>0.3</v>
      </c>
      <c r="G1383" t="s">
        <v>1630</v>
      </c>
      <c r="H1383">
        <v>1</v>
      </c>
    </row>
    <row r="1384" spans="1:8">
      <c r="A1384" t="s">
        <v>3018</v>
      </c>
      <c r="B1384" t="s">
        <v>572</v>
      </c>
      <c r="C1384" s="4">
        <v>45172</v>
      </c>
      <c r="D1384" t="s">
        <v>1625</v>
      </c>
      <c r="E1384" t="s">
        <v>1605</v>
      </c>
      <c r="F1384" s="5">
        <v>41.3</v>
      </c>
      <c r="G1384" t="s">
        <v>1630</v>
      </c>
      <c r="H1384">
        <v>3</v>
      </c>
    </row>
    <row r="1385" spans="1:8">
      <c r="A1385" t="s">
        <v>3019</v>
      </c>
      <c r="B1385" t="s">
        <v>644</v>
      </c>
      <c r="C1385" s="4">
        <v>45478</v>
      </c>
      <c r="D1385" t="s">
        <v>1628</v>
      </c>
      <c r="E1385" t="s">
        <v>1648</v>
      </c>
      <c r="F1385" s="5">
        <v>3.8</v>
      </c>
      <c r="G1385" t="s">
        <v>1630</v>
      </c>
      <c r="H1385">
        <v>3</v>
      </c>
    </row>
    <row r="1386" spans="1:8">
      <c r="A1386" t="s">
        <v>3020</v>
      </c>
      <c r="B1386" t="s">
        <v>732</v>
      </c>
      <c r="C1386" s="4">
        <v>45995</v>
      </c>
      <c r="D1386" t="s">
        <v>1632</v>
      </c>
      <c r="E1386" t="s">
        <v>1629</v>
      </c>
      <c r="F1386" s="5">
        <v>18.399999999999999</v>
      </c>
      <c r="G1386" t="s">
        <v>1630</v>
      </c>
      <c r="H1386">
        <v>1</v>
      </c>
    </row>
    <row r="1387" spans="1:8">
      <c r="A1387" t="s">
        <v>3021</v>
      </c>
      <c r="B1387" t="s">
        <v>1303</v>
      </c>
      <c r="C1387" s="4">
        <v>45531</v>
      </c>
      <c r="D1387" t="s">
        <v>1655</v>
      </c>
      <c r="E1387" t="s">
        <v>1605</v>
      </c>
      <c r="F1387" s="5">
        <v>2.8</v>
      </c>
      <c r="G1387" t="s">
        <v>1630</v>
      </c>
      <c r="H1387">
        <v>3</v>
      </c>
    </row>
    <row r="1388" spans="1:8">
      <c r="A1388" t="s">
        <v>3022</v>
      </c>
      <c r="B1388" t="s">
        <v>529</v>
      </c>
      <c r="C1388" s="4">
        <v>45762</v>
      </c>
      <c r="D1388" t="s">
        <v>1641</v>
      </c>
      <c r="E1388" t="s">
        <v>1648</v>
      </c>
      <c r="F1388" s="5">
        <v>0.8</v>
      </c>
      <c r="G1388" t="s">
        <v>1626</v>
      </c>
      <c r="H1388">
        <v>1</v>
      </c>
    </row>
    <row r="1389" spans="1:8">
      <c r="A1389" t="s">
        <v>3023</v>
      </c>
      <c r="B1389" t="s">
        <v>915</v>
      </c>
      <c r="C1389" s="4">
        <v>45672</v>
      </c>
      <c r="D1389" t="s">
        <v>1628</v>
      </c>
      <c r="E1389" t="s">
        <v>1605</v>
      </c>
      <c r="F1389" s="5">
        <v>6.4</v>
      </c>
      <c r="G1389" t="s">
        <v>1630</v>
      </c>
      <c r="H1389">
        <v>4</v>
      </c>
    </row>
    <row r="1390" spans="1:8">
      <c r="A1390" t="s">
        <v>3024</v>
      </c>
      <c r="B1390" t="s">
        <v>838</v>
      </c>
      <c r="C1390" s="4">
        <v>45047</v>
      </c>
      <c r="D1390" t="s">
        <v>1628</v>
      </c>
      <c r="E1390" t="s">
        <v>1629</v>
      </c>
      <c r="F1390" s="5">
        <v>8.4</v>
      </c>
      <c r="G1390" t="s">
        <v>1630</v>
      </c>
      <c r="H1390">
        <v>2</v>
      </c>
    </row>
    <row r="1391" spans="1:8">
      <c r="A1391" t="s">
        <v>3025</v>
      </c>
      <c r="B1391" t="s">
        <v>1531</v>
      </c>
      <c r="C1391" s="4">
        <v>45528</v>
      </c>
      <c r="D1391" t="s">
        <v>1628</v>
      </c>
      <c r="E1391" t="s">
        <v>1633</v>
      </c>
      <c r="F1391" s="5">
        <v>1.1000000000000001</v>
      </c>
      <c r="G1391" t="s">
        <v>1630</v>
      </c>
      <c r="H1391">
        <v>3</v>
      </c>
    </row>
    <row r="1392" spans="1:8">
      <c r="A1392" t="s">
        <v>3026</v>
      </c>
      <c r="B1392" t="s">
        <v>185</v>
      </c>
      <c r="C1392" s="4">
        <v>45647</v>
      </c>
      <c r="D1392" t="s">
        <v>1625</v>
      </c>
      <c r="E1392" t="s">
        <v>1629</v>
      </c>
      <c r="F1392" s="5">
        <v>2.4</v>
      </c>
      <c r="G1392" t="s">
        <v>1630</v>
      </c>
      <c r="H1392">
        <v>5</v>
      </c>
    </row>
    <row r="1393" spans="1:8">
      <c r="A1393" t="s">
        <v>3027</v>
      </c>
      <c r="B1393" t="s">
        <v>1404</v>
      </c>
      <c r="C1393" s="4">
        <v>45827</v>
      </c>
      <c r="D1393" t="s">
        <v>1655</v>
      </c>
      <c r="E1393" t="s">
        <v>1633</v>
      </c>
      <c r="F1393" s="5">
        <v>9.1</v>
      </c>
      <c r="G1393" t="s">
        <v>1626</v>
      </c>
      <c r="H1393">
        <v>2</v>
      </c>
    </row>
    <row r="1394" spans="1:8">
      <c r="A1394" t="s">
        <v>3028</v>
      </c>
      <c r="B1394" t="s">
        <v>1419</v>
      </c>
      <c r="C1394" s="4">
        <v>45484</v>
      </c>
      <c r="D1394" t="s">
        <v>1655</v>
      </c>
      <c r="E1394" t="s">
        <v>1648</v>
      </c>
      <c r="F1394" s="5">
        <v>6.3</v>
      </c>
      <c r="G1394" t="s">
        <v>1630</v>
      </c>
      <c r="H1394">
        <v>5</v>
      </c>
    </row>
    <row r="1395" spans="1:8">
      <c r="A1395" t="s">
        <v>3029</v>
      </c>
      <c r="B1395" t="s">
        <v>906</v>
      </c>
      <c r="C1395" s="4">
        <v>45947</v>
      </c>
      <c r="D1395" t="s">
        <v>1628</v>
      </c>
      <c r="E1395" t="s">
        <v>1633</v>
      </c>
      <c r="F1395" s="5">
        <v>2.6</v>
      </c>
      <c r="G1395" t="s">
        <v>1630</v>
      </c>
      <c r="H1395">
        <v>4</v>
      </c>
    </row>
    <row r="1396" spans="1:8">
      <c r="A1396" t="s">
        <v>3030</v>
      </c>
      <c r="B1396" t="s">
        <v>409</v>
      </c>
      <c r="C1396" s="4">
        <v>45331</v>
      </c>
      <c r="D1396" t="s">
        <v>1667</v>
      </c>
      <c r="E1396" t="s">
        <v>1605</v>
      </c>
      <c r="F1396" s="5">
        <v>4.5</v>
      </c>
      <c r="G1396" t="s">
        <v>1630</v>
      </c>
      <c r="H1396">
        <v>4</v>
      </c>
    </row>
    <row r="1397" spans="1:8">
      <c r="A1397" t="s">
        <v>3031</v>
      </c>
      <c r="B1397" t="s">
        <v>1122</v>
      </c>
      <c r="C1397" s="4">
        <v>46010</v>
      </c>
      <c r="D1397" t="s">
        <v>1625</v>
      </c>
      <c r="E1397" t="s">
        <v>1648</v>
      </c>
      <c r="F1397" s="5">
        <v>0.6</v>
      </c>
      <c r="G1397" t="s">
        <v>1630</v>
      </c>
      <c r="H1397">
        <v>3</v>
      </c>
    </row>
    <row r="1398" spans="1:8">
      <c r="A1398" t="s">
        <v>3032</v>
      </c>
      <c r="B1398" t="s">
        <v>1063</v>
      </c>
      <c r="C1398" s="4">
        <v>45919</v>
      </c>
      <c r="D1398" t="s">
        <v>1667</v>
      </c>
      <c r="E1398" t="s">
        <v>1605</v>
      </c>
      <c r="F1398" s="5">
        <v>1.2</v>
      </c>
      <c r="G1398" t="s">
        <v>1630</v>
      </c>
      <c r="H1398">
        <v>3</v>
      </c>
    </row>
    <row r="1399" spans="1:8">
      <c r="A1399" t="s">
        <v>3033</v>
      </c>
      <c r="B1399" t="s">
        <v>474</v>
      </c>
      <c r="C1399" s="4">
        <v>46165</v>
      </c>
      <c r="D1399" t="s">
        <v>1641</v>
      </c>
      <c r="E1399" t="s">
        <v>1605</v>
      </c>
      <c r="F1399" s="5">
        <v>1.5</v>
      </c>
      <c r="G1399" t="s">
        <v>1630</v>
      </c>
      <c r="H1399">
        <v>5</v>
      </c>
    </row>
    <row r="1400" spans="1:8">
      <c r="A1400" t="s">
        <v>3034</v>
      </c>
      <c r="B1400" t="s">
        <v>364</v>
      </c>
      <c r="C1400" s="4">
        <v>44949</v>
      </c>
      <c r="D1400" t="s">
        <v>1625</v>
      </c>
      <c r="E1400" t="s">
        <v>1629</v>
      </c>
      <c r="F1400" s="5">
        <v>0.6</v>
      </c>
      <c r="G1400" t="s">
        <v>1630</v>
      </c>
      <c r="H1400">
        <v>5</v>
      </c>
    </row>
    <row r="1401" spans="1:8">
      <c r="A1401" t="s">
        <v>3035</v>
      </c>
      <c r="B1401" t="s">
        <v>1088</v>
      </c>
      <c r="C1401" s="4">
        <v>45762</v>
      </c>
      <c r="D1401" t="s">
        <v>1628</v>
      </c>
      <c r="E1401" t="s">
        <v>1633</v>
      </c>
      <c r="F1401" s="5">
        <v>3.8</v>
      </c>
      <c r="G1401" t="s">
        <v>1626</v>
      </c>
      <c r="H1401">
        <v>3</v>
      </c>
    </row>
    <row r="1402" spans="1:8">
      <c r="A1402" t="s">
        <v>3036</v>
      </c>
      <c r="B1402" t="s">
        <v>1195</v>
      </c>
      <c r="C1402" s="4">
        <v>45243</v>
      </c>
      <c r="D1402" t="s">
        <v>1641</v>
      </c>
      <c r="E1402" t="s">
        <v>1648</v>
      </c>
      <c r="F1402" s="5">
        <v>12.5</v>
      </c>
      <c r="G1402" t="s">
        <v>1630</v>
      </c>
      <c r="H1402">
        <v>2</v>
      </c>
    </row>
    <row r="1403" spans="1:8">
      <c r="A1403" t="s">
        <v>3037</v>
      </c>
      <c r="B1403" t="s">
        <v>529</v>
      </c>
      <c r="C1403" s="4">
        <v>45583</v>
      </c>
      <c r="D1403" t="s">
        <v>1632</v>
      </c>
      <c r="E1403" t="s">
        <v>1629</v>
      </c>
      <c r="F1403" s="5">
        <v>16</v>
      </c>
      <c r="G1403" t="s">
        <v>1630</v>
      </c>
      <c r="H1403">
        <v>5</v>
      </c>
    </row>
    <row r="1404" spans="1:8">
      <c r="A1404" t="s">
        <v>3038</v>
      </c>
      <c r="B1404" t="s">
        <v>924</v>
      </c>
      <c r="C1404" s="4">
        <v>45941</v>
      </c>
      <c r="D1404" t="s">
        <v>1625</v>
      </c>
      <c r="E1404" t="s">
        <v>1605</v>
      </c>
      <c r="F1404" s="5">
        <v>3.7</v>
      </c>
      <c r="G1404" t="s">
        <v>1630</v>
      </c>
      <c r="H1404">
        <v>1</v>
      </c>
    </row>
    <row r="1405" spans="1:8">
      <c r="A1405" t="s">
        <v>3039</v>
      </c>
      <c r="B1405" t="s">
        <v>677</v>
      </c>
      <c r="C1405" s="4">
        <v>45175</v>
      </c>
      <c r="D1405" t="s">
        <v>1628</v>
      </c>
      <c r="E1405" t="s">
        <v>1648</v>
      </c>
      <c r="F1405" s="5">
        <v>1.5</v>
      </c>
      <c r="G1405" t="s">
        <v>1630</v>
      </c>
      <c r="H1405">
        <v>3</v>
      </c>
    </row>
    <row r="1406" spans="1:8">
      <c r="A1406" t="s">
        <v>3040</v>
      </c>
      <c r="B1406" t="s">
        <v>1501</v>
      </c>
      <c r="C1406" s="4">
        <v>45432</v>
      </c>
      <c r="D1406" t="s">
        <v>1628</v>
      </c>
      <c r="E1406" t="s">
        <v>1605</v>
      </c>
      <c r="F1406" s="5">
        <v>7.4</v>
      </c>
      <c r="G1406" t="s">
        <v>1630</v>
      </c>
      <c r="H1406">
        <v>5</v>
      </c>
    </row>
    <row r="1407" spans="1:8">
      <c r="A1407" t="s">
        <v>3041</v>
      </c>
      <c r="B1407" t="s">
        <v>276</v>
      </c>
      <c r="C1407" s="4">
        <v>45243</v>
      </c>
      <c r="D1407" t="s">
        <v>1667</v>
      </c>
      <c r="E1407" t="s">
        <v>1629</v>
      </c>
      <c r="F1407" s="5">
        <v>0.2</v>
      </c>
      <c r="G1407" t="s">
        <v>1630</v>
      </c>
      <c r="H1407">
        <v>1</v>
      </c>
    </row>
    <row r="1408" spans="1:8">
      <c r="A1408" t="s">
        <v>3042</v>
      </c>
      <c r="B1408" t="s">
        <v>659</v>
      </c>
      <c r="C1408" s="4">
        <v>45536</v>
      </c>
      <c r="D1408" t="s">
        <v>1628</v>
      </c>
      <c r="E1408" t="s">
        <v>1629</v>
      </c>
      <c r="F1408" s="5">
        <v>21.3</v>
      </c>
      <c r="G1408" t="s">
        <v>1630</v>
      </c>
      <c r="H1408">
        <v>5</v>
      </c>
    </row>
    <row r="1409" spans="1:8">
      <c r="A1409" t="s">
        <v>3043</v>
      </c>
      <c r="B1409" t="s">
        <v>1286</v>
      </c>
      <c r="C1409" s="4">
        <v>45064</v>
      </c>
      <c r="D1409" t="s">
        <v>1667</v>
      </c>
      <c r="E1409" t="s">
        <v>1633</v>
      </c>
      <c r="F1409" s="5">
        <v>10.8</v>
      </c>
      <c r="G1409" t="s">
        <v>1630</v>
      </c>
      <c r="H1409">
        <v>1</v>
      </c>
    </row>
    <row r="1410" spans="1:8">
      <c r="A1410" t="s">
        <v>3044</v>
      </c>
      <c r="B1410" t="s">
        <v>1471</v>
      </c>
      <c r="C1410" s="4">
        <v>45509</v>
      </c>
      <c r="D1410" t="s">
        <v>1632</v>
      </c>
      <c r="E1410" t="s">
        <v>1648</v>
      </c>
      <c r="F1410" s="5">
        <v>0.6</v>
      </c>
      <c r="G1410" t="s">
        <v>1630</v>
      </c>
      <c r="H1410">
        <v>1</v>
      </c>
    </row>
    <row r="1411" spans="1:8">
      <c r="A1411" t="s">
        <v>3045</v>
      </c>
      <c r="B1411" t="s">
        <v>506</v>
      </c>
      <c r="C1411" s="4">
        <v>45984</v>
      </c>
      <c r="D1411" t="s">
        <v>1655</v>
      </c>
      <c r="E1411" t="s">
        <v>1629</v>
      </c>
      <c r="F1411" s="5">
        <v>3.1</v>
      </c>
      <c r="G1411" t="s">
        <v>1626</v>
      </c>
      <c r="H1411">
        <v>3</v>
      </c>
    </row>
    <row r="1412" spans="1:8">
      <c r="A1412" t="s">
        <v>3046</v>
      </c>
      <c r="B1412" t="s">
        <v>932</v>
      </c>
      <c r="C1412" s="4">
        <v>45198</v>
      </c>
      <c r="D1412" t="s">
        <v>1628</v>
      </c>
      <c r="E1412" t="s">
        <v>1648</v>
      </c>
      <c r="F1412" s="5">
        <v>6.2</v>
      </c>
      <c r="G1412" t="s">
        <v>1630</v>
      </c>
      <c r="H1412">
        <v>4</v>
      </c>
    </row>
    <row r="1413" spans="1:8">
      <c r="A1413" t="s">
        <v>3047</v>
      </c>
      <c r="B1413" t="s">
        <v>671</v>
      </c>
      <c r="C1413" s="4">
        <v>45254</v>
      </c>
      <c r="D1413" t="s">
        <v>1632</v>
      </c>
      <c r="E1413" t="s">
        <v>1605</v>
      </c>
      <c r="F1413" s="5">
        <v>2.8</v>
      </c>
      <c r="G1413" t="s">
        <v>1630</v>
      </c>
      <c r="H1413">
        <v>5</v>
      </c>
    </row>
    <row r="1414" spans="1:8">
      <c r="A1414" t="s">
        <v>3048</v>
      </c>
      <c r="B1414" t="s">
        <v>1588</v>
      </c>
      <c r="C1414" s="4">
        <v>45236</v>
      </c>
      <c r="D1414" t="s">
        <v>1628</v>
      </c>
      <c r="E1414" t="s">
        <v>1605</v>
      </c>
      <c r="F1414" s="5">
        <v>2.1</v>
      </c>
      <c r="G1414" t="s">
        <v>1626</v>
      </c>
      <c r="H1414">
        <v>1</v>
      </c>
    </row>
    <row r="1415" spans="1:8">
      <c r="A1415" t="s">
        <v>3049</v>
      </c>
      <c r="B1415" t="s">
        <v>1069</v>
      </c>
      <c r="C1415" s="4">
        <v>45919</v>
      </c>
      <c r="D1415" t="s">
        <v>1667</v>
      </c>
      <c r="E1415" t="s">
        <v>1629</v>
      </c>
      <c r="F1415" s="5">
        <v>7.5</v>
      </c>
      <c r="G1415" t="s">
        <v>1630</v>
      </c>
      <c r="H1415">
        <v>5</v>
      </c>
    </row>
    <row r="1416" spans="1:8">
      <c r="A1416" t="s">
        <v>3050</v>
      </c>
      <c r="B1416" t="s">
        <v>1558</v>
      </c>
      <c r="C1416" s="4">
        <v>45461</v>
      </c>
      <c r="D1416" t="s">
        <v>1641</v>
      </c>
      <c r="E1416" t="s">
        <v>1648</v>
      </c>
      <c r="F1416" s="5">
        <v>4.0999999999999996</v>
      </c>
      <c r="G1416" t="s">
        <v>1626</v>
      </c>
      <c r="H1416">
        <v>3</v>
      </c>
    </row>
    <row r="1417" spans="1:8">
      <c r="A1417" t="s">
        <v>3051</v>
      </c>
      <c r="B1417" t="s">
        <v>1555</v>
      </c>
      <c r="C1417" s="4">
        <v>46043</v>
      </c>
      <c r="D1417" t="s">
        <v>1667</v>
      </c>
      <c r="E1417" t="s">
        <v>1609</v>
      </c>
      <c r="F1417" s="5">
        <v>8.4</v>
      </c>
      <c r="G1417" t="s">
        <v>1626</v>
      </c>
      <c r="H1417">
        <v>2</v>
      </c>
    </row>
    <row r="1418" spans="1:8">
      <c r="A1418" t="s">
        <v>3052</v>
      </c>
      <c r="B1418" t="s">
        <v>1018</v>
      </c>
      <c r="C1418" s="4">
        <v>45196</v>
      </c>
      <c r="D1418" t="s">
        <v>1637</v>
      </c>
      <c r="E1418" t="s">
        <v>1609</v>
      </c>
      <c r="F1418" s="5">
        <v>5.0999999999999996</v>
      </c>
      <c r="G1418" t="s">
        <v>1630</v>
      </c>
      <c r="H1418">
        <v>1</v>
      </c>
    </row>
    <row r="1419" spans="1:8">
      <c r="A1419" t="s">
        <v>3053</v>
      </c>
      <c r="B1419" t="s">
        <v>903</v>
      </c>
      <c r="C1419" s="4">
        <v>45763</v>
      </c>
      <c r="D1419" t="s">
        <v>1625</v>
      </c>
      <c r="E1419" t="s">
        <v>1648</v>
      </c>
      <c r="F1419" s="5">
        <v>4.5</v>
      </c>
      <c r="G1419" t="s">
        <v>1630</v>
      </c>
      <c r="H1419">
        <v>4</v>
      </c>
    </row>
    <row r="1420" spans="1:8">
      <c r="A1420" t="s">
        <v>3054</v>
      </c>
      <c r="B1420" t="s">
        <v>410</v>
      </c>
      <c r="C1420" s="4">
        <v>45521</v>
      </c>
      <c r="D1420" t="s">
        <v>1655</v>
      </c>
      <c r="E1420" t="s">
        <v>1609</v>
      </c>
      <c r="F1420" s="5">
        <v>3</v>
      </c>
      <c r="G1420" t="s">
        <v>1630</v>
      </c>
      <c r="H1420">
        <v>3</v>
      </c>
    </row>
    <row r="1421" spans="1:8">
      <c r="A1421" t="s">
        <v>3055</v>
      </c>
      <c r="B1421" t="s">
        <v>960</v>
      </c>
      <c r="C1421" s="4">
        <v>45454</v>
      </c>
      <c r="D1421" t="s">
        <v>1628</v>
      </c>
      <c r="E1421" t="s">
        <v>1605</v>
      </c>
      <c r="F1421" s="5">
        <v>3.1</v>
      </c>
      <c r="G1421" t="s">
        <v>1626</v>
      </c>
      <c r="H1421">
        <v>3</v>
      </c>
    </row>
    <row r="1422" spans="1:8">
      <c r="A1422" t="s">
        <v>3056</v>
      </c>
      <c r="B1422" t="s">
        <v>488</v>
      </c>
      <c r="C1422" s="4">
        <v>45914</v>
      </c>
      <c r="D1422" t="s">
        <v>1632</v>
      </c>
      <c r="E1422" t="s">
        <v>1633</v>
      </c>
      <c r="F1422" s="5">
        <v>15.2</v>
      </c>
      <c r="G1422" t="s">
        <v>1630</v>
      </c>
      <c r="H1422">
        <v>1</v>
      </c>
    </row>
    <row r="1423" spans="1:8">
      <c r="A1423" t="s">
        <v>3057</v>
      </c>
      <c r="B1423" t="s">
        <v>967</v>
      </c>
      <c r="C1423" s="4">
        <v>45930</v>
      </c>
      <c r="D1423" t="s">
        <v>1641</v>
      </c>
      <c r="E1423" t="s">
        <v>1605</v>
      </c>
      <c r="F1423" s="5">
        <v>0.6</v>
      </c>
      <c r="G1423" t="s">
        <v>1626</v>
      </c>
      <c r="H1423">
        <v>2</v>
      </c>
    </row>
    <row r="1424" spans="1:8">
      <c r="A1424" t="s">
        <v>3058</v>
      </c>
      <c r="B1424" t="s">
        <v>231</v>
      </c>
      <c r="C1424" s="4">
        <v>45389</v>
      </c>
      <c r="D1424" t="s">
        <v>1625</v>
      </c>
      <c r="E1424" t="s">
        <v>1648</v>
      </c>
      <c r="F1424" s="5">
        <v>11.5</v>
      </c>
      <c r="G1424" t="s">
        <v>1630</v>
      </c>
      <c r="H1424">
        <v>1</v>
      </c>
    </row>
    <row r="1425" spans="1:8">
      <c r="A1425" t="s">
        <v>3059</v>
      </c>
      <c r="B1425" t="s">
        <v>399</v>
      </c>
      <c r="C1425" s="4">
        <v>45610</v>
      </c>
      <c r="D1425" t="s">
        <v>1655</v>
      </c>
      <c r="E1425" t="s">
        <v>1648</v>
      </c>
      <c r="F1425" s="5">
        <v>7.3</v>
      </c>
      <c r="G1425" t="s">
        <v>1630</v>
      </c>
      <c r="H1425">
        <v>2</v>
      </c>
    </row>
    <row r="1426" spans="1:8">
      <c r="A1426" t="s">
        <v>3060</v>
      </c>
      <c r="B1426" t="s">
        <v>994</v>
      </c>
      <c r="C1426" s="4">
        <v>45918</v>
      </c>
      <c r="D1426" t="s">
        <v>1628</v>
      </c>
      <c r="E1426" t="s">
        <v>1629</v>
      </c>
      <c r="F1426" s="5">
        <v>0.3</v>
      </c>
      <c r="G1426" t="s">
        <v>1630</v>
      </c>
      <c r="H1426">
        <v>2</v>
      </c>
    </row>
    <row r="1427" spans="1:8">
      <c r="A1427" t="s">
        <v>3061</v>
      </c>
      <c r="B1427" t="s">
        <v>1398</v>
      </c>
      <c r="C1427" s="4">
        <v>45528</v>
      </c>
      <c r="D1427" t="s">
        <v>1637</v>
      </c>
      <c r="E1427" t="s">
        <v>1633</v>
      </c>
      <c r="F1427" s="5">
        <v>2.6</v>
      </c>
      <c r="G1427" t="s">
        <v>1630</v>
      </c>
      <c r="H1427">
        <v>5</v>
      </c>
    </row>
    <row r="1428" spans="1:8">
      <c r="A1428" t="s">
        <v>3062</v>
      </c>
      <c r="B1428" t="s">
        <v>1129</v>
      </c>
      <c r="C1428" s="4">
        <v>44927</v>
      </c>
      <c r="D1428" t="s">
        <v>1655</v>
      </c>
      <c r="E1428" t="s">
        <v>1629</v>
      </c>
      <c r="F1428" s="5">
        <v>4.5</v>
      </c>
      <c r="G1428" t="s">
        <v>1630</v>
      </c>
      <c r="H1428">
        <v>5</v>
      </c>
    </row>
    <row r="1429" spans="1:8">
      <c r="A1429" t="s">
        <v>3063</v>
      </c>
      <c r="B1429" t="s">
        <v>852</v>
      </c>
      <c r="C1429" s="4">
        <v>45190</v>
      </c>
      <c r="D1429" t="s">
        <v>1655</v>
      </c>
      <c r="E1429" t="s">
        <v>1633</v>
      </c>
      <c r="F1429" s="5">
        <v>34.4</v>
      </c>
      <c r="G1429" t="s">
        <v>1626</v>
      </c>
      <c r="H1429">
        <v>1</v>
      </c>
    </row>
    <row r="1430" spans="1:8">
      <c r="A1430" t="s">
        <v>3064</v>
      </c>
      <c r="B1430" t="s">
        <v>1243</v>
      </c>
      <c r="C1430" s="4">
        <v>45890</v>
      </c>
      <c r="D1430" t="s">
        <v>1625</v>
      </c>
      <c r="E1430" t="s">
        <v>1609</v>
      </c>
      <c r="F1430" s="5">
        <v>12</v>
      </c>
      <c r="G1430" t="s">
        <v>1630</v>
      </c>
      <c r="H1430">
        <v>4</v>
      </c>
    </row>
    <row r="1431" spans="1:8">
      <c r="A1431" t="s">
        <v>3065</v>
      </c>
      <c r="B1431" t="s">
        <v>1158</v>
      </c>
      <c r="C1431" s="4">
        <v>44996</v>
      </c>
      <c r="D1431" t="s">
        <v>1667</v>
      </c>
      <c r="E1431" t="s">
        <v>1648</v>
      </c>
      <c r="F1431" s="5">
        <v>15.4</v>
      </c>
      <c r="G1431" t="s">
        <v>1626</v>
      </c>
      <c r="H1431">
        <v>1</v>
      </c>
    </row>
    <row r="1432" spans="1:8">
      <c r="A1432" t="s">
        <v>3066</v>
      </c>
      <c r="B1432" t="s">
        <v>949</v>
      </c>
      <c r="C1432" s="4">
        <v>45416</v>
      </c>
      <c r="D1432" t="s">
        <v>1667</v>
      </c>
      <c r="E1432" t="s">
        <v>1605</v>
      </c>
      <c r="F1432" s="5">
        <v>16</v>
      </c>
      <c r="G1432" t="s">
        <v>1630</v>
      </c>
      <c r="H1432">
        <v>1</v>
      </c>
    </row>
    <row r="1433" spans="1:8">
      <c r="A1433" t="s">
        <v>3067</v>
      </c>
      <c r="B1433" t="s">
        <v>623</v>
      </c>
      <c r="C1433" s="4">
        <v>45647</v>
      </c>
      <c r="D1433" t="s">
        <v>1625</v>
      </c>
      <c r="E1433" t="s">
        <v>1633</v>
      </c>
      <c r="F1433" s="5">
        <v>0.3</v>
      </c>
      <c r="G1433" t="s">
        <v>1630</v>
      </c>
      <c r="H1433">
        <v>5</v>
      </c>
    </row>
    <row r="1434" spans="1:8">
      <c r="A1434" t="s">
        <v>3068</v>
      </c>
      <c r="B1434" t="s">
        <v>1381</v>
      </c>
      <c r="C1434" s="4">
        <v>45652</v>
      </c>
      <c r="D1434" t="s">
        <v>1641</v>
      </c>
      <c r="E1434" t="s">
        <v>1633</v>
      </c>
      <c r="F1434" s="5">
        <v>3.4</v>
      </c>
      <c r="G1434" t="s">
        <v>1630</v>
      </c>
      <c r="H1434">
        <v>1</v>
      </c>
    </row>
    <row r="1435" spans="1:8">
      <c r="A1435" t="s">
        <v>3069</v>
      </c>
      <c r="B1435" t="s">
        <v>712</v>
      </c>
      <c r="C1435" s="4">
        <v>45852</v>
      </c>
      <c r="D1435" t="s">
        <v>1628</v>
      </c>
      <c r="E1435" t="s">
        <v>1648</v>
      </c>
      <c r="F1435" s="5">
        <v>4</v>
      </c>
      <c r="G1435" t="s">
        <v>1630</v>
      </c>
      <c r="H1435">
        <v>5</v>
      </c>
    </row>
    <row r="1436" spans="1:8">
      <c r="A1436" t="s">
        <v>3070</v>
      </c>
      <c r="B1436" t="s">
        <v>1208</v>
      </c>
      <c r="C1436" s="4">
        <v>45166</v>
      </c>
      <c r="D1436" t="s">
        <v>1667</v>
      </c>
      <c r="E1436" t="s">
        <v>1609</v>
      </c>
      <c r="F1436" s="5">
        <v>8.3000000000000007</v>
      </c>
      <c r="G1436" t="s">
        <v>1626</v>
      </c>
      <c r="H1436">
        <v>1</v>
      </c>
    </row>
    <row r="1437" spans="1:8">
      <c r="A1437" t="s">
        <v>3071</v>
      </c>
      <c r="B1437" t="s">
        <v>204</v>
      </c>
      <c r="C1437" s="4">
        <v>45510</v>
      </c>
      <c r="D1437" t="s">
        <v>1628</v>
      </c>
      <c r="E1437" t="s">
        <v>1605</v>
      </c>
      <c r="F1437" s="5">
        <v>17.8</v>
      </c>
      <c r="G1437" t="s">
        <v>1630</v>
      </c>
      <c r="H1437">
        <v>3</v>
      </c>
    </row>
    <row r="1438" spans="1:8">
      <c r="A1438" t="s">
        <v>3072</v>
      </c>
      <c r="B1438" t="s">
        <v>708</v>
      </c>
      <c r="C1438" s="4">
        <v>45565</v>
      </c>
      <c r="D1438" t="s">
        <v>1628</v>
      </c>
      <c r="E1438" t="s">
        <v>1633</v>
      </c>
      <c r="F1438" s="5">
        <v>33.4</v>
      </c>
      <c r="G1438" t="s">
        <v>1626</v>
      </c>
      <c r="H1438">
        <v>1</v>
      </c>
    </row>
    <row r="1439" spans="1:8">
      <c r="A1439" t="s">
        <v>3073</v>
      </c>
      <c r="B1439" t="s">
        <v>1122</v>
      </c>
      <c r="C1439" s="4">
        <v>46045</v>
      </c>
      <c r="D1439" t="s">
        <v>1628</v>
      </c>
      <c r="E1439" t="s">
        <v>1609</v>
      </c>
      <c r="F1439" s="5">
        <v>13</v>
      </c>
      <c r="G1439" t="s">
        <v>1630</v>
      </c>
      <c r="H1439">
        <v>2</v>
      </c>
    </row>
    <row r="1440" spans="1:8">
      <c r="A1440" t="s">
        <v>3074</v>
      </c>
      <c r="B1440" t="s">
        <v>1096</v>
      </c>
      <c r="C1440" s="4">
        <v>45710</v>
      </c>
      <c r="D1440" t="s">
        <v>1625</v>
      </c>
      <c r="E1440" t="s">
        <v>1605</v>
      </c>
      <c r="F1440" s="5">
        <v>11.7</v>
      </c>
      <c r="G1440" t="s">
        <v>1630</v>
      </c>
      <c r="H1440">
        <v>1</v>
      </c>
    </row>
    <row r="1441" spans="1:8">
      <c r="A1441" t="s">
        <v>3075</v>
      </c>
      <c r="B1441" t="s">
        <v>571</v>
      </c>
      <c r="C1441" s="4">
        <v>45979</v>
      </c>
      <c r="D1441" t="s">
        <v>1625</v>
      </c>
      <c r="E1441" t="s">
        <v>1648</v>
      </c>
      <c r="F1441" s="5">
        <v>6.5</v>
      </c>
      <c r="G1441" t="s">
        <v>1630</v>
      </c>
      <c r="H1441">
        <v>3</v>
      </c>
    </row>
    <row r="1442" spans="1:8">
      <c r="A1442" t="s">
        <v>3076</v>
      </c>
      <c r="B1442" t="s">
        <v>1157</v>
      </c>
      <c r="C1442" s="4">
        <v>44970</v>
      </c>
      <c r="D1442" t="s">
        <v>1632</v>
      </c>
      <c r="E1442" t="s">
        <v>1648</v>
      </c>
      <c r="F1442" s="5">
        <v>6.2</v>
      </c>
      <c r="G1442" t="s">
        <v>1630</v>
      </c>
      <c r="H1442">
        <v>3</v>
      </c>
    </row>
    <row r="1443" spans="1:8">
      <c r="A1443" t="s">
        <v>3077</v>
      </c>
      <c r="B1443" t="s">
        <v>420</v>
      </c>
      <c r="C1443" s="4">
        <v>45619</v>
      </c>
      <c r="D1443" t="s">
        <v>1628</v>
      </c>
      <c r="E1443" t="s">
        <v>1629</v>
      </c>
      <c r="F1443" s="5">
        <v>2.7</v>
      </c>
      <c r="G1443" t="s">
        <v>1630</v>
      </c>
      <c r="H1443">
        <v>5</v>
      </c>
    </row>
    <row r="1444" spans="1:8">
      <c r="A1444" t="s">
        <v>3078</v>
      </c>
      <c r="B1444" t="s">
        <v>510</v>
      </c>
      <c r="C1444" s="4">
        <v>45344</v>
      </c>
      <c r="D1444" t="s">
        <v>1632</v>
      </c>
      <c r="E1444" t="s">
        <v>1633</v>
      </c>
      <c r="F1444" s="5">
        <v>10.199999999999999</v>
      </c>
      <c r="G1444" t="s">
        <v>1630</v>
      </c>
      <c r="H1444">
        <v>1</v>
      </c>
    </row>
    <row r="1445" spans="1:8">
      <c r="A1445" t="s">
        <v>3079</v>
      </c>
      <c r="B1445" t="s">
        <v>1546</v>
      </c>
      <c r="C1445" s="4">
        <v>45315</v>
      </c>
      <c r="D1445" t="s">
        <v>1641</v>
      </c>
      <c r="E1445" t="s">
        <v>1629</v>
      </c>
      <c r="F1445" s="5">
        <v>2.9</v>
      </c>
      <c r="G1445" t="s">
        <v>1626</v>
      </c>
      <c r="H1445">
        <v>3</v>
      </c>
    </row>
    <row r="1446" spans="1:8">
      <c r="A1446" t="s">
        <v>3080</v>
      </c>
      <c r="B1446" t="s">
        <v>1517</v>
      </c>
      <c r="C1446" s="4">
        <v>45965</v>
      </c>
      <c r="D1446" t="s">
        <v>1637</v>
      </c>
      <c r="E1446" t="s">
        <v>1629</v>
      </c>
      <c r="F1446" s="5">
        <v>5.3</v>
      </c>
      <c r="G1446" t="s">
        <v>1630</v>
      </c>
      <c r="H1446">
        <v>5</v>
      </c>
    </row>
    <row r="1447" spans="1:8">
      <c r="A1447" t="s">
        <v>3081</v>
      </c>
      <c r="B1447" t="s">
        <v>1051</v>
      </c>
      <c r="C1447" s="4">
        <v>45916</v>
      </c>
      <c r="D1447" t="s">
        <v>1667</v>
      </c>
      <c r="E1447" t="s">
        <v>1609</v>
      </c>
      <c r="F1447" s="5">
        <v>7.3</v>
      </c>
      <c r="G1447" t="s">
        <v>1630</v>
      </c>
      <c r="H1447">
        <v>1</v>
      </c>
    </row>
    <row r="1448" spans="1:8">
      <c r="A1448" t="s">
        <v>3082</v>
      </c>
      <c r="B1448" t="s">
        <v>1113</v>
      </c>
      <c r="C1448" s="4">
        <v>45116</v>
      </c>
      <c r="D1448" t="s">
        <v>1641</v>
      </c>
      <c r="E1448" t="s">
        <v>1633</v>
      </c>
      <c r="F1448" s="5">
        <v>16.100000000000001</v>
      </c>
      <c r="G1448" t="s">
        <v>1630</v>
      </c>
      <c r="H1448">
        <v>2</v>
      </c>
    </row>
    <row r="1449" spans="1:8">
      <c r="A1449" t="s">
        <v>3083</v>
      </c>
      <c r="B1449" t="s">
        <v>1229</v>
      </c>
      <c r="C1449" s="4">
        <v>45224</v>
      </c>
      <c r="D1449" t="s">
        <v>1655</v>
      </c>
      <c r="E1449" t="s">
        <v>1629</v>
      </c>
      <c r="F1449" s="5">
        <v>0.8</v>
      </c>
      <c r="G1449" t="s">
        <v>1630</v>
      </c>
      <c r="H1449">
        <v>3</v>
      </c>
    </row>
    <row r="1450" spans="1:8">
      <c r="A1450" t="s">
        <v>3084</v>
      </c>
      <c r="B1450" t="s">
        <v>1043</v>
      </c>
      <c r="C1450" s="4">
        <v>45620</v>
      </c>
      <c r="D1450" t="s">
        <v>1641</v>
      </c>
      <c r="E1450" t="s">
        <v>1633</v>
      </c>
      <c r="F1450" s="5">
        <v>1.4</v>
      </c>
      <c r="G1450" t="s">
        <v>1630</v>
      </c>
      <c r="H1450">
        <v>2</v>
      </c>
    </row>
    <row r="1451" spans="1:8">
      <c r="A1451" t="s">
        <v>3085</v>
      </c>
      <c r="B1451" t="s">
        <v>1195</v>
      </c>
      <c r="C1451" s="4">
        <v>45171</v>
      </c>
      <c r="D1451" t="s">
        <v>1628</v>
      </c>
      <c r="E1451" t="s">
        <v>1629</v>
      </c>
      <c r="F1451" s="5">
        <v>0.3</v>
      </c>
      <c r="G1451" t="s">
        <v>1626</v>
      </c>
      <c r="H1451">
        <v>3</v>
      </c>
    </row>
    <row r="1452" spans="1:8">
      <c r="A1452" t="s">
        <v>3086</v>
      </c>
      <c r="B1452" t="s">
        <v>1218</v>
      </c>
      <c r="C1452" s="4">
        <v>45252</v>
      </c>
      <c r="D1452" t="s">
        <v>1628</v>
      </c>
      <c r="E1452" t="s">
        <v>1633</v>
      </c>
      <c r="F1452" s="5">
        <v>2</v>
      </c>
      <c r="G1452" t="s">
        <v>1626</v>
      </c>
      <c r="H1452">
        <v>3</v>
      </c>
    </row>
    <row r="1453" spans="1:8">
      <c r="A1453" t="s">
        <v>3087</v>
      </c>
      <c r="B1453" t="s">
        <v>75</v>
      </c>
      <c r="C1453" s="4">
        <v>45901</v>
      </c>
      <c r="D1453" t="s">
        <v>1641</v>
      </c>
      <c r="E1453" t="s">
        <v>1633</v>
      </c>
      <c r="F1453" s="5">
        <v>3.6</v>
      </c>
      <c r="G1453" t="s">
        <v>1630</v>
      </c>
      <c r="H1453">
        <v>4</v>
      </c>
    </row>
    <row r="1454" spans="1:8">
      <c r="A1454" t="s">
        <v>3088</v>
      </c>
      <c r="B1454" t="s">
        <v>1289</v>
      </c>
      <c r="C1454" s="4">
        <v>45043</v>
      </c>
      <c r="D1454" t="s">
        <v>1637</v>
      </c>
      <c r="E1454" t="s">
        <v>1605</v>
      </c>
      <c r="F1454" s="5">
        <v>20.100000000000001</v>
      </c>
      <c r="G1454" t="s">
        <v>1626</v>
      </c>
      <c r="H1454">
        <v>1</v>
      </c>
    </row>
    <row r="1455" spans="1:8">
      <c r="A1455" t="s">
        <v>3089</v>
      </c>
      <c r="B1455" t="s">
        <v>896</v>
      </c>
      <c r="C1455" s="4">
        <v>45057</v>
      </c>
      <c r="D1455" t="s">
        <v>1625</v>
      </c>
      <c r="E1455" t="s">
        <v>1609</v>
      </c>
      <c r="F1455" s="5">
        <v>13.8</v>
      </c>
      <c r="G1455" t="s">
        <v>1630</v>
      </c>
      <c r="H1455">
        <v>2</v>
      </c>
    </row>
    <row r="1456" spans="1:8">
      <c r="A1456" t="s">
        <v>3090</v>
      </c>
      <c r="B1456" t="s">
        <v>1079</v>
      </c>
      <c r="C1456" s="4">
        <v>45484</v>
      </c>
      <c r="D1456" t="s">
        <v>1625</v>
      </c>
      <c r="E1456" t="s">
        <v>1629</v>
      </c>
      <c r="F1456" s="5">
        <v>13</v>
      </c>
      <c r="G1456" t="s">
        <v>1626</v>
      </c>
      <c r="H1456">
        <v>1</v>
      </c>
    </row>
    <row r="1457" spans="1:8">
      <c r="A1457" t="s">
        <v>3091</v>
      </c>
      <c r="B1457" t="s">
        <v>1473</v>
      </c>
      <c r="C1457" s="4">
        <v>45761</v>
      </c>
      <c r="D1457" t="s">
        <v>1628</v>
      </c>
      <c r="E1457" t="s">
        <v>1633</v>
      </c>
      <c r="F1457" s="5">
        <v>9.6999999999999993</v>
      </c>
      <c r="G1457" t="s">
        <v>1630</v>
      </c>
      <c r="H1457">
        <v>1</v>
      </c>
    </row>
    <row r="1458" spans="1:8">
      <c r="A1458" t="s">
        <v>3092</v>
      </c>
      <c r="B1458" t="s">
        <v>777</v>
      </c>
      <c r="C1458" s="4">
        <v>45402</v>
      </c>
      <c r="D1458" t="s">
        <v>1667</v>
      </c>
      <c r="E1458" t="s">
        <v>1605</v>
      </c>
      <c r="F1458" s="5">
        <v>11.1</v>
      </c>
      <c r="G1458" t="s">
        <v>1630</v>
      </c>
      <c r="H1458">
        <v>5</v>
      </c>
    </row>
    <row r="1459" spans="1:8">
      <c r="A1459" t="s">
        <v>3093</v>
      </c>
      <c r="B1459" t="s">
        <v>677</v>
      </c>
      <c r="C1459" s="4">
        <v>44960</v>
      </c>
      <c r="D1459" t="s">
        <v>1628</v>
      </c>
      <c r="E1459" t="s">
        <v>1629</v>
      </c>
      <c r="F1459" s="5">
        <v>13.4</v>
      </c>
      <c r="G1459" t="s">
        <v>1626</v>
      </c>
      <c r="H1459">
        <v>1</v>
      </c>
    </row>
    <row r="1460" spans="1:8">
      <c r="A1460" t="s">
        <v>3094</v>
      </c>
      <c r="B1460" t="s">
        <v>531</v>
      </c>
      <c r="C1460" s="4">
        <v>45722</v>
      </c>
      <c r="D1460" t="s">
        <v>1641</v>
      </c>
      <c r="E1460" t="s">
        <v>1609</v>
      </c>
      <c r="F1460" s="5">
        <v>3.2</v>
      </c>
      <c r="G1460" t="s">
        <v>1630</v>
      </c>
      <c r="H1460">
        <v>4</v>
      </c>
    </row>
    <row r="1461" spans="1:8">
      <c r="A1461" t="s">
        <v>3095</v>
      </c>
      <c r="B1461" t="s">
        <v>568</v>
      </c>
      <c r="C1461" s="4">
        <v>45012</v>
      </c>
      <c r="D1461" t="s">
        <v>1625</v>
      </c>
      <c r="E1461" t="s">
        <v>1605</v>
      </c>
      <c r="F1461" s="5">
        <v>4.5999999999999996</v>
      </c>
      <c r="G1461" t="s">
        <v>1630</v>
      </c>
      <c r="H1461">
        <v>1</v>
      </c>
    </row>
    <row r="1462" spans="1:8">
      <c r="A1462" t="s">
        <v>3096</v>
      </c>
      <c r="B1462" t="s">
        <v>365</v>
      </c>
      <c r="C1462" s="4">
        <v>46014</v>
      </c>
      <c r="D1462" t="s">
        <v>1637</v>
      </c>
      <c r="E1462" t="s">
        <v>1609</v>
      </c>
      <c r="F1462" s="5">
        <v>8.3000000000000007</v>
      </c>
      <c r="G1462" t="s">
        <v>1630</v>
      </c>
      <c r="H1462">
        <v>1</v>
      </c>
    </row>
    <row r="1463" spans="1:8">
      <c r="A1463" t="s">
        <v>3097</v>
      </c>
      <c r="B1463" t="s">
        <v>1151</v>
      </c>
      <c r="C1463" s="4">
        <v>46043</v>
      </c>
      <c r="D1463" t="s">
        <v>1641</v>
      </c>
      <c r="E1463" t="s">
        <v>1609</v>
      </c>
      <c r="F1463" s="5">
        <v>15.7</v>
      </c>
      <c r="G1463" t="s">
        <v>1630</v>
      </c>
      <c r="H1463">
        <v>5</v>
      </c>
    </row>
    <row r="1464" spans="1:8">
      <c r="A1464" t="s">
        <v>3098</v>
      </c>
      <c r="B1464" t="s">
        <v>345</v>
      </c>
      <c r="C1464" s="4">
        <v>45264</v>
      </c>
      <c r="D1464" t="s">
        <v>1628</v>
      </c>
      <c r="E1464" t="s">
        <v>1605</v>
      </c>
      <c r="F1464" s="5">
        <v>8.1999999999999993</v>
      </c>
      <c r="G1464" t="s">
        <v>1630</v>
      </c>
      <c r="H1464">
        <v>2</v>
      </c>
    </row>
    <row r="1465" spans="1:8">
      <c r="A1465" t="s">
        <v>3099</v>
      </c>
      <c r="B1465" t="s">
        <v>131</v>
      </c>
      <c r="C1465" s="4">
        <v>45464</v>
      </c>
      <c r="D1465" t="s">
        <v>1625</v>
      </c>
      <c r="E1465" t="s">
        <v>1605</v>
      </c>
      <c r="F1465" s="5">
        <v>11.7</v>
      </c>
      <c r="G1465" t="s">
        <v>1630</v>
      </c>
      <c r="H1465">
        <v>3</v>
      </c>
    </row>
    <row r="1466" spans="1:8">
      <c r="A1466" t="s">
        <v>3100</v>
      </c>
      <c r="B1466" t="s">
        <v>1067</v>
      </c>
      <c r="C1466" s="4">
        <v>45884</v>
      </c>
      <c r="D1466" t="s">
        <v>1632</v>
      </c>
      <c r="E1466" t="s">
        <v>1633</v>
      </c>
      <c r="F1466" s="5">
        <v>2.1</v>
      </c>
      <c r="G1466" t="s">
        <v>1630</v>
      </c>
      <c r="H1466">
        <v>2</v>
      </c>
    </row>
    <row r="1467" spans="1:8">
      <c r="A1467" t="s">
        <v>3101</v>
      </c>
      <c r="B1467" t="s">
        <v>1588</v>
      </c>
      <c r="C1467" s="4">
        <v>45730</v>
      </c>
      <c r="D1467" t="s">
        <v>1628</v>
      </c>
      <c r="E1467" t="s">
        <v>1648</v>
      </c>
      <c r="F1467" s="5">
        <v>10.1</v>
      </c>
      <c r="G1467" t="s">
        <v>1630</v>
      </c>
      <c r="H1467">
        <v>2</v>
      </c>
    </row>
    <row r="1468" spans="1:8">
      <c r="A1468" t="s">
        <v>3102</v>
      </c>
      <c r="B1468" t="s">
        <v>1461</v>
      </c>
      <c r="C1468" s="4">
        <v>45876</v>
      </c>
      <c r="D1468" t="s">
        <v>1625</v>
      </c>
      <c r="E1468" t="s">
        <v>1629</v>
      </c>
      <c r="F1468" s="5">
        <v>21.8</v>
      </c>
      <c r="G1468" t="s">
        <v>1630</v>
      </c>
      <c r="H1468">
        <v>3</v>
      </c>
    </row>
    <row r="1469" spans="1:8">
      <c r="A1469" t="s">
        <v>3103</v>
      </c>
      <c r="B1469" t="s">
        <v>1400</v>
      </c>
      <c r="C1469" s="4">
        <v>45486</v>
      </c>
      <c r="D1469" t="s">
        <v>1667</v>
      </c>
      <c r="E1469" t="s">
        <v>1648</v>
      </c>
      <c r="F1469" s="5">
        <v>24.3</v>
      </c>
      <c r="G1469" t="s">
        <v>1630</v>
      </c>
      <c r="H1469">
        <v>3</v>
      </c>
    </row>
    <row r="1470" spans="1:8">
      <c r="A1470" t="s">
        <v>3104</v>
      </c>
      <c r="B1470" t="s">
        <v>1320</v>
      </c>
      <c r="C1470" s="4">
        <v>46067</v>
      </c>
      <c r="D1470" t="s">
        <v>1667</v>
      </c>
      <c r="E1470" t="s">
        <v>1633</v>
      </c>
      <c r="F1470" s="5">
        <v>9.5</v>
      </c>
      <c r="G1470" t="s">
        <v>1626</v>
      </c>
      <c r="H1470">
        <v>1</v>
      </c>
    </row>
    <row r="1471" spans="1:8">
      <c r="A1471" t="s">
        <v>3105</v>
      </c>
      <c r="B1471" t="s">
        <v>992</v>
      </c>
      <c r="C1471" s="4">
        <v>45112</v>
      </c>
      <c r="D1471" t="s">
        <v>1628</v>
      </c>
      <c r="E1471" t="s">
        <v>1609</v>
      </c>
      <c r="F1471" s="5">
        <v>8</v>
      </c>
      <c r="G1471" t="s">
        <v>1630</v>
      </c>
      <c r="H1471">
        <v>5</v>
      </c>
    </row>
    <row r="1472" spans="1:8">
      <c r="A1472" t="s">
        <v>3106</v>
      </c>
      <c r="B1472" t="s">
        <v>1106</v>
      </c>
      <c r="C1472" s="4">
        <v>45724</v>
      </c>
      <c r="D1472" t="s">
        <v>1625</v>
      </c>
      <c r="E1472" t="s">
        <v>1633</v>
      </c>
      <c r="F1472" s="5">
        <v>6</v>
      </c>
      <c r="G1472" t="s">
        <v>1630</v>
      </c>
      <c r="H1472">
        <v>3</v>
      </c>
    </row>
    <row r="1473" spans="1:8">
      <c r="A1473" t="s">
        <v>3107</v>
      </c>
      <c r="B1473" t="s">
        <v>1337</v>
      </c>
      <c r="C1473" s="4">
        <v>45603</v>
      </c>
      <c r="D1473" t="s">
        <v>1625</v>
      </c>
      <c r="E1473" t="s">
        <v>1629</v>
      </c>
      <c r="F1473" s="5">
        <v>1.4</v>
      </c>
      <c r="G1473" t="s">
        <v>1630</v>
      </c>
      <c r="H1473">
        <v>3</v>
      </c>
    </row>
    <row r="1474" spans="1:8">
      <c r="A1474" t="s">
        <v>3108</v>
      </c>
      <c r="B1474" t="s">
        <v>403</v>
      </c>
      <c r="C1474" s="4">
        <v>45179</v>
      </c>
      <c r="D1474" t="s">
        <v>1641</v>
      </c>
      <c r="E1474" t="s">
        <v>1629</v>
      </c>
      <c r="F1474" s="5">
        <v>0.4</v>
      </c>
      <c r="G1474" t="s">
        <v>1630</v>
      </c>
      <c r="H1474">
        <v>4</v>
      </c>
    </row>
    <row r="1475" spans="1:8">
      <c r="A1475" t="s">
        <v>3109</v>
      </c>
      <c r="B1475" t="s">
        <v>98</v>
      </c>
      <c r="C1475" s="4">
        <v>45407</v>
      </c>
      <c r="D1475" t="s">
        <v>1667</v>
      </c>
      <c r="E1475" t="s">
        <v>1629</v>
      </c>
      <c r="F1475" s="5">
        <v>0.9</v>
      </c>
      <c r="G1475" t="s">
        <v>1630</v>
      </c>
      <c r="H1475">
        <v>2</v>
      </c>
    </row>
    <row r="1476" spans="1:8">
      <c r="A1476" t="s">
        <v>3110</v>
      </c>
      <c r="B1476" t="s">
        <v>693</v>
      </c>
      <c r="C1476" s="4">
        <v>46036</v>
      </c>
      <c r="D1476" t="s">
        <v>1625</v>
      </c>
      <c r="E1476" t="s">
        <v>1629</v>
      </c>
      <c r="F1476" s="5">
        <v>0.2</v>
      </c>
      <c r="G1476" t="s">
        <v>1630</v>
      </c>
      <c r="H1476">
        <v>2</v>
      </c>
    </row>
    <row r="1477" spans="1:8">
      <c r="A1477" t="s">
        <v>3111</v>
      </c>
      <c r="B1477" t="s">
        <v>1332</v>
      </c>
      <c r="C1477" s="4">
        <v>45790</v>
      </c>
      <c r="D1477" t="s">
        <v>1637</v>
      </c>
      <c r="E1477" t="s">
        <v>1629</v>
      </c>
      <c r="F1477" s="5">
        <v>0.2</v>
      </c>
      <c r="G1477" t="s">
        <v>1630</v>
      </c>
      <c r="H1477">
        <v>1</v>
      </c>
    </row>
    <row r="1478" spans="1:8">
      <c r="A1478" t="s">
        <v>3112</v>
      </c>
      <c r="B1478" t="s">
        <v>781</v>
      </c>
      <c r="C1478" s="4">
        <v>45959</v>
      </c>
      <c r="D1478" t="s">
        <v>1625</v>
      </c>
      <c r="E1478" t="s">
        <v>1609</v>
      </c>
      <c r="F1478" s="5">
        <v>3.8</v>
      </c>
      <c r="G1478" t="s">
        <v>1630</v>
      </c>
      <c r="H1478">
        <v>1</v>
      </c>
    </row>
    <row r="1479" spans="1:8">
      <c r="A1479" t="s">
        <v>3113</v>
      </c>
      <c r="B1479" t="s">
        <v>243</v>
      </c>
      <c r="C1479" s="4">
        <v>45830</v>
      </c>
      <c r="D1479" t="s">
        <v>1628</v>
      </c>
      <c r="E1479" t="s">
        <v>1609</v>
      </c>
      <c r="F1479" s="5">
        <v>4.4000000000000004</v>
      </c>
      <c r="G1479" t="s">
        <v>1630</v>
      </c>
      <c r="H1479">
        <v>3</v>
      </c>
    </row>
    <row r="1480" spans="1:8">
      <c r="A1480" t="s">
        <v>3114</v>
      </c>
      <c r="B1480" t="s">
        <v>864</v>
      </c>
      <c r="C1480" s="4">
        <v>45037</v>
      </c>
      <c r="D1480" t="s">
        <v>1625</v>
      </c>
      <c r="E1480" t="s">
        <v>1629</v>
      </c>
      <c r="F1480" s="5">
        <v>6.8</v>
      </c>
      <c r="G1480" t="s">
        <v>1630</v>
      </c>
      <c r="H1480">
        <v>2</v>
      </c>
    </row>
    <row r="1481" spans="1:8">
      <c r="A1481" t="s">
        <v>3115</v>
      </c>
      <c r="B1481" t="s">
        <v>600</v>
      </c>
      <c r="C1481" s="4">
        <v>45545</v>
      </c>
      <c r="D1481" t="s">
        <v>1628</v>
      </c>
      <c r="E1481" t="s">
        <v>1605</v>
      </c>
      <c r="F1481" s="5">
        <v>7.1</v>
      </c>
      <c r="G1481" t="s">
        <v>1630</v>
      </c>
      <c r="H1481">
        <v>5</v>
      </c>
    </row>
    <row r="1482" spans="1:8">
      <c r="A1482" t="s">
        <v>3116</v>
      </c>
      <c r="B1482" t="s">
        <v>617</v>
      </c>
      <c r="C1482" s="4">
        <v>45042</v>
      </c>
      <c r="D1482" t="s">
        <v>1632</v>
      </c>
      <c r="E1482" t="s">
        <v>1633</v>
      </c>
      <c r="F1482" s="5">
        <v>10.5</v>
      </c>
      <c r="G1482" t="s">
        <v>1630</v>
      </c>
      <c r="H1482">
        <v>1</v>
      </c>
    </row>
    <row r="1483" spans="1:8">
      <c r="A1483" t="s">
        <v>3117</v>
      </c>
      <c r="B1483" t="s">
        <v>1227</v>
      </c>
      <c r="C1483" s="4">
        <v>45582</v>
      </c>
      <c r="D1483" t="s">
        <v>1632</v>
      </c>
      <c r="E1483" t="s">
        <v>1629</v>
      </c>
      <c r="F1483" s="5">
        <v>7</v>
      </c>
      <c r="G1483" t="s">
        <v>1630</v>
      </c>
      <c r="H1483">
        <v>4</v>
      </c>
    </row>
    <row r="1484" spans="1:8">
      <c r="A1484" t="s">
        <v>3118</v>
      </c>
      <c r="B1484" t="s">
        <v>355</v>
      </c>
      <c r="C1484" s="4">
        <v>46099</v>
      </c>
      <c r="D1484" t="s">
        <v>1667</v>
      </c>
      <c r="E1484" t="s">
        <v>1609</v>
      </c>
      <c r="F1484" s="5">
        <v>11.4</v>
      </c>
      <c r="G1484" t="s">
        <v>1626</v>
      </c>
      <c r="H1484">
        <v>3</v>
      </c>
    </row>
    <row r="1485" spans="1:8">
      <c r="A1485" t="s">
        <v>3119</v>
      </c>
      <c r="B1485" t="s">
        <v>1078</v>
      </c>
      <c r="C1485" s="4">
        <v>46015</v>
      </c>
      <c r="D1485" t="s">
        <v>1625</v>
      </c>
      <c r="E1485" t="s">
        <v>1633</v>
      </c>
      <c r="F1485" s="5">
        <v>15.1</v>
      </c>
      <c r="G1485" t="s">
        <v>1630</v>
      </c>
      <c r="H1485">
        <v>2</v>
      </c>
    </row>
    <row r="1486" spans="1:8">
      <c r="A1486" t="s">
        <v>3120</v>
      </c>
      <c r="B1486" t="s">
        <v>873</v>
      </c>
      <c r="C1486" s="4">
        <v>45603</v>
      </c>
      <c r="D1486" t="s">
        <v>1625</v>
      </c>
      <c r="E1486" t="s">
        <v>1609</v>
      </c>
      <c r="F1486" s="5">
        <v>6.5</v>
      </c>
      <c r="G1486" t="s">
        <v>1630</v>
      </c>
      <c r="H1486">
        <v>3</v>
      </c>
    </row>
    <row r="1487" spans="1:8">
      <c r="A1487" t="s">
        <v>3121</v>
      </c>
      <c r="B1487" t="s">
        <v>1271</v>
      </c>
      <c r="C1487" s="4">
        <v>45940</v>
      </c>
      <c r="D1487" t="s">
        <v>1628</v>
      </c>
      <c r="E1487" t="s">
        <v>1648</v>
      </c>
      <c r="F1487" s="5">
        <v>4.9000000000000004</v>
      </c>
      <c r="G1487" t="s">
        <v>1630</v>
      </c>
      <c r="H1487">
        <v>1</v>
      </c>
    </row>
    <row r="1488" spans="1:8">
      <c r="A1488" t="s">
        <v>3122</v>
      </c>
      <c r="B1488" t="s">
        <v>793</v>
      </c>
      <c r="C1488" s="4">
        <v>45886</v>
      </c>
      <c r="D1488" t="s">
        <v>1628</v>
      </c>
      <c r="E1488" t="s">
        <v>1605</v>
      </c>
      <c r="F1488" s="5">
        <v>28.2</v>
      </c>
      <c r="G1488" t="s">
        <v>1626</v>
      </c>
      <c r="H1488">
        <v>3</v>
      </c>
    </row>
    <row r="1489" spans="1:8">
      <c r="A1489" t="s">
        <v>3123</v>
      </c>
      <c r="B1489" t="s">
        <v>942</v>
      </c>
      <c r="C1489" s="4">
        <v>45897</v>
      </c>
      <c r="D1489" t="s">
        <v>1655</v>
      </c>
      <c r="E1489" t="s">
        <v>1609</v>
      </c>
      <c r="F1489" s="5">
        <v>6.2</v>
      </c>
      <c r="G1489" t="s">
        <v>1630</v>
      </c>
      <c r="H1489">
        <v>1</v>
      </c>
    </row>
    <row r="1490" spans="1:8">
      <c r="A1490" t="s">
        <v>3124</v>
      </c>
      <c r="B1490" t="s">
        <v>1394</v>
      </c>
      <c r="C1490" s="4">
        <v>45132</v>
      </c>
      <c r="D1490" t="s">
        <v>1641</v>
      </c>
      <c r="E1490" t="s">
        <v>1605</v>
      </c>
      <c r="F1490" s="5">
        <v>0.2</v>
      </c>
      <c r="G1490" t="s">
        <v>1630</v>
      </c>
      <c r="H1490">
        <v>4</v>
      </c>
    </row>
    <row r="1491" spans="1:8">
      <c r="A1491" t="s">
        <v>3125</v>
      </c>
      <c r="B1491" t="s">
        <v>575</v>
      </c>
      <c r="C1491" s="4">
        <v>45371</v>
      </c>
      <c r="D1491" t="s">
        <v>1628</v>
      </c>
      <c r="E1491" t="s">
        <v>1605</v>
      </c>
      <c r="F1491" s="5">
        <v>9.4</v>
      </c>
      <c r="G1491" t="s">
        <v>1630</v>
      </c>
      <c r="H1491">
        <v>4</v>
      </c>
    </row>
    <row r="1492" spans="1:8">
      <c r="A1492" t="s">
        <v>3126</v>
      </c>
      <c r="B1492" t="s">
        <v>523</v>
      </c>
      <c r="C1492" s="4">
        <v>45199</v>
      </c>
      <c r="D1492" t="s">
        <v>1628</v>
      </c>
      <c r="E1492" t="s">
        <v>1629</v>
      </c>
      <c r="F1492" s="5">
        <v>2.7</v>
      </c>
      <c r="G1492" t="s">
        <v>1630</v>
      </c>
      <c r="H1492">
        <v>5</v>
      </c>
    </row>
    <row r="1493" spans="1:8">
      <c r="A1493" t="s">
        <v>3127</v>
      </c>
      <c r="B1493" t="s">
        <v>1535</v>
      </c>
      <c r="C1493" s="4">
        <v>45200</v>
      </c>
      <c r="D1493" t="s">
        <v>1625</v>
      </c>
      <c r="E1493" t="s">
        <v>1605</v>
      </c>
      <c r="F1493" s="5">
        <v>13.5</v>
      </c>
      <c r="G1493" t="s">
        <v>1626</v>
      </c>
      <c r="H1493">
        <v>2</v>
      </c>
    </row>
    <row r="1494" spans="1:8">
      <c r="A1494" t="s">
        <v>3128</v>
      </c>
      <c r="B1494" t="s">
        <v>795</v>
      </c>
      <c r="C1494" s="4">
        <v>46142</v>
      </c>
      <c r="D1494" t="s">
        <v>1632</v>
      </c>
      <c r="E1494" t="s">
        <v>1633</v>
      </c>
      <c r="F1494" s="5">
        <v>1.4</v>
      </c>
      <c r="G1494" t="s">
        <v>1630</v>
      </c>
      <c r="H1494">
        <v>2</v>
      </c>
    </row>
    <row r="1495" spans="1:8">
      <c r="A1495" t="s">
        <v>3129</v>
      </c>
      <c r="B1495" t="s">
        <v>1148</v>
      </c>
      <c r="C1495" s="4">
        <v>45253</v>
      </c>
      <c r="D1495" t="s">
        <v>1628</v>
      </c>
      <c r="E1495" t="s">
        <v>1648</v>
      </c>
      <c r="F1495" s="5">
        <v>16.2</v>
      </c>
      <c r="G1495" t="s">
        <v>1630</v>
      </c>
      <c r="H1495">
        <v>1</v>
      </c>
    </row>
    <row r="1496" spans="1:8">
      <c r="A1496" t="s">
        <v>3130</v>
      </c>
      <c r="B1496" t="s">
        <v>378</v>
      </c>
      <c r="C1496" s="4">
        <v>45415</v>
      </c>
      <c r="D1496" t="s">
        <v>1632</v>
      </c>
      <c r="E1496" t="s">
        <v>1609</v>
      </c>
      <c r="F1496" s="5">
        <v>6.8</v>
      </c>
      <c r="G1496" t="s">
        <v>1630</v>
      </c>
      <c r="H1496">
        <v>1</v>
      </c>
    </row>
    <row r="1497" spans="1:8">
      <c r="A1497" t="s">
        <v>3131</v>
      </c>
      <c r="B1497" t="s">
        <v>237</v>
      </c>
      <c r="C1497" s="4">
        <v>45793</v>
      </c>
      <c r="D1497" t="s">
        <v>1641</v>
      </c>
      <c r="E1497" t="s">
        <v>1605</v>
      </c>
      <c r="F1497" s="5">
        <v>11.5</v>
      </c>
      <c r="G1497" t="s">
        <v>1630</v>
      </c>
      <c r="H1497">
        <v>3</v>
      </c>
    </row>
    <row r="1498" spans="1:8">
      <c r="A1498" t="s">
        <v>3132</v>
      </c>
      <c r="B1498" t="s">
        <v>665</v>
      </c>
      <c r="C1498" s="4">
        <v>45210</v>
      </c>
      <c r="D1498" t="s">
        <v>1628</v>
      </c>
      <c r="E1498" t="s">
        <v>1633</v>
      </c>
      <c r="F1498" s="5">
        <v>5.5</v>
      </c>
      <c r="G1498" t="s">
        <v>1630</v>
      </c>
      <c r="H1498">
        <v>5</v>
      </c>
    </row>
    <row r="1499" spans="1:8">
      <c r="A1499" t="s">
        <v>3133</v>
      </c>
      <c r="B1499" t="s">
        <v>1007</v>
      </c>
      <c r="C1499" s="4">
        <v>45232</v>
      </c>
      <c r="D1499" t="s">
        <v>1637</v>
      </c>
      <c r="E1499" t="s">
        <v>1609</v>
      </c>
      <c r="F1499" s="5">
        <v>12.9</v>
      </c>
      <c r="G1499" t="s">
        <v>1630</v>
      </c>
      <c r="H1499">
        <v>3</v>
      </c>
    </row>
    <row r="1500" spans="1:8">
      <c r="A1500" t="s">
        <v>3134</v>
      </c>
      <c r="B1500" t="s">
        <v>1460</v>
      </c>
      <c r="C1500" s="4">
        <v>45099</v>
      </c>
      <c r="D1500" t="s">
        <v>1625</v>
      </c>
      <c r="E1500" t="s">
        <v>1633</v>
      </c>
      <c r="F1500" s="5">
        <v>9.4</v>
      </c>
      <c r="G1500" t="s">
        <v>1630</v>
      </c>
      <c r="H1500">
        <v>4</v>
      </c>
    </row>
    <row r="1501" spans="1:8">
      <c r="A1501" t="s">
        <v>3135</v>
      </c>
      <c r="B1501" t="s">
        <v>220</v>
      </c>
      <c r="C1501" s="4">
        <v>45833</v>
      </c>
      <c r="D1501" t="s">
        <v>1625</v>
      </c>
      <c r="E1501" t="s">
        <v>1648</v>
      </c>
      <c r="F1501" s="5">
        <v>9.4</v>
      </c>
      <c r="G1501" t="s">
        <v>1630</v>
      </c>
      <c r="H1501">
        <v>2</v>
      </c>
    </row>
    <row r="1502" spans="1:8">
      <c r="A1502" t="s">
        <v>3136</v>
      </c>
      <c r="B1502" t="s">
        <v>1040</v>
      </c>
      <c r="C1502" s="4">
        <v>45379</v>
      </c>
      <c r="D1502" t="s">
        <v>1628</v>
      </c>
      <c r="E1502" t="s">
        <v>1609</v>
      </c>
      <c r="F1502" s="5">
        <v>10.1</v>
      </c>
      <c r="G1502" t="s">
        <v>1630</v>
      </c>
      <c r="H1502">
        <v>3</v>
      </c>
    </row>
    <row r="1503" spans="1:8">
      <c r="A1503" t="s">
        <v>3137</v>
      </c>
      <c r="B1503" t="s">
        <v>583</v>
      </c>
      <c r="C1503" s="4">
        <v>45364</v>
      </c>
      <c r="D1503" t="s">
        <v>1632</v>
      </c>
      <c r="E1503" t="s">
        <v>1605</v>
      </c>
      <c r="F1503" s="5">
        <v>11.9</v>
      </c>
      <c r="G1503" t="s">
        <v>1630</v>
      </c>
      <c r="H1503">
        <v>2</v>
      </c>
    </row>
    <row r="1504" spans="1:8">
      <c r="A1504" t="s">
        <v>3138</v>
      </c>
      <c r="B1504" t="s">
        <v>1525</v>
      </c>
      <c r="C1504" s="4">
        <v>45189</v>
      </c>
      <c r="D1504" t="s">
        <v>1641</v>
      </c>
      <c r="E1504" t="s">
        <v>1629</v>
      </c>
      <c r="F1504" s="5">
        <v>5</v>
      </c>
      <c r="G1504" t="s">
        <v>1630</v>
      </c>
      <c r="H1504">
        <v>1</v>
      </c>
    </row>
    <row r="1505" spans="1:8">
      <c r="A1505" t="s">
        <v>3139</v>
      </c>
      <c r="B1505" t="s">
        <v>850</v>
      </c>
      <c r="C1505" s="4">
        <v>45963</v>
      </c>
      <c r="D1505" t="s">
        <v>1632</v>
      </c>
      <c r="E1505" t="s">
        <v>1609</v>
      </c>
      <c r="F1505" s="5">
        <v>24.8</v>
      </c>
      <c r="G1505" t="s">
        <v>1630</v>
      </c>
      <c r="H1505">
        <v>3</v>
      </c>
    </row>
    <row r="1506" spans="1:8">
      <c r="A1506" t="s">
        <v>3140</v>
      </c>
      <c r="B1506" t="s">
        <v>1294</v>
      </c>
      <c r="C1506" s="4">
        <v>45906</v>
      </c>
      <c r="D1506" t="s">
        <v>1628</v>
      </c>
      <c r="E1506" t="s">
        <v>1629</v>
      </c>
      <c r="F1506" s="5">
        <v>0.2</v>
      </c>
      <c r="G1506" t="s">
        <v>1630</v>
      </c>
      <c r="H1506">
        <v>1</v>
      </c>
    </row>
    <row r="1507" spans="1:8">
      <c r="A1507" t="s">
        <v>3141</v>
      </c>
      <c r="B1507" t="s">
        <v>569</v>
      </c>
      <c r="C1507" s="4">
        <v>45702</v>
      </c>
      <c r="D1507" t="s">
        <v>1655</v>
      </c>
      <c r="E1507" t="s">
        <v>1633</v>
      </c>
      <c r="F1507" s="5">
        <v>7.6</v>
      </c>
      <c r="G1507" t="s">
        <v>1630</v>
      </c>
      <c r="H1507">
        <v>5</v>
      </c>
    </row>
    <row r="1508" spans="1:8">
      <c r="A1508" t="s">
        <v>3142</v>
      </c>
      <c r="B1508" t="s">
        <v>1383</v>
      </c>
      <c r="C1508" s="4">
        <v>45550</v>
      </c>
      <c r="D1508" t="s">
        <v>1628</v>
      </c>
      <c r="E1508" t="s">
        <v>1633</v>
      </c>
      <c r="F1508" s="5">
        <v>0.7</v>
      </c>
      <c r="G1508" t="s">
        <v>1626</v>
      </c>
      <c r="H1508">
        <v>3</v>
      </c>
    </row>
    <row r="1509" spans="1:8">
      <c r="A1509" t="s">
        <v>3143</v>
      </c>
      <c r="B1509" t="s">
        <v>935</v>
      </c>
      <c r="C1509" s="4">
        <v>45536</v>
      </c>
      <c r="D1509" t="s">
        <v>1632</v>
      </c>
      <c r="E1509" t="s">
        <v>1605</v>
      </c>
      <c r="F1509" s="5">
        <v>18.2</v>
      </c>
      <c r="G1509" t="s">
        <v>1630</v>
      </c>
      <c r="H1509">
        <v>4</v>
      </c>
    </row>
    <row r="1510" spans="1:8">
      <c r="A1510" t="s">
        <v>3144</v>
      </c>
      <c r="B1510" t="s">
        <v>935</v>
      </c>
      <c r="C1510" s="4">
        <v>45678</v>
      </c>
      <c r="D1510" t="s">
        <v>1641</v>
      </c>
      <c r="E1510" t="s">
        <v>1629</v>
      </c>
      <c r="F1510" s="5">
        <v>4.8</v>
      </c>
      <c r="G1510" t="s">
        <v>1630</v>
      </c>
      <c r="H1510">
        <v>5</v>
      </c>
    </row>
    <row r="1511" spans="1:8">
      <c r="A1511" t="s">
        <v>3145</v>
      </c>
      <c r="B1511" t="s">
        <v>1540</v>
      </c>
      <c r="C1511" s="4">
        <v>44931</v>
      </c>
      <c r="D1511" t="s">
        <v>1655</v>
      </c>
      <c r="E1511" t="s">
        <v>1629</v>
      </c>
      <c r="F1511" s="5">
        <v>14.2</v>
      </c>
      <c r="G1511" t="s">
        <v>1630</v>
      </c>
      <c r="H1511">
        <v>1</v>
      </c>
    </row>
    <row r="1512" spans="1:8">
      <c r="A1512" t="s">
        <v>3146</v>
      </c>
      <c r="B1512" t="s">
        <v>581</v>
      </c>
      <c r="C1512" s="4">
        <v>45756</v>
      </c>
      <c r="D1512" t="s">
        <v>1628</v>
      </c>
      <c r="E1512" t="s">
        <v>1648</v>
      </c>
      <c r="F1512" s="5">
        <v>8.6999999999999993</v>
      </c>
      <c r="G1512" t="s">
        <v>1630</v>
      </c>
      <c r="H1512">
        <v>4</v>
      </c>
    </row>
    <row r="1513" spans="1:8">
      <c r="A1513" t="s">
        <v>3147</v>
      </c>
      <c r="B1513" t="s">
        <v>1487</v>
      </c>
      <c r="C1513" s="4">
        <v>45464</v>
      </c>
      <c r="D1513" t="s">
        <v>1667</v>
      </c>
      <c r="E1513" t="s">
        <v>1609</v>
      </c>
      <c r="F1513" s="5">
        <v>2.7</v>
      </c>
      <c r="G1513" t="s">
        <v>1630</v>
      </c>
      <c r="H1513">
        <v>3</v>
      </c>
    </row>
    <row r="1514" spans="1:8">
      <c r="A1514" t="s">
        <v>3148</v>
      </c>
      <c r="B1514" t="s">
        <v>1106</v>
      </c>
      <c r="C1514" s="4">
        <v>45921</v>
      </c>
      <c r="D1514" t="s">
        <v>1632</v>
      </c>
      <c r="E1514" t="s">
        <v>1605</v>
      </c>
      <c r="F1514" s="5">
        <v>0.9</v>
      </c>
      <c r="G1514" t="s">
        <v>1626</v>
      </c>
      <c r="H1514">
        <v>3</v>
      </c>
    </row>
    <row r="1515" spans="1:8">
      <c r="A1515" t="s">
        <v>3149</v>
      </c>
      <c r="B1515" t="s">
        <v>1250</v>
      </c>
      <c r="C1515" s="4">
        <v>46095</v>
      </c>
      <c r="D1515" t="s">
        <v>1632</v>
      </c>
      <c r="E1515" t="s">
        <v>1648</v>
      </c>
      <c r="F1515" s="5">
        <v>14.6</v>
      </c>
      <c r="G1515" t="s">
        <v>1630</v>
      </c>
      <c r="H1515">
        <v>5</v>
      </c>
    </row>
    <row r="1516" spans="1:8">
      <c r="A1516" t="s">
        <v>3150</v>
      </c>
      <c r="B1516" t="s">
        <v>1375</v>
      </c>
      <c r="C1516" s="4">
        <v>45085</v>
      </c>
      <c r="D1516" t="s">
        <v>1628</v>
      </c>
      <c r="E1516" t="s">
        <v>1648</v>
      </c>
      <c r="F1516" s="5">
        <v>4.5</v>
      </c>
      <c r="G1516" t="s">
        <v>1630</v>
      </c>
      <c r="H1516">
        <v>5</v>
      </c>
    </row>
    <row r="1517" spans="1:8">
      <c r="A1517" t="s">
        <v>3151</v>
      </c>
      <c r="B1517" t="s">
        <v>1494</v>
      </c>
      <c r="C1517" s="4">
        <v>45572</v>
      </c>
      <c r="D1517" t="s">
        <v>1655</v>
      </c>
      <c r="E1517" t="s">
        <v>1609</v>
      </c>
      <c r="F1517" s="5">
        <v>16.100000000000001</v>
      </c>
      <c r="G1517" t="s">
        <v>1630</v>
      </c>
      <c r="H1517">
        <v>2</v>
      </c>
    </row>
    <row r="1518" spans="1:8">
      <c r="A1518" t="s">
        <v>3152</v>
      </c>
      <c r="B1518" t="s">
        <v>391</v>
      </c>
      <c r="C1518" s="4">
        <v>45780</v>
      </c>
      <c r="D1518" t="s">
        <v>1655</v>
      </c>
      <c r="E1518" t="s">
        <v>1629</v>
      </c>
      <c r="F1518" s="5">
        <v>2.8</v>
      </c>
      <c r="G1518" t="s">
        <v>1630</v>
      </c>
      <c r="H1518">
        <v>2</v>
      </c>
    </row>
    <row r="1519" spans="1:8">
      <c r="A1519" t="s">
        <v>3153</v>
      </c>
      <c r="B1519" t="s">
        <v>1595</v>
      </c>
      <c r="C1519" s="4">
        <v>46136</v>
      </c>
      <c r="D1519" t="s">
        <v>1628</v>
      </c>
      <c r="E1519" t="s">
        <v>1629</v>
      </c>
      <c r="F1519" s="5">
        <v>0.9</v>
      </c>
      <c r="G1519" t="s">
        <v>1630</v>
      </c>
      <c r="H1519">
        <v>5</v>
      </c>
    </row>
    <row r="1520" spans="1:8">
      <c r="A1520" t="s">
        <v>3154</v>
      </c>
      <c r="B1520" t="s">
        <v>1092</v>
      </c>
      <c r="C1520" s="4">
        <v>46019</v>
      </c>
      <c r="D1520" t="s">
        <v>1655</v>
      </c>
      <c r="E1520" t="s">
        <v>1609</v>
      </c>
      <c r="F1520" s="5">
        <v>8.6</v>
      </c>
      <c r="G1520" t="s">
        <v>1626</v>
      </c>
      <c r="H1520">
        <v>2</v>
      </c>
    </row>
    <row r="1521" spans="1:8">
      <c r="A1521" t="s">
        <v>3155</v>
      </c>
      <c r="B1521" t="s">
        <v>1139</v>
      </c>
      <c r="C1521" s="4">
        <v>45517</v>
      </c>
      <c r="D1521" t="s">
        <v>1641</v>
      </c>
      <c r="E1521" t="s">
        <v>1633</v>
      </c>
      <c r="F1521" s="5">
        <v>2.1</v>
      </c>
      <c r="G1521" t="s">
        <v>1630</v>
      </c>
      <c r="H1521">
        <v>1</v>
      </c>
    </row>
    <row r="1522" spans="1:8">
      <c r="A1522" t="s">
        <v>3156</v>
      </c>
      <c r="B1522" t="s">
        <v>466</v>
      </c>
      <c r="C1522" s="4">
        <v>45849</v>
      </c>
      <c r="D1522" t="s">
        <v>1625</v>
      </c>
      <c r="E1522" t="s">
        <v>1605</v>
      </c>
      <c r="F1522" s="5">
        <v>1.2</v>
      </c>
      <c r="G1522" t="s">
        <v>1630</v>
      </c>
      <c r="H1522">
        <v>5</v>
      </c>
    </row>
    <row r="1523" spans="1:8">
      <c r="A1523" t="s">
        <v>3157</v>
      </c>
      <c r="B1523" t="s">
        <v>1592</v>
      </c>
      <c r="C1523" s="4">
        <v>46014</v>
      </c>
      <c r="D1523" t="s">
        <v>1632</v>
      </c>
      <c r="E1523" t="s">
        <v>1633</v>
      </c>
      <c r="F1523" s="5">
        <v>22.4</v>
      </c>
      <c r="G1523" t="s">
        <v>1630</v>
      </c>
      <c r="H1523">
        <v>2</v>
      </c>
    </row>
    <row r="1524" spans="1:8">
      <c r="A1524" t="s">
        <v>3158</v>
      </c>
      <c r="B1524" t="s">
        <v>745</v>
      </c>
      <c r="C1524" s="4">
        <v>45741</v>
      </c>
      <c r="D1524" t="s">
        <v>1632</v>
      </c>
      <c r="E1524" t="s">
        <v>1648</v>
      </c>
      <c r="F1524" s="5">
        <v>9.5</v>
      </c>
      <c r="G1524" t="s">
        <v>1630</v>
      </c>
      <c r="H1524">
        <v>5</v>
      </c>
    </row>
    <row r="1525" spans="1:8">
      <c r="A1525" t="s">
        <v>3159</v>
      </c>
      <c r="B1525" t="s">
        <v>1354</v>
      </c>
      <c r="C1525" s="4">
        <v>45953</v>
      </c>
      <c r="D1525" t="s">
        <v>1641</v>
      </c>
      <c r="E1525" t="s">
        <v>1605</v>
      </c>
      <c r="F1525" s="5">
        <v>1.8</v>
      </c>
      <c r="G1525" t="s">
        <v>1630</v>
      </c>
      <c r="H1525">
        <v>5</v>
      </c>
    </row>
    <row r="1526" spans="1:8">
      <c r="A1526" t="s">
        <v>3160</v>
      </c>
      <c r="B1526" t="s">
        <v>1182</v>
      </c>
      <c r="C1526" s="4">
        <v>45916</v>
      </c>
      <c r="D1526" t="s">
        <v>1628</v>
      </c>
      <c r="E1526" t="s">
        <v>1648</v>
      </c>
      <c r="F1526" s="5">
        <v>28.8</v>
      </c>
      <c r="G1526" t="s">
        <v>1630</v>
      </c>
      <c r="H1526">
        <v>4</v>
      </c>
    </row>
    <row r="1527" spans="1:8">
      <c r="A1527" t="s">
        <v>3161</v>
      </c>
      <c r="B1527" t="s">
        <v>1003</v>
      </c>
      <c r="C1527" s="4">
        <v>45028</v>
      </c>
      <c r="D1527" t="s">
        <v>1625</v>
      </c>
      <c r="E1527" t="s">
        <v>1609</v>
      </c>
      <c r="F1527" s="5">
        <v>35</v>
      </c>
      <c r="G1527" t="s">
        <v>1630</v>
      </c>
      <c r="H1527">
        <v>3</v>
      </c>
    </row>
    <row r="1528" spans="1:8">
      <c r="A1528" t="s">
        <v>3162</v>
      </c>
      <c r="B1528" t="s">
        <v>1078</v>
      </c>
      <c r="C1528" s="4">
        <v>45684</v>
      </c>
      <c r="D1528" t="s">
        <v>1625</v>
      </c>
      <c r="E1528" t="s">
        <v>1629</v>
      </c>
      <c r="F1528" s="5">
        <v>11</v>
      </c>
      <c r="G1528" t="s">
        <v>1630</v>
      </c>
      <c r="H1528">
        <v>5</v>
      </c>
    </row>
    <row r="1529" spans="1:8">
      <c r="A1529" t="s">
        <v>3163</v>
      </c>
      <c r="B1529" t="s">
        <v>1592</v>
      </c>
      <c r="C1529" s="4">
        <v>45482</v>
      </c>
      <c r="D1529" t="s">
        <v>1625</v>
      </c>
      <c r="E1529" t="s">
        <v>1633</v>
      </c>
      <c r="F1529" s="5">
        <v>5.8</v>
      </c>
      <c r="G1529" t="s">
        <v>1630</v>
      </c>
      <c r="H1529">
        <v>5</v>
      </c>
    </row>
    <row r="1530" spans="1:8">
      <c r="A1530" t="s">
        <v>3164</v>
      </c>
      <c r="B1530" t="s">
        <v>625</v>
      </c>
      <c r="C1530" s="4">
        <v>46088</v>
      </c>
      <c r="D1530" t="s">
        <v>1655</v>
      </c>
      <c r="E1530" t="s">
        <v>1629</v>
      </c>
      <c r="F1530" s="5">
        <v>1.7</v>
      </c>
      <c r="G1530" t="s">
        <v>1630</v>
      </c>
      <c r="H1530">
        <v>2</v>
      </c>
    </row>
    <row r="1531" spans="1:8">
      <c r="A1531" t="s">
        <v>3165</v>
      </c>
      <c r="B1531" t="s">
        <v>1590</v>
      </c>
      <c r="C1531" s="4">
        <v>44934</v>
      </c>
      <c r="D1531" t="s">
        <v>1637</v>
      </c>
      <c r="E1531" t="s">
        <v>1629</v>
      </c>
      <c r="F1531" s="5">
        <v>1.3</v>
      </c>
      <c r="G1531" t="s">
        <v>1630</v>
      </c>
      <c r="H1531">
        <v>1</v>
      </c>
    </row>
    <row r="1532" spans="1:8">
      <c r="A1532" t="s">
        <v>3166</v>
      </c>
      <c r="B1532" t="s">
        <v>204</v>
      </c>
      <c r="C1532" s="4">
        <v>46039</v>
      </c>
      <c r="D1532" t="s">
        <v>1628</v>
      </c>
      <c r="E1532" t="s">
        <v>1605</v>
      </c>
      <c r="F1532" s="5">
        <v>4.3</v>
      </c>
      <c r="G1532" t="s">
        <v>1630</v>
      </c>
      <c r="H1532">
        <v>2</v>
      </c>
    </row>
    <row r="1533" spans="1:8">
      <c r="A1533" t="s">
        <v>3167</v>
      </c>
      <c r="B1533" t="s">
        <v>75</v>
      </c>
      <c r="C1533" s="4">
        <v>45129</v>
      </c>
      <c r="D1533" t="s">
        <v>1625</v>
      </c>
      <c r="E1533" t="s">
        <v>1633</v>
      </c>
      <c r="F1533" s="5">
        <v>18.5</v>
      </c>
      <c r="G1533" t="s">
        <v>1630</v>
      </c>
      <c r="H1533">
        <v>5</v>
      </c>
    </row>
    <row r="1534" spans="1:8">
      <c r="A1534" t="s">
        <v>3168</v>
      </c>
      <c r="B1534" t="s">
        <v>841</v>
      </c>
      <c r="C1534" s="4">
        <v>45495</v>
      </c>
      <c r="D1534" t="s">
        <v>1625</v>
      </c>
      <c r="E1534" t="s">
        <v>1648</v>
      </c>
      <c r="F1534" s="5">
        <v>23.5</v>
      </c>
      <c r="G1534" t="s">
        <v>1630</v>
      </c>
      <c r="H1534">
        <v>3</v>
      </c>
    </row>
    <row r="1535" spans="1:8">
      <c r="A1535" t="s">
        <v>3169</v>
      </c>
      <c r="B1535" t="s">
        <v>1493</v>
      </c>
      <c r="C1535" s="4">
        <v>45937</v>
      </c>
      <c r="D1535" t="s">
        <v>1625</v>
      </c>
      <c r="E1535" t="s">
        <v>1605</v>
      </c>
      <c r="F1535" s="5">
        <v>2.4</v>
      </c>
      <c r="G1535" t="s">
        <v>1630</v>
      </c>
      <c r="H1535">
        <v>1</v>
      </c>
    </row>
    <row r="1536" spans="1:8">
      <c r="A1536" t="s">
        <v>3170</v>
      </c>
      <c r="B1536" t="s">
        <v>75</v>
      </c>
      <c r="C1536" s="4">
        <v>45034</v>
      </c>
      <c r="D1536" t="s">
        <v>1625</v>
      </c>
      <c r="E1536" t="s">
        <v>1629</v>
      </c>
      <c r="F1536" s="5">
        <v>3.3</v>
      </c>
      <c r="G1536" t="s">
        <v>1630</v>
      </c>
      <c r="H1536">
        <v>4</v>
      </c>
    </row>
    <row r="1537" spans="1:8">
      <c r="A1537" t="s">
        <v>3171</v>
      </c>
      <c r="B1537" t="s">
        <v>1396</v>
      </c>
      <c r="C1537" s="4">
        <v>46014</v>
      </c>
      <c r="D1537" t="s">
        <v>1637</v>
      </c>
      <c r="E1537" t="s">
        <v>1633</v>
      </c>
      <c r="F1537" s="5">
        <v>9.1999999999999993</v>
      </c>
      <c r="G1537" t="s">
        <v>1630</v>
      </c>
      <c r="H1537">
        <v>4</v>
      </c>
    </row>
    <row r="1538" spans="1:8">
      <c r="A1538" t="s">
        <v>3172</v>
      </c>
      <c r="B1538" t="s">
        <v>803</v>
      </c>
      <c r="C1538" s="4">
        <v>45649</v>
      </c>
      <c r="D1538" t="s">
        <v>1628</v>
      </c>
      <c r="E1538" t="s">
        <v>1609</v>
      </c>
      <c r="F1538" s="5">
        <v>1.3</v>
      </c>
      <c r="G1538" t="s">
        <v>1626</v>
      </c>
      <c r="H1538">
        <v>2</v>
      </c>
    </row>
    <row r="1539" spans="1:8">
      <c r="A1539" t="s">
        <v>3173</v>
      </c>
      <c r="B1539" t="s">
        <v>608</v>
      </c>
      <c r="C1539" s="4">
        <v>45067</v>
      </c>
      <c r="D1539" t="s">
        <v>1655</v>
      </c>
      <c r="E1539" t="s">
        <v>1648</v>
      </c>
      <c r="F1539" s="5">
        <v>7.6</v>
      </c>
      <c r="G1539" t="s">
        <v>1626</v>
      </c>
      <c r="H1539">
        <v>1</v>
      </c>
    </row>
    <row r="1540" spans="1:8">
      <c r="A1540" t="s">
        <v>3174</v>
      </c>
      <c r="B1540" t="s">
        <v>393</v>
      </c>
      <c r="C1540" s="4">
        <v>45340</v>
      </c>
      <c r="D1540" t="s">
        <v>1628</v>
      </c>
      <c r="E1540" t="s">
        <v>1629</v>
      </c>
      <c r="F1540" s="5">
        <v>19.5</v>
      </c>
      <c r="G1540" t="s">
        <v>1626</v>
      </c>
      <c r="H1540">
        <v>1</v>
      </c>
    </row>
    <row r="1541" spans="1:8">
      <c r="A1541" t="s">
        <v>3175</v>
      </c>
      <c r="B1541" t="s">
        <v>989</v>
      </c>
      <c r="C1541" s="4">
        <v>45404</v>
      </c>
      <c r="D1541" t="s">
        <v>1655</v>
      </c>
      <c r="E1541" t="s">
        <v>1629</v>
      </c>
      <c r="F1541" s="5">
        <v>16.2</v>
      </c>
      <c r="G1541" t="s">
        <v>1630</v>
      </c>
      <c r="H1541">
        <v>4</v>
      </c>
    </row>
    <row r="1542" spans="1:8">
      <c r="A1542" t="s">
        <v>3176</v>
      </c>
      <c r="B1542" t="s">
        <v>124</v>
      </c>
      <c r="C1542" s="4">
        <v>45429</v>
      </c>
      <c r="D1542" t="s">
        <v>1625</v>
      </c>
      <c r="E1542" t="s">
        <v>1609</v>
      </c>
      <c r="F1542" s="5">
        <v>17.100000000000001</v>
      </c>
      <c r="G1542" t="s">
        <v>1630</v>
      </c>
      <c r="H1542">
        <v>3</v>
      </c>
    </row>
    <row r="1543" spans="1:8">
      <c r="A1543" t="s">
        <v>3177</v>
      </c>
      <c r="B1543" t="s">
        <v>412</v>
      </c>
      <c r="C1543" s="4">
        <v>45361</v>
      </c>
      <c r="D1543" t="s">
        <v>1641</v>
      </c>
      <c r="E1543" t="s">
        <v>1629</v>
      </c>
      <c r="F1543" s="5">
        <v>0.5</v>
      </c>
      <c r="G1543" t="s">
        <v>1630</v>
      </c>
      <c r="H1543">
        <v>3</v>
      </c>
    </row>
    <row r="1544" spans="1:8">
      <c r="A1544" t="s">
        <v>3178</v>
      </c>
      <c r="B1544" t="s">
        <v>1296</v>
      </c>
      <c r="C1544" s="4">
        <v>45026</v>
      </c>
      <c r="D1544" t="s">
        <v>1641</v>
      </c>
      <c r="E1544" t="s">
        <v>1648</v>
      </c>
      <c r="F1544" s="5">
        <v>2</v>
      </c>
      <c r="G1544" t="s">
        <v>1626</v>
      </c>
      <c r="H1544">
        <v>2</v>
      </c>
    </row>
    <row r="1545" spans="1:8">
      <c r="A1545" t="s">
        <v>3179</v>
      </c>
      <c r="B1545" t="s">
        <v>1318</v>
      </c>
      <c r="C1545" s="4">
        <v>45068</v>
      </c>
      <c r="D1545" t="s">
        <v>1628</v>
      </c>
      <c r="E1545" t="s">
        <v>1648</v>
      </c>
      <c r="F1545" s="5">
        <v>0.2</v>
      </c>
      <c r="G1545" t="s">
        <v>1630</v>
      </c>
      <c r="H1545">
        <v>1</v>
      </c>
    </row>
    <row r="1546" spans="1:8">
      <c r="A1546" t="s">
        <v>3180</v>
      </c>
      <c r="B1546" t="s">
        <v>1415</v>
      </c>
      <c r="C1546" s="4">
        <v>45901</v>
      </c>
      <c r="D1546" t="s">
        <v>1641</v>
      </c>
      <c r="E1546" t="s">
        <v>1648</v>
      </c>
      <c r="F1546" s="5">
        <v>16.8</v>
      </c>
      <c r="G1546" t="s">
        <v>1630</v>
      </c>
      <c r="H1546">
        <v>3</v>
      </c>
    </row>
    <row r="1547" spans="1:8">
      <c r="A1547" t="s">
        <v>3181</v>
      </c>
      <c r="B1547" t="s">
        <v>736</v>
      </c>
      <c r="C1547" s="4">
        <v>45240</v>
      </c>
      <c r="D1547" t="s">
        <v>1641</v>
      </c>
      <c r="E1547" t="s">
        <v>1609</v>
      </c>
      <c r="F1547" s="5">
        <v>1.9</v>
      </c>
      <c r="G1547" t="s">
        <v>1630</v>
      </c>
      <c r="H1547">
        <v>3</v>
      </c>
    </row>
    <row r="1548" spans="1:8">
      <c r="A1548" t="s">
        <v>3182</v>
      </c>
      <c r="B1548" t="s">
        <v>1010</v>
      </c>
      <c r="C1548" s="4">
        <v>44953</v>
      </c>
      <c r="D1548" t="s">
        <v>1625</v>
      </c>
      <c r="E1548" t="s">
        <v>1609</v>
      </c>
      <c r="F1548" s="5">
        <v>5</v>
      </c>
      <c r="G1548" t="s">
        <v>1630</v>
      </c>
      <c r="H1548">
        <v>4</v>
      </c>
    </row>
    <row r="1549" spans="1:8">
      <c r="A1549" t="s">
        <v>3183</v>
      </c>
      <c r="B1549" t="s">
        <v>1326</v>
      </c>
      <c r="C1549" s="4">
        <v>45934</v>
      </c>
      <c r="D1549" t="s">
        <v>1625</v>
      </c>
      <c r="E1549" t="s">
        <v>1648</v>
      </c>
      <c r="F1549" s="5">
        <v>29.1</v>
      </c>
      <c r="G1549" t="s">
        <v>1630</v>
      </c>
      <c r="H1549">
        <v>3</v>
      </c>
    </row>
    <row r="1550" spans="1:8">
      <c r="A1550" t="s">
        <v>3184</v>
      </c>
      <c r="B1550" t="s">
        <v>969</v>
      </c>
      <c r="C1550" s="4">
        <v>45383</v>
      </c>
      <c r="D1550" t="s">
        <v>1641</v>
      </c>
      <c r="E1550" t="s">
        <v>1609</v>
      </c>
      <c r="F1550" s="5">
        <v>17.5</v>
      </c>
      <c r="G1550" t="s">
        <v>1630</v>
      </c>
      <c r="H1550">
        <v>5</v>
      </c>
    </row>
    <row r="1551" spans="1:8">
      <c r="A1551" t="s">
        <v>3185</v>
      </c>
      <c r="B1551" t="s">
        <v>192</v>
      </c>
      <c r="C1551" s="4">
        <v>45214</v>
      </c>
      <c r="D1551" t="s">
        <v>1632</v>
      </c>
      <c r="E1551" t="s">
        <v>1629</v>
      </c>
      <c r="F1551" s="5">
        <v>0.2</v>
      </c>
      <c r="G1551" t="s">
        <v>1630</v>
      </c>
      <c r="H1551">
        <v>3</v>
      </c>
    </row>
    <row r="1552" spans="1:8">
      <c r="A1552" t="s">
        <v>3186</v>
      </c>
      <c r="B1552" t="s">
        <v>626</v>
      </c>
      <c r="C1552" s="4">
        <v>45228</v>
      </c>
      <c r="D1552" t="s">
        <v>1632</v>
      </c>
      <c r="E1552" t="s">
        <v>1609</v>
      </c>
      <c r="F1552" s="5">
        <v>12.9</v>
      </c>
      <c r="G1552" t="s">
        <v>1626</v>
      </c>
      <c r="H1552">
        <v>2</v>
      </c>
    </row>
    <row r="1553" spans="1:8">
      <c r="A1553" t="s">
        <v>3187</v>
      </c>
      <c r="B1553" t="s">
        <v>1523</v>
      </c>
      <c r="C1553" s="4">
        <v>46013</v>
      </c>
      <c r="D1553" t="s">
        <v>1641</v>
      </c>
      <c r="E1553" t="s">
        <v>1605</v>
      </c>
      <c r="F1553" s="5">
        <v>3.2</v>
      </c>
      <c r="G1553" t="s">
        <v>1630</v>
      </c>
      <c r="H1553">
        <v>1</v>
      </c>
    </row>
    <row r="1554" spans="1:8">
      <c r="A1554" t="s">
        <v>3188</v>
      </c>
      <c r="B1554" t="s">
        <v>929</v>
      </c>
      <c r="C1554" s="4">
        <v>45318</v>
      </c>
      <c r="D1554" t="s">
        <v>1655</v>
      </c>
      <c r="E1554" t="s">
        <v>1605</v>
      </c>
      <c r="F1554" s="5">
        <v>0.3</v>
      </c>
      <c r="G1554" t="s">
        <v>1630</v>
      </c>
      <c r="H1554">
        <v>4</v>
      </c>
    </row>
    <row r="1555" spans="1:8">
      <c r="A1555" t="s">
        <v>3189</v>
      </c>
      <c r="B1555" t="s">
        <v>1206</v>
      </c>
      <c r="C1555" s="4">
        <v>45868</v>
      </c>
      <c r="D1555" t="s">
        <v>1641</v>
      </c>
      <c r="E1555" t="s">
        <v>1648</v>
      </c>
      <c r="F1555" s="5">
        <v>4.5999999999999996</v>
      </c>
      <c r="G1555" t="s">
        <v>1630</v>
      </c>
      <c r="H1555">
        <v>3</v>
      </c>
    </row>
    <row r="1556" spans="1:8">
      <c r="A1556" t="s">
        <v>3190</v>
      </c>
      <c r="B1556" t="s">
        <v>1571</v>
      </c>
      <c r="C1556" s="4">
        <v>45159</v>
      </c>
      <c r="D1556" t="s">
        <v>1632</v>
      </c>
      <c r="E1556" t="s">
        <v>1609</v>
      </c>
      <c r="F1556" s="5">
        <v>5.8</v>
      </c>
      <c r="G1556" t="s">
        <v>1630</v>
      </c>
      <c r="H1556">
        <v>3</v>
      </c>
    </row>
    <row r="1557" spans="1:8">
      <c r="A1557" t="s">
        <v>3191</v>
      </c>
      <c r="B1557" t="s">
        <v>1519</v>
      </c>
      <c r="C1557" s="4">
        <v>45997</v>
      </c>
      <c r="D1557" t="s">
        <v>1632</v>
      </c>
      <c r="E1557" t="s">
        <v>1605</v>
      </c>
      <c r="F1557" s="5">
        <v>0.2</v>
      </c>
      <c r="G1557" t="s">
        <v>1630</v>
      </c>
      <c r="H1557">
        <v>2</v>
      </c>
    </row>
    <row r="1558" spans="1:8">
      <c r="A1558" t="s">
        <v>3192</v>
      </c>
      <c r="B1558" t="s">
        <v>1433</v>
      </c>
      <c r="C1558" s="4">
        <v>46168</v>
      </c>
      <c r="D1558" t="s">
        <v>1625</v>
      </c>
      <c r="E1558" t="s">
        <v>1648</v>
      </c>
      <c r="F1558" s="5">
        <v>16.600000000000001</v>
      </c>
      <c r="G1558" t="s">
        <v>1630</v>
      </c>
      <c r="H1558">
        <v>3</v>
      </c>
    </row>
    <row r="1559" spans="1:8">
      <c r="A1559" t="s">
        <v>3193</v>
      </c>
      <c r="B1559" t="s">
        <v>321</v>
      </c>
      <c r="C1559" s="4">
        <v>46095</v>
      </c>
      <c r="D1559" t="s">
        <v>1625</v>
      </c>
      <c r="E1559" t="s">
        <v>1605</v>
      </c>
      <c r="F1559" s="5">
        <v>8.3000000000000007</v>
      </c>
      <c r="G1559" t="s">
        <v>1630</v>
      </c>
      <c r="H1559">
        <v>4</v>
      </c>
    </row>
    <row r="1560" spans="1:8">
      <c r="A1560" t="s">
        <v>3194</v>
      </c>
      <c r="B1560" t="s">
        <v>154</v>
      </c>
      <c r="C1560" s="4">
        <v>45665</v>
      </c>
      <c r="D1560" t="s">
        <v>1632</v>
      </c>
      <c r="E1560" t="s">
        <v>1629</v>
      </c>
      <c r="F1560" s="5">
        <v>10.1</v>
      </c>
      <c r="G1560" t="s">
        <v>1630</v>
      </c>
      <c r="H1560">
        <v>2</v>
      </c>
    </row>
    <row r="1561" spans="1:8">
      <c r="A1561" t="s">
        <v>3195</v>
      </c>
      <c r="B1561" t="s">
        <v>916</v>
      </c>
      <c r="C1561" s="4">
        <v>45787</v>
      </c>
      <c r="D1561" t="s">
        <v>1655</v>
      </c>
      <c r="E1561" t="s">
        <v>1633</v>
      </c>
      <c r="F1561" s="5">
        <v>21.1</v>
      </c>
      <c r="G1561" t="s">
        <v>1630</v>
      </c>
      <c r="H1561">
        <v>4</v>
      </c>
    </row>
    <row r="1562" spans="1:8">
      <c r="A1562" t="s">
        <v>3196</v>
      </c>
      <c r="B1562" t="s">
        <v>487</v>
      </c>
      <c r="C1562" s="4">
        <v>44932</v>
      </c>
      <c r="D1562" t="s">
        <v>1625</v>
      </c>
      <c r="E1562" t="s">
        <v>1605</v>
      </c>
      <c r="F1562" s="5">
        <v>14.8</v>
      </c>
      <c r="G1562" t="s">
        <v>1630</v>
      </c>
      <c r="H1562">
        <v>1</v>
      </c>
    </row>
    <row r="1563" spans="1:8">
      <c r="A1563" t="s">
        <v>3197</v>
      </c>
      <c r="B1563" t="s">
        <v>790</v>
      </c>
      <c r="C1563" s="4">
        <v>45115</v>
      </c>
      <c r="D1563" t="s">
        <v>1667</v>
      </c>
      <c r="E1563" t="s">
        <v>1648</v>
      </c>
      <c r="F1563" s="5">
        <v>20.5</v>
      </c>
      <c r="G1563" t="s">
        <v>1630</v>
      </c>
      <c r="H1563">
        <v>1</v>
      </c>
    </row>
    <row r="1564" spans="1:8">
      <c r="A1564" t="s">
        <v>3198</v>
      </c>
      <c r="B1564" t="s">
        <v>929</v>
      </c>
      <c r="C1564" s="4">
        <v>46034</v>
      </c>
      <c r="D1564" t="s">
        <v>1641</v>
      </c>
      <c r="E1564" t="s">
        <v>1633</v>
      </c>
      <c r="F1564" s="5">
        <v>12.1</v>
      </c>
      <c r="G1564" t="s">
        <v>1626</v>
      </c>
      <c r="H1564">
        <v>2</v>
      </c>
    </row>
    <row r="1565" spans="1:8">
      <c r="A1565" t="s">
        <v>3199</v>
      </c>
      <c r="B1565" t="s">
        <v>1413</v>
      </c>
      <c r="C1565" s="4">
        <v>45623</v>
      </c>
      <c r="D1565" t="s">
        <v>1641</v>
      </c>
      <c r="E1565" t="s">
        <v>1629</v>
      </c>
      <c r="F1565" s="5">
        <v>7.8</v>
      </c>
      <c r="G1565" t="s">
        <v>1630</v>
      </c>
      <c r="H1565">
        <v>1</v>
      </c>
    </row>
    <row r="1566" spans="1:8">
      <c r="A1566" t="s">
        <v>3200</v>
      </c>
      <c r="B1566" t="s">
        <v>1548</v>
      </c>
      <c r="C1566" s="4">
        <v>45787</v>
      </c>
      <c r="D1566" t="s">
        <v>1667</v>
      </c>
      <c r="E1566" t="s">
        <v>1605</v>
      </c>
      <c r="F1566" s="5">
        <v>1.1000000000000001</v>
      </c>
      <c r="G1566" t="s">
        <v>1630</v>
      </c>
      <c r="H1566">
        <v>2</v>
      </c>
    </row>
    <row r="1567" spans="1:8">
      <c r="A1567" t="s">
        <v>3201</v>
      </c>
      <c r="B1567" t="s">
        <v>1189</v>
      </c>
      <c r="C1567" s="4">
        <v>45897</v>
      </c>
      <c r="D1567" t="s">
        <v>1628</v>
      </c>
      <c r="E1567" t="s">
        <v>1648</v>
      </c>
      <c r="F1567" s="5">
        <v>5.6</v>
      </c>
      <c r="G1567" t="s">
        <v>1630</v>
      </c>
      <c r="H1567">
        <v>2</v>
      </c>
    </row>
    <row r="1568" spans="1:8">
      <c r="A1568" t="s">
        <v>3202</v>
      </c>
      <c r="B1568" t="s">
        <v>1488</v>
      </c>
      <c r="C1568" s="4">
        <v>45277</v>
      </c>
      <c r="D1568" t="s">
        <v>1628</v>
      </c>
      <c r="E1568" t="s">
        <v>1648</v>
      </c>
      <c r="F1568" s="5">
        <v>0.5</v>
      </c>
      <c r="G1568" t="s">
        <v>1630</v>
      </c>
      <c r="H1568">
        <v>4</v>
      </c>
    </row>
    <row r="1569" spans="1:8">
      <c r="A1569" t="s">
        <v>3203</v>
      </c>
      <c r="B1569" t="s">
        <v>703</v>
      </c>
      <c r="C1569" s="4">
        <v>45485</v>
      </c>
      <c r="D1569" t="s">
        <v>1637</v>
      </c>
      <c r="E1569" t="s">
        <v>1648</v>
      </c>
      <c r="F1569" s="5">
        <v>7.9</v>
      </c>
      <c r="G1569" t="s">
        <v>1630</v>
      </c>
      <c r="H1569">
        <v>5</v>
      </c>
    </row>
    <row r="1570" spans="1:8">
      <c r="A1570" t="s">
        <v>3204</v>
      </c>
      <c r="B1570" t="s">
        <v>644</v>
      </c>
      <c r="C1570" s="4">
        <v>45881</v>
      </c>
      <c r="D1570" t="s">
        <v>1667</v>
      </c>
      <c r="E1570" t="s">
        <v>1648</v>
      </c>
      <c r="F1570" s="5">
        <v>3.1</v>
      </c>
      <c r="G1570" t="s">
        <v>1630</v>
      </c>
      <c r="H1570">
        <v>4</v>
      </c>
    </row>
    <row r="1571" spans="1:8">
      <c r="A1571" t="s">
        <v>3205</v>
      </c>
      <c r="B1571" t="s">
        <v>859</v>
      </c>
      <c r="C1571" s="4">
        <v>45943</v>
      </c>
      <c r="D1571" t="s">
        <v>1625</v>
      </c>
      <c r="E1571" t="s">
        <v>1605</v>
      </c>
      <c r="F1571" s="5">
        <v>7.2</v>
      </c>
      <c r="G1571" t="s">
        <v>1630</v>
      </c>
      <c r="H1571">
        <v>5</v>
      </c>
    </row>
    <row r="1572" spans="1:8">
      <c r="A1572" t="s">
        <v>3206</v>
      </c>
      <c r="B1572" t="s">
        <v>1026</v>
      </c>
      <c r="C1572" s="4">
        <v>45008</v>
      </c>
      <c r="D1572" t="s">
        <v>1655</v>
      </c>
      <c r="E1572" t="s">
        <v>1605</v>
      </c>
      <c r="F1572" s="5">
        <v>5</v>
      </c>
      <c r="G1572" t="s">
        <v>1630</v>
      </c>
      <c r="H1572">
        <v>5</v>
      </c>
    </row>
    <row r="1573" spans="1:8">
      <c r="A1573" t="s">
        <v>3207</v>
      </c>
      <c r="B1573" t="s">
        <v>237</v>
      </c>
      <c r="C1573" s="4">
        <v>45583</v>
      </c>
      <c r="D1573" t="s">
        <v>1641</v>
      </c>
      <c r="E1573" t="s">
        <v>1609</v>
      </c>
      <c r="F1573" s="5">
        <v>6.5</v>
      </c>
      <c r="G1573" t="s">
        <v>1630</v>
      </c>
      <c r="H1573">
        <v>5</v>
      </c>
    </row>
    <row r="1574" spans="1:8">
      <c r="A1574" t="s">
        <v>3208</v>
      </c>
      <c r="B1574" t="s">
        <v>1129</v>
      </c>
      <c r="C1574" s="4">
        <v>45726</v>
      </c>
      <c r="D1574" t="s">
        <v>1628</v>
      </c>
      <c r="E1574" t="s">
        <v>1648</v>
      </c>
      <c r="F1574" s="5">
        <v>1.9</v>
      </c>
      <c r="G1574" t="s">
        <v>1630</v>
      </c>
      <c r="H1574">
        <v>5</v>
      </c>
    </row>
    <row r="1575" spans="1:8">
      <c r="A1575" t="s">
        <v>3209</v>
      </c>
      <c r="B1575" t="s">
        <v>895</v>
      </c>
      <c r="C1575" s="4">
        <v>45768</v>
      </c>
      <c r="D1575" t="s">
        <v>1628</v>
      </c>
      <c r="E1575" t="s">
        <v>1609</v>
      </c>
      <c r="F1575" s="5">
        <v>15.8</v>
      </c>
      <c r="G1575" t="s">
        <v>1626</v>
      </c>
      <c r="H1575">
        <v>3</v>
      </c>
    </row>
    <row r="1576" spans="1:8">
      <c r="A1576" t="s">
        <v>3210</v>
      </c>
      <c r="B1576" t="s">
        <v>944</v>
      </c>
      <c r="C1576" s="4">
        <v>45743</v>
      </c>
      <c r="D1576" t="s">
        <v>1628</v>
      </c>
      <c r="E1576" t="s">
        <v>1605</v>
      </c>
      <c r="F1576" s="5">
        <v>7.2</v>
      </c>
      <c r="G1576" t="s">
        <v>1630</v>
      </c>
      <c r="H1576">
        <v>2</v>
      </c>
    </row>
    <row r="1577" spans="1:8">
      <c r="A1577" t="s">
        <v>3211</v>
      </c>
      <c r="B1577" t="s">
        <v>338</v>
      </c>
      <c r="C1577" s="4">
        <v>46161</v>
      </c>
      <c r="D1577" t="s">
        <v>1628</v>
      </c>
      <c r="E1577" t="s">
        <v>1633</v>
      </c>
      <c r="F1577" s="5">
        <v>10.7</v>
      </c>
      <c r="G1577" t="s">
        <v>1630</v>
      </c>
      <c r="H1577">
        <v>5</v>
      </c>
    </row>
    <row r="1578" spans="1:8">
      <c r="A1578" t="s">
        <v>3212</v>
      </c>
      <c r="B1578" t="s">
        <v>309</v>
      </c>
      <c r="C1578" s="4">
        <v>45243</v>
      </c>
      <c r="D1578" t="s">
        <v>1667</v>
      </c>
      <c r="E1578" t="s">
        <v>1648</v>
      </c>
      <c r="F1578" s="5">
        <v>5.9</v>
      </c>
      <c r="G1578" t="s">
        <v>1630</v>
      </c>
      <c r="H1578">
        <v>1</v>
      </c>
    </row>
    <row r="1579" spans="1:8">
      <c r="A1579" t="s">
        <v>3213</v>
      </c>
      <c r="B1579" t="s">
        <v>988</v>
      </c>
      <c r="C1579" s="4">
        <v>45201</v>
      </c>
      <c r="D1579" t="s">
        <v>1655</v>
      </c>
      <c r="E1579" t="s">
        <v>1609</v>
      </c>
      <c r="F1579" s="5">
        <v>8.4</v>
      </c>
      <c r="G1579" t="s">
        <v>1630</v>
      </c>
      <c r="H1579">
        <v>4</v>
      </c>
    </row>
    <row r="1580" spans="1:8">
      <c r="A1580" t="s">
        <v>3214</v>
      </c>
      <c r="B1580" t="s">
        <v>812</v>
      </c>
      <c r="C1580" s="4">
        <v>46147</v>
      </c>
      <c r="D1580" t="s">
        <v>1628</v>
      </c>
      <c r="E1580" t="s">
        <v>1609</v>
      </c>
      <c r="F1580" s="5">
        <v>0.4</v>
      </c>
      <c r="G1580" t="s">
        <v>1630</v>
      </c>
      <c r="H1580">
        <v>2</v>
      </c>
    </row>
    <row r="1581" spans="1:8">
      <c r="A1581" t="s">
        <v>3215</v>
      </c>
      <c r="B1581" t="s">
        <v>947</v>
      </c>
      <c r="C1581" s="4">
        <v>45227</v>
      </c>
      <c r="D1581" t="s">
        <v>1641</v>
      </c>
      <c r="E1581" t="s">
        <v>1605</v>
      </c>
      <c r="F1581" s="5">
        <v>3.9</v>
      </c>
      <c r="G1581" t="s">
        <v>1630</v>
      </c>
      <c r="H1581">
        <v>2</v>
      </c>
    </row>
    <row r="1582" spans="1:8">
      <c r="A1582" t="s">
        <v>3216</v>
      </c>
      <c r="B1582" t="s">
        <v>544</v>
      </c>
      <c r="C1582" s="4">
        <v>45489</v>
      </c>
      <c r="D1582" t="s">
        <v>1637</v>
      </c>
      <c r="E1582" t="s">
        <v>1648</v>
      </c>
      <c r="F1582" s="5">
        <v>8.6999999999999993</v>
      </c>
      <c r="G1582" t="s">
        <v>1626</v>
      </c>
      <c r="H1582">
        <v>3</v>
      </c>
    </row>
    <row r="1583" spans="1:8">
      <c r="A1583" t="s">
        <v>3217</v>
      </c>
      <c r="B1583" t="s">
        <v>683</v>
      </c>
      <c r="C1583" s="4">
        <v>45857</v>
      </c>
      <c r="D1583" t="s">
        <v>1667</v>
      </c>
      <c r="E1583" t="s">
        <v>1605</v>
      </c>
      <c r="F1583" s="5">
        <v>10</v>
      </c>
      <c r="G1583" t="s">
        <v>1630</v>
      </c>
      <c r="H1583">
        <v>4</v>
      </c>
    </row>
    <row r="1584" spans="1:8">
      <c r="A1584" t="s">
        <v>3218</v>
      </c>
      <c r="B1584" t="s">
        <v>722</v>
      </c>
      <c r="C1584" s="4">
        <v>45869</v>
      </c>
      <c r="D1584" t="s">
        <v>1641</v>
      </c>
      <c r="E1584" t="s">
        <v>1629</v>
      </c>
      <c r="F1584" s="5">
        <v>15.9</v>
      </c>
      <c r="G1584" t="s">
        <v>1630</v>
      </c>
      <c r="H1584">
        <v>2</v>
      </c>
    </row>
    <row r="1585" spans="1:8">
      <c r="A1585" t="s">
        <v>3219</v>
      </c>
      <c r="B1585" t="s">
        <v>1594</v>
      </c>
      <c r="C1585" s="4">
        <v>45318</v>
      </c>
      <c r="D1585" t="s">
        <v>1625</v>
      </c>
      <c r="E1585" t="s">
        <v>1629</v>
      </c>
      <c r="F1585" s="5">
        <v>0.2</v>
      </c>
      <c r="G1585" t="s">
        <v>1630</v>
      </c>
      <c r="H1585">
        <v>2</v>
      </c>
    </row>
    <row r="1586" spans="1:8">
      <c r="A1586" t="s">
        <v>3220</v>
      </c>
      <c r="B1586" t="s">
        <v>1309</v>
      </c>
      <c r="C1586" s="4">
        <v>45134</v>
      </c>
      <c r="D1586" t="s">
        <v>1655</v>
      </c>
      <c r="E1586" t="s">
        <v>1605</v>
      </c>
      <c r="F1586" s="5">
        <v>0.8</v>
      </c>
      <c r="G1586" t="s">
        <v>1630</v>
      </c>
      <c r="H1586">
        <v>1</v>
      </c>
    </row>
    <row r="1587" spans="1:8">
      <c r="A1587" t="s">
        <v>3221</v>
      </c>
      <c r="B1587" t="s">
        <v>1229</v>
      </c>
      <c r="C1587" s="4">
        <v>45578</v>
      </c>
      <c r="D1587" t="s">
        <v>1625</v>
      </c>
      <c r="E1587" t="s">
        <v>1609</v>
      </c>
      <c r="F1587" s="5">
        <v>3.5</v>
      </c>
      <c r="G1587" t="s">
        <v>1630</v>
      </c>
      <c r="H1587">
        <v>5</v>
      </c>
    </row>
    <row r="1588" spans="1:8">
      <c r="A1588" t="s">
        <v>3222</v>
      </c>
      <c r="B1588" t="s">
        <v>942</v>
      </c>
      <c r="C1588" s="4">
        <v>46162</v>
      </c>
      <c r="D1588" t="s">
        <v>1632</v>
      </c>
      <c r="E1588" t="s">
        <v>1605</v>
      </c>
      <c r="F1588" s="5">
        <v>5.8</v>
      </c>
      <c r="G1588" t="s">
        <v>1630</v>
      </c>
      <c r="H1588">
        <v>3</v>
      </c>
    </row>
    <row r="1589" spans="1:8">
      <c r="A1589" t="s">
        <v>3223</v>
      </c>
      <c r="B1589" t="s">
        <v>614</v>
      </c>
      <c r="C1589" s="4">
        <v>45018</v>
      </c>
      <c r="D1589" t="s">
        <v>1625</v>
      </c>
      <c r="E1589" t="s">
        <v>1648</v>
      </c>
      <c r="F1589" s="5">
        <v>6.2</v>
      </c>
      <c r="G1589" t="s">
        <v>1630</v>
      </c>
      <c r="H1589">
        <v>1</v>
      </c>
    </row>
    <row r="1590" spans="1:8">
      <c r="A1590" t="s">
        <v>3224</v>
      </c>
      <c r="B1590" t="s">
        <v>695</v>
      </c>
      <c r="C1590" s="4">
        <v>45057</v>
      </c>
      <c r="D1590" t="s">
        <v>1625</v>
      </c>
      <c r="E1590" t="s">
        <v>1629</v>
      </c>
      <c r="F1590" s="5">
        <v>24.1</v>
      </c>
      <c r="G1590" t="s">
        <v>1630</v>
      </c>
      <c r="H1590">
        <v>1</v>
      </c>
    </row>
    <row r="1591" spans="1:8">
      <c r="A1591" t="s">
        <v>3225</v>
      </c>
      <c r="B1591" t="s">
        <v>1327</v>
      </c>
      <c r="C1591" s="4">
        <v>45239</v>
      </c>
      <c r="D1591" t="s">
        <v>1667</v>
      </c>
      <c r="E1591" t="s">
        <v>1633</v>
      </c>
      <c r="F1591" s="5">
        <v>15.2</v>
      </c>
      <c r="G1591" t="s">
        <v>1630</v>
      </c>
      <c r="H1591">
        <v>5</v>
      </c>
    </row>
    <row r="1592" spans="1:8">
      <c r="A1592" t="s">
        <v>3226</v>
      </c>
      <c r="B1592" t="s">
        <v>896</v>
      </c>
      <c r="C1592" s="4">
        <v>45160</v>
      </c>
      <c r="D1592" t="s">
        <v>1625</v>
      </c>
      <c r="E1592" t="s">
        <v>1629</v>
      </c>
      <c r="F1592" s="5">
        <v>13.7</v>
      </c>
      <c r="G1592" t="s">
        <v>1630</v>
      </c>
      <c r="H1592">
        <v>5</v>
      </c>
    </row>
    <row r="1593" spans="1:8">
      <c r="A1593" t="s">
        <v>3227</v>
      </c>
      <c r="B1593" t="s">
        <v>257</v>
      </c>
      <c r="C1593" s="4">
        <v>45003</v>
      </c>
      <c r="D1593" t="s">
        <v>1641</v>
      </c>
      <c r="E1593" t="s">
        <v>1629</v>
      </c>
      <c r="F1593" s="5">
        <v>16.899999999999999</v>
      </c>
      <c r="G1593" t="s">
        <v>1630</v>
      </c>
      <c r="H1593">
        <v>4</v>
      </c>
    </row>
    <row r="1594" spans="1:8">
      <c r="A1594" t="s">
        <v>3228</v>
      </c>
      <c r="B1594" t="s">
        <v>1023</v>
      </c>
      <c r="C1594" s="4">
        <v>45036</v>
      </c>
      <c r="D1594" t="s">
        <v>1637</v>
      </c>
      <c r="E1594" t="s">
        <v>1605</v>
      </c>
      <c r="F1594" s="5">
        <v>2.1</v>
      </c>
      <c r="G1594" t="s">
        <v>1626</v>
      </c>
      <c r="H1594">
        <v>3</v>
      </c>
    </row>
    <row r="1595" spans="1:8">
      <c r="A1595" t="s">
        <v>3229</v>
      </c>
      <c r="B1595" t="s">
        <v>621</v>
      </c>
      <c r="C1595" s="4">
        <v>45658</v>
      </c>
      <c r="D1595" t="s">
        <v>1625</v>
      </c>
      <c r="E1595" t="s">
        <v>1633</v>
      </c>
      <c r="F1595" s="5">
        <v>2.4</v>
      </c>
      <c r="G1595" t="s">
        <v>1626</v>
      </c>
      <c r="H1595">
        <v>3</v>
      </c>
    </row>
    <row r="1596" spans="1:8">
      <c r="A1596" t="s">
        <v>3230</v>
      </c>
      <c r="B1596" t="s">
        <v>1398</v>
      </c>
      <c r="C1596" s="4">
        <v>45527</v>
      </c>
      <c r="D1596" t="s">
        <v>1628</v>
      </c>
      <c r="E1596" t="s">
        <v>1605</v>
      </c>
      <c r="F1596" s="5">
        <v>13.7</v>
      </c>
      <c r="G1596" t="s">
        <v>1630</v>
      </c>
      <c r="H1596">
        <v>4</v>
      </c>
    </row>
    <row r="1597" spans="1:8">
      <c r="A1597" t="s">
        <v>3231</v>
      </c>
      <c r="B1597" t="s">
        <v>1569</v>
      </c>
      <c r="C1597" s="4">
        <v>45537</v>
      </c>
      <c r="D1597" t="s">
        <v>1655</v>
      </c>
      <c r="E1597" t="s">
        <v>1609</v>
      </c>
      <c r="F1597" s="5">
        <v>4.5</v>
      </c>
      <c r="G1597" t="s">
        <v>1626</v>
      </c>
      <c r="H1597">
        <v>3</v>
      </c>
    </row>
    <row r="1598" spans="1:8">
      <c r="A1598" t="s">
        <v>3232</v>
      </c>
      <c r="B1598" t="s">
        <v>708</v>
      </c>
      <c r="C1598" s="4">
        <v>45909</v>
      </c>
      <c r="D1598" t="s">
        <v>1628</v>
      </c>
      <c r="E1598" t="s">
        <v>1629</v>
      </c>
      <c r="F1598" s="5">
        <v>5.6</v>
      </c>
      <c r="G1598" t="s">
        <v>1630</v>
      </c>
      <c r="H1598">
        <v>1</v>
      </c>
    </row>
    <row r="1599" spans="1:8">
      <c r="A1599" t="s">
        <v>3233</v>
      </c>
      <c r="B1599" t="s">
        <v>765</v>
      </c>
      <c r="C1599" s="4">
        <v>46119</v>
      </c>
      <c r="D1599" t="s">
        <v>1667</v>
      </c>
      <c r="E1599" t="s">
        <v>1633</v>
      </c>
      <c r="F1599" s="5">
        <v>4.8</v>
      </c>
      <c r="G1599" t="s">
        <v>1626</v>
      </c>
      <c r="H1599">
        <v>3</v>
      </c>
    </row>
    <row r="1600" spans="1:8">
      <c r="A1600" t="s">
        <v>3234</v>
      </c>
      <c r="B1600" t="s">
        <v>1521</v>
      </c>
      <c r="C1600" s="4">
        <v>45228</v>
      </c>
      <c r="D1600" t="s">
        <v>1632</v>
      </c>
      <c r="E1600" t="s">
        <v>1605</v>
      </c>
      <c r="F1600" s="5">
        <v>0.9</v>
      </c>
      <c r="G1600" t="s">
        <v>1630</v>
      </c>
      <c r="H1600">
        <v>5</v>
      </c>
    </row>
    <row r="1601" spans="1:8">
      <c r="A1601" t="s">
        <v>3235</v>
      </c>
      <c r="B1601" t="s">
        <v>1354</v>
      </c>
      <c r="C1601" s="4">
        <v>45353</v>
      </c>
      <c r="D1601" t="s">
        <v>1632</v>
      </c>
      <c r="E1601" t="s">
        <v>1605</v>
      </c>
      <c r="F1601" s="5">
        <v>6.7</v>
      </c>
      <c r="G1601" t="s">
        <v>1630</v>
      </c>
      <c r="H1601">
        <v>5</v>
      </c>
    </row>
    <row r="1602" spans="1:8">
      <c r="A1602" t="s">
        <v>3236</v>
      </c>
      <c r="B1602" t="s">
        <v>786</v>
      </c>
      <c r="C1602" s="4">
        <v>45550</v>
      </c>
      <c r="D1602" t="s">
        <v>1632</v>
      </c>
      <c r="E1602" t="s">
        <v>1605</v>
      </c>
      <c r="F1602" s="5">
        <v>2.1</v>
      </c>
      <c r="G1602" t="s">
        <v>1630</v>
      </c>
      <c r="H1602">
        <v>4</v>
      </c>
    </row>
    <row r="1603" spans="1:8">
      <c r="A1603" t="s">
        <v>3237</v>
      </c>
      <c r="B1603" t="s">
        <v>1453</v>
      </c>
      <c r="C1603" s="4">
        <v>45690</v>
      </c>
      <c r="D1603" t="s">
        <v>1628</v>
      </c>
      <c r="E1603" t="s">
        <v>1633</v>
      </c>
      <c r="F1603" s="5">
        <v>7.9</v>
      </c>
      <c r="G1603" t="s">
        <v>1630</v>
      </c>
      <c r="H1603">
        <v>2</v>
      </c>
    </row>
    <row r="1604" spans="1:8">
      <c r="A1604" t="s">
        <v>3238</v>
      </c>
      <c r="B1604" t="s">
        <v>1088</v>
      </c>
      <c r="C1604" s="4">
        <v>45813</v>
      </c>
      <c r="D1604" t="s">
        <v>1655</v>
      </c>
      <c r="E1604" t="s">
        <v>1609</v>
      </c>
      <c r="F1604" s="5">
        <v>23.5</v>
      </c>
      <c r="G1604" t="s">
        <v>1626</v>
      </c>
      <c r="H1604">
        <v>2</v>
      </c>
    </row>
    <row r="1605" spans="1:8">
      <c r="A1605" t="s">
        <v>3239</v>
      </c>
      <c r="B1605" t="s">
        <v>662</v>
      </c>
      <c r="C1605" s="4">
        <v>45714</v>
      </c>
      <c r="D1605" t="s">
        <v>1655</v>
      </c>
      <c r="E1605" t="s">
        <v>1633</v>
      </c>
      <c r="F1605" s="5">
        <v>3.9</v>
      </c>
      <c r="G1605" t="s">
        <v>1630</v>
      </c>
      <c r="H1605">
        <v>3</v>
      </c>
    </row>
    <row r="1606" spans="1:8">
      <c r="A1606" t="s">
        <v>3240</v>
      </c>
      <c r="B1606" t="s">
        <v>1313</v>
      </c>
      <c r="C1606" s="4">
        <v>46099</v>
      </c>
      <c r="D1606" t="s">
        <v>1625</v>
      </c>
      <c r="E1606" t="s">
        <v>1633</v>
      </c>
      <c r="F1606" s="5">
        <v>8.4</v>
      </c>
      <c r="G1606" t="s">
        <v>1626</v>
      </c>
      <c r="H1606">
        <v>2</v>
      </c>
    </row>
    <row r="1607" spans="1:8">
      <c r="A1607" t="s">
        <v>3241</v>
      </c>
      <c r="B1607" t="s">
        <v>623</v>
      </c>
      <c r="C1607" s="4">
        <v>45162</v>
      </c>
      <c r="D1607" t="s">
        <v>1625</v>
      </c>
      <c r="E1607" t="s">
        <v>1629</v>
      </c>
      <c r="F1607" s="5">
        <v>0.2</v>
      </c>
      <c r="G1607" t="s">
        <v>1630</v>
      </c>
      <c r="H1607">
        <v>2</v>
      </c>
    </row>
    <row r="1608" spans="1:8">
      <c r="A1608" t="s">
        <v>3242</v>
      </c>
      <c r="B1608" t="s">
        <v>1504</v>
      </c>
      <c r="C1608" s="4">
        <v>45266</v>
      </c>
      <c r="D1608" t="s">
        <v>1628</v>
      </c>
      <c r="E1608" t="s">
        <v>1609</v>
      </c>
      <c r="F1608" s="5">
        <v>4.0999999999999996</v>
      </c>
      <c r="G1608" t="s">
        <v>1630</v>
      </c>
      <c r="H1608">
        <v>3</v>
      </c>
    </row>
    <row r="1609" spans="1:8">
      <c r="A1609" t="s">
        <v>3243</v>
      </c>
      <c r="B1609" t="s">
        <v>1497</v>
      </c>
      <c r="C1609" s="4">
        <v>45129</v>
      </c>
      <c r="D1609" t="s">
        <v>1628</v>
      </c>
      <c r="E1609" t="s">
        <v>1633</v>
      </c>
      <c r="F1609" s="5">
        <v>14.6</v>
      </c>
      <c r="G1609" t="s">
        <v>1630</v>
      </c>
      <c r="H1609">
        <v>4</v>
      </c>
    </row>
    <row r="1610" spans="1:8">
      <c r="A1610" t="s">
        <v>3244</v>
      </c>
      <c r="B1610" t="s">
        <v>1250</v>
      </c>
      <c r="C1610" s="4">
        <v>45046</v>
      </c>
      <c r="D1610" t="s">
        <v>1632</v>
      </c>
      <c r="E1610" t="s">
        <v>1633</v>
      </c>
      <c r="F1610" s="5">
        <v>13.6</v>
      </c>
      <c r="G1610" t="s">
        <v>1630</v>
      </c>
      <c r="H1610">
        <v>4</v>
      </c>
    </row>
    <row r="1611" spans="1:8">
      <c r="A1611" t="s">
        <v>3245</v>
      </c>
      <c r="B1611" t="s">
        <v>1400</v>
      </c>
      <c r="C1611" s="4">
        <v>45848</v>
      </c>
      <c r="D1611" t="s">
        <v>1625</v>
      </c>
      <c r="E1611" t="s">
        <v>1605</v>
      </c>
      <c r="F1611" s="5">
        <v>7.2</v>
      </c>
      <c r="G1611" t="s">
        <v>1630</v>
      </c>
      <c r="H1611">
        <v>2</v>
      </c>
    </row>
    <row r="1612" spans="1:8">
      <c r="A1612" t="s">
        <v>3246</v>
      </c>
      <c r="B1612" t="s">
        <v>1021</v>
      </c>
      <c r="C1612" s="4">
        <v>45756</v>
      </c>
      <c r="D1612" t="s">
        <v>1625</v>
      </c>
      <c r="E1612" t="s">
        <v>1605</v>
      </c>
      <c r="F1612" s="5">
        <v>28.3</v>
      </c>
      <c r="G1612" t="s">
        <v>1630</v>
      </c>
      <c r="H1612">
        <v>1</v>
      </c>
    </row>
    <row r="1613" spans="1:8">
      <c r="A1613" t="s">
        <v>3247</v>
      </c>
      <c r="B1613" t="s">
        <v>1401</v>
      </c>
      <c r="C1613" s="4">
        <v>45237</v>
      </c>
      <c r="D1613" t="s">
        <v>1625</v>
      </c>
      <c r="E1613" t="s">
        <v>1633</v>
      </c>
      <c r="F1613" s="5">
        <v>27.9</v>
      </c>
      <c r="G1613" t="s">
        <v>1630</v>
      </c>
      <c r="H1613">
        <v>5</v>
      </c>
    </row>
    <row r="1614" spans="1:8">
      <c r="A1614" t="s">
        <v>3248</v>
      </c>
      <c r="B1614" t="s">
        <v>1289</v>
      </c>
      <c r="C1614" s="4">
        <v>46125</v>
      </c>
      <c r="D1614" t="s">
        <v>1625</v>
      </c>
      <c r="E1614" t="s">
        <v>1605</v>
      </c>
      <c r="F1614" s="5">
        <v>1</v>
      </c>
      <c r="G1614" t="s">
        <v>1626</v>
      </c>
      <c r="H1614">
        <v>2</v>
      </c>
    </row>
    <row r="1615" spans="1:8">
      <c r="A1615" t="s">
        <v>3249</v>
      </c>
      <c r="B1615" t="s">
        <v>797</v>
      </c>
      <c r="C1615" s="4">
        <v>45853</v>
      </c>
      <c r="D1615" t="s">
        <v>1625</v>
      </c>
      <c r="E1615" t="s">
        <v>1648</v>
      </c>
      <c r="F1615" s="5">
        <v>11</v>
      </c>
      <c r="G1615" t="s">
        <v>1626</v>
      </c>
      <c r="H1615">
        <v>2</v>
      </c>
    </row>
    <row r="1616" spans="1:8">
      <c r="A1616" t="s">
        <v>3250</v>
      </c>
      <c r="B1616" t="s">
        <v>883</v>
      </c>
      <c r="C1616" s="4">
        <v>45086</v>
      </c>
      <c r="D1616" t="s">
        <v>1628</v>
      </c>
      <c r="E1616" t="s">
        <v>1633</v>
      </c>
      <c r="F1616" s="5">
        <v>11</v>
      </c>
      <c r="G1616" t="s">
        <v>1626</v>
      </c>
      <c r="H1616">
        <v>2</v>
      </c>
    </row>
    <row r="1617" spans="1:8">
      <c r="A1617" t="s">
        <v>3251</v>
      </c>
      <c r="B1617" t="s">
        <v>452</v>
      </c>
      <c r="C1617" s="4">
        <v>44992</v>
      </c>
      <c r="D1617" t="s">
        <v>1628</v>
      </c>
      <c r="E1617" t="s">
        <v>1605</v>
      </c>
      <c r="F1617" s="5">
        <v>1.1000000000000001</v>
      </c>
      <c r="G1617" t="s">
        <v>1630</v>
      </c>
      <c r="H1617">
        <v>2</v>
      </c>
    </row>
    <row r="1618" spans="1:8">
      <c r="A1618" t="s">
        <v>3252</v>
      </c>
      <c r="B1618" t="s">
        <v>625</v>
      </c>
      <c r="C1618" s="4">
        <v>46132</v>
      </c>
      <c r="D1618" t="s">
        <v>1641</v>
      </c>
      <c r="E1618" t="s">
        <v>1609</v>
      </c>
      <c r="F1618" s="5">
        <v>18.399999999999999</v>
      </c>
      <c r="G1618" t="s">
        <v>1630</v>
      </c>
      <c r="H1618">
        <v>4</v>
      </c>
    </row>
    <row r="1619" spans="1:8">
      <c r="A1619" t="s">
        <v>3253</v>
      </c>
      <c r="B1619" t="s">
        <v>1592</v>
      </c>
      <c r="C1619" s="4">
        <v>45794</v>
      </c>
      <c r="D1619" t="s">
        <v>1641</v>
      </c>
      <c r="E1619" t="s">
        <v>1629</v>
      </c>
      <c r="F1619" s="5">
        <v>5.4</v>
      </c>
      <c r="G1619" t="s">
        <v>1630</v>
      </c>
      <c r="H1619">
        <v>1</v>
      </c>
    </row>
    <row r="1620" spans="1:8">
      <c r="A1620" t="s">
        <v>3254</v>
      </c>
      <c r="B1620" t="s">
        <v>298</v>
      </c>
      <c r="C1620" s="4">
        <v>45898</v>
      </c>
      <c r="D1620" t="s">
        <v>1637</v>
      </c>
      <c r="E1620" t="s">
        <v>1648</v>
      </c>
      <c r="F1620" s="5">
        <v>0.6</v>
      </c>
      <c r="G1620" t="s">
        <v>1630</v>
      </c>
      <c r="H1620">
        <v>3</v>
      </c>
    </row>
    <row r="1621" spans="1:8">
      <c r="A1621" t="s">
        <v>3255</v>
      </c>
      <c r="B1621" t="s">
        <v>636</v>
      </c>
      <c r="C1621" s="4">
        <v>45753</v>
      </c>
      <c r="D1621" t="s">
        <v>1628</v>
      </c>
      <c r="E1621" t="s">
        <v>1633</v>
      </c>
      <c r="F1621" s="5">
        <v>0.2</v>
      </c>
      <c r="G1621" t="s">
        <v>1630</v>
      </c>
      <c r="H1621">
        <v>2</v>
      </c>
    </row>
    <row r="1622" spans="1:8">
      <c r="A1622" t="s">
        <v>3256</v>
      </c>
      <c r="B1622" t="s">
        <v>1359</v>
      </c>
      <c r="C1622" s="4">
        <v>45644</v>
      </c>
      <c r="D1622" t="s">
        <v>1628</v>
      </c>
      <c r="E1622" t="s">
        <v>1633</v>
      </c>
      <c r="F1622" s="5">
        <v>15.3</v>
      </c>
      <c r="G1622" t="s">
        <v>1626</v>
      </c>
      <c r="H1622">
        <v>2</v>
      </c>
    </row>
    <row r="1623" spans="1:8">
      <c r="A1623" t="s">
        <v>3257</v>
      </c>
      <c r="B1623" t="s">
        <v>1484</v>
      </c>
      <c r="C1623" s="4">
        <v>45556</v>
      </c>
      <c r="D1623" t="s">
        <v>1628</v>
      </c>
      <c r="E1623" t="s">
        <v>1629</v>
      </c>
      <c r="F1623" s="5">
        <v>13.4</v>
      </c>
      <c r="G1623" t="s">
        <v>1630</v>
      </c>
      <c r="H1623">
        <v>4</v>
      </c>
    </row>
    <row r="1624" spans="1:8">
      <c r="A1624" t="s">
        <v>3258</v>
      </c>
      <c r="B1624" t="s">
        <v>585</v>
      </c>
      <c r="C1624" s="4">
        <v>45929</v>
      </c>
      <c r="D1624" t="s">
        <v>1632</v>
      </c>
      <c r="E1624" t="s">
        <v>1629</v>
      </c>
      <c r="F1624" s="5">
        <v>2</v>
      </c>
      <c r="G1624" t="s">
        <v>1630</v>
      </c>
      <c r="H1624">
        <v>3</v>
      </c>
    </row>
    <row r="1625" spans="1:8">
      <c r="A1625" t="s">
        <v>3259</v>
      </c>
      <c r="B1625" t="s">
        <v>1301</v>
      </c>
      <c r="C1625" s="4">
        <v>45708</v>
      </c>
      <c r="D1625" t="s">
        <v>1637</v>
      </c>
      <c r="E1625" t="s">
        <v>1633</v>
      </c>
      <c r="F1625" s="5">
        <v>3.5</v>
      </c>
      <c r="G1625" t="s">
        <v>1630</v>
      </c>
      <c r="H1625">
        <v>2</v>
      </c>
    </row>
    <row r="1626" spans="1:8">
      <c r="A1626" t="s">
        <v>3260</v>
      </c>
      <c r="B1626" t="s">
        <v>952</v>
      </c>
      <c r="C1626" s="4">
        <v>45825</v>
      </c>
      <c r="D1626" t="s">
        <v>1625</v>
      </c>
      <c r="E1626" t="s">
        <v>1633</v>
      </c>
      <c r="F1626" s="5">
        <v>13.4</v>
      </c>
      <c r="G1626" t="s">
        <v>1630</v>
      </c>
      <c r="H1626">
        <v>1</v>
      </c>
    </row>
    <row r="1627" spans="1:8">
      <c r="A1627" t="s">
        <v>3261</v>
      </c>
      <c r="B1627" t="s">
        <v>138</v>
      </c>
      <c r="C1627" s="4">
        <v>45370</v>
      </c>
      <c r="D1627" t="s">
        <v>1667</v>
      </c>
      <c r="E1627" t="s">
        <v>1648</v>
      </c>
      <c r="F1627" s="5">
        <v>3.1</v>
      </c>
      <c r="G1627" t="s">
        <v>1626</v>
      </c>
      <c r="H1627">
        <v>3</v>
      </c>
    </row>
    <row r="1628" spans="1:8">
      <c r="A1628" t="s">
        <v>3262</v>
      </c>
      <c r="B1628" t="s">
        <v>1388</v>
      </c>
      <c r="C1628" s="4">
        <v>45612</v>
      </c>
      <c r="D1628" t="s">
        <v>1625</v>
      </c>
      <c r="E1628" t="s">
        <v>1605</v>
      </c>
      <c r="F1628" s="5">
        <v>14.3</v>
      </c>
      <c r="G1628" t="s">
        <v>1630</v>
      </c>
      <c r="H1628">
        <v>3</v>
      </c>
    </row>
    <row r="1629" spans="1:8">
      <c r="A1629" t="s">
        <v>3263</v>
      </c>
      <c r="B1629" t="s">
        <v>1363</v>
      </c>
      <c r="C1629" s="4">
        <v>45517</v>
      </c>
      <c r="D1629" t="s">
        <v>1667</v>
      </c>
      <c r="E1629" t="s">
        <v>1633</v>
      </c>
      <c r="F1629" s="5">
        <v>16.600000000000001</v>
      </c>
      <c r="G1629" t="s">
        <v>1630</v>
      </c>
      <c r="H1629">
        <v>2</v>
      </c>
    </row>
    <row r="1630" spans="1:8">
      <c r="A1630" t="s">
        <v>3264</v>
      </c>
      <c r="B1630" t="s">
        <v>462</v>
      </c>
      <c r="C1630" s="4">
        <v>46019</v>
      </c>
      <c r="D1630" t="s">
        <v>1637</v>
      </c>
      <c r="E1630" t="s">
        <v>1605</v>
      </c>
      <c r="F1630" s="5">
        <v>6.8</v>
      </c>
      <c r="G1630" t="s">
        <v>1630</v>
      </c>
      <c r="H1630">
        <v>2</v>
      </c>
    </row>
    <row r="1631" spans="1:8">
      <c r="A1631" t="s">
        <v>3265</v>
      </c>
      <c r="B1631" t="s">
        <v>1572</v>
      </c>
      <c r="C1631" s="4">
        <v>45405</v>
      </c>
      <c r="D1631" t="s">
        <v>1628</v>
      </c>
      <c r="E1631" t="s">
        <v>1633</v>
      </c>
      <c r="F1631" s="5">
        <v>2.6</v>
      </c>
      <c r="G1631" t="s">
        <v>1630</v>
      </c>
      <c r="H1631">
        <v>1</v>
      </c>
    </row>
    <row r="1632" spans="1:8">
      <c r="A1632" t="s">
        <v>3266</v>
      </c>
      <c r="B1632" t="s">
        <v>792</v>
      </c>
      <c r="C1632" s="4">
        <v>45914</v>
      </c>
      <c r="D1632" t="s">
        <v>1625</v>
      </c>
      <c r="E1632" t="s">
        <v>1605</v>
      </c>
      <c r="F1632" s="5">
        <v>1.3</v>
      </c>
      <c r="G1632" t="s">
        <v>1630</v>
      </c>
      <c r="H1632">
        <v>3</v>
      </c>
    </row>
    <row r="1633" spans="1:8">
      <c r="A1633" t="s">
        <v>3267</v>
      </c>
      <c r="B1633" t="s">
        <v>1248</v>
      </c>
      <c r="C1633" s="4">
        <v>46131</v>
      </c>
      <c r="D1633" t="s">
        <v>1625</v>
      </c>
      <c r="E1633" t="s">
        <v>1648</v>
      </c>
      <c r="F1633" s="5">
        <v>5</v>
      </c>
      <c r="G1633" t="s">
        <v>1626</v>
      </c>
      <c r="H1633">
        <v>1</v>
      </c>
    </row>
    <row r="1634" spans="1:8">
      <c r="A1634" t="s">
        <v>3268</v>
      </c>
      <c r="B1634" t="s">
        <v>235</v>
      </c>
      <c r="C1634" s="4">
        <v>45201</v>
      </c>
      <c r="D1634" t="s">
        <v>1637</v>
      </c>
      <c r="E1634" t="s">
        <v>1609</v>
      </c>
      <c r="F1634" s="5">
        <v>2.7</v>
      </c>
      <c r="G1634" t="s">
        <v>1630</v>
      </c>
      <c r="H1634">
        <v>3</v>
      </c>
    </row>
    <row r="1635" spans="1:8">
      <c r="A1635" t="s">
        <v>3269</v>
      </c>
      <c r="B1635" t="s">
        <v>579</v>
      </c>
      <c r="C1635" s="4">
        <v>45829</v>
      </c>
      <c r="D1635" t="s">
        <v>1641</v>
      </c>
      <c r="E1635" t="s">
        <v>1629</v>
      </c>
      <c r="F1635" s="5">
        <v>4.4000000000000004</v>
      </c>
      <c r="G1635" t="s">
        <v>1630</v>
      </c>
      <c r="H1635">
        <v>1</v>
      </c>
    </row>
    <row r="1636" spans="1:8">
      <c r="A1636" t="s">
        <v>3270</v>
      </c>
      <c r="B1636" t="s">
        <v>1250</v>
      </c>
      <c r="C1636" s="4">
        <v>46009</v>
      </c>
      <c r="D1636" t="s">
        <v>1655</v>
      </c>
      <c r="E1636" t="s">
        <v>1648</v>
      </c>
      <c r="F1636" s="5">
        <v>0.4</v>
      </c>
      <c r="G1636" t="s">
        <v>1630</v>
      </c>
      <c r="H1636">
        <v>5</v>
      </c>
    </row>
    <row r="1637" spans="1:8">
      <c r="A1637" t="s">
        <v>3271</v>
      </c>
      <c r="B1637" t="s">
        <v>946</v>
      </c>
      <c r="C1637" s="4">
        <v>45425</v>
      </c>
      <c r="D1637" t="s">
        <v>1628</v>
      </c>
      <c r="E1637" t="s">
        <v>1605</v>
      </c>
      <c r="F1637" s="5">
        <v>7</v>
      </c>
      <c r="G1637" t="s">
        <v>1630</v>
      </c>
      <c r="H1637">
        <v>1</v>
      </c>
    </row>
    <row r="1638" spans="1:8">
      <c r="A1638" t="s">
        <v>3272</v>
      </c>
      <c r="B1638" t="s">
        <v>593</v>
      </c>
      <c r="C1638" s="4">
        <v>45395</v>
      </c>
      <c r="D1638" t="s">
        <v>1625</v>
      </c>
      <c r="E1638" t="s">
        <v>1648</v>
      </c>
      <c r="F1638" s="5">
        <v>4.3</v>
      </c>
      <c r="G1638" t="s">
        <v>1630</v>
      </c>
      <c r="H1638">
        <v>1</v>
      </c>
    </row>
    <row r="1639" spans="1:8">
      <c r="A1639" t="s">
        <v>3273</v>
      </c>
      <c r="B1639" t="s">
        <v>952</v>
      </c>
      <c r="C1639" s="4">
        <v>46050</v>
      </c>
      <c r="D1639" t="s">
        <v>1628</v>
      </c>
      <c r="E1639" t="s">
        <v>1629</v>
      </c>
      <c r="F1639" s="5">
        <v>0.8</v>
      </c>
      <c r="G1639" t="s">
        <v>1630</v>
      </c>
      <c r="H1639">
        <v>4</v>
      </c>
    </row>
    <row r="1640" spans="1:8">
      <c r="A1640" t="s">
        <v>3274</v>
      </c>
      <c r="B1640" t="s">
        <v>1160</v>
      </c>
      <c r="C1640" s="4">
        <v>46001</v>
      </c>
      <c r="D1640" t="s">
        <v>1625</v>
      </c>
      <c r="E1640" t="s">
        <v>1633</v>
      </c>
      <c r="F1640" s="5">
        <v>1.1000000000000001</v>
      </c>
      <c r="G1640" t="s">
        <v>1630</v>
      </c>
      <c r="H1640">
        <v>1</v>
      </c>
    </row>
    <row r="1641" spans="1:8">
      <c r="A1641" t="s">
        <v>3275</v>
      </c>
      <c r="B1641" t="s">
        <v>841</v>
      </c>
      <c r="C1641" s="4">
        <v>46049</v>
      </c>
      <c r="D1641" t="s">
        <v>1632</v>
      </c>
      <c r="E1641" t="s">
        <v>1609</v>
      </c>
      <c r="F1641" s="5">
        <v>1.2</v>
      </c>
      <c r="G1641" t="s">
        <v>1630</v>
      </c>
      <c r="H1641">
        <v>5</v>
      </c>
    </row>
    <row r="1642" spans="1:8">
      <c r="A1642" t="s">
        <v>3276</v>
      </c>
      <c r="B1642" t="s">
        <v>1193</v>
      </c>
      <c r="C1642" s="4">
        <v>45332</v>
      </c>
      <c r="D1642" t="s">
        <v>1628</v>
      </c>
      <c r="E1642" t="s">
        <v>1609</v>
      </c>
      <c r="F1642" s="5">
        <v>3.7</v>
      </c>
      <c r="G1642" t="s">
        <v>1630</v>
      </c>
      <c r="H1642">
        <v>2</v>
      </c>
    </row>
    <row r="1643" spans="1:8">
      <c r="A1643" t="s">
        <v>3277</v>
      </c>
      <c r="B1643" t="s">
        <v>98</v>
      </c>
      <c r="C1643" s="4">
        <v>45754</v>
      </c>
      <c r="D1643" t="s">
        <v>1628</v>
      </c>
      <c r="E1643" t="s">
        <v>1605</v>
      </c>
      <c r="F1643" s="5">
        <v>1.7</v>
      </c>
      <c r="G1643" t="s">
        <v>1630</v>
      </c>
      <c r="H1643">
        <v>5</v>
      </c>
    </row>
    <row r="1644" spans="1:8">
      <c r="A1644" t="s">
        <v>3278</v>
      </c>
      <c r="B1644" t="s">
        <v>878</v>
      </c>
      <c r="C1644" s="4">
        <v>45613</v>
      </c>
      <c r="D1644" t="s">
        <v>1667</v>
      </c>
      <c r="E1644" t="s">
        <v>1633</v>
      </c>
      <c r="F1644" s="5">
        <v>19.3</v>
      </c>
      <c r="G1644" t="s">
        <v>1630</v>
      </c>
      <c r="H1644">
        <v>3</v>
      </c>
    </row>
    <row r="1645" spans="1:8">
      <c r="A1645" t="s">
        <v>3279</v>
      </c>
      <c r="B1645" t="s">
        <v>1528</v>
      </c>
      <c r="C1645" s="4">
        <v>45209</v>
      </c>
      <c r="D1645" t="s">
        <v>1628</v>
      </c>
      <c r="E1645" t="s">
        <v>1609</v>
      </c>
      <c r="F1645" s="5">
        <v>0.8</v>
      </c>
      <c r="G1645" t="s">
        <v>1630</v>
      </c>
      <c r="H1645">
        <v>1</v>
      </c>
    </row>
    <row r="1646" spans="1:8">
      <c r="A1646" t="s">
        <v>3280</v>
      </c>
      <c r="B1646" t="s">
        <v>837</v>
      </c>
      <c r="C1646" s="4">
        <v>45764</v>
      </c>
      <c r="D1646" t="s">
        <v>1641</v>
      </c>
      <c r="E1646" t="s">
        <v>1609</v>
      </c>
      <c r="F1646" s="5">
        <v>3</v>
      </c>
      <c r="G1646" t="s">
        <v>1630</v>
      </c>
      <c r="H1646">
        <v>5</v>
      </c>
    </row>
    <row r="1647" spans="1:8">
      <c r="A1647" t="s">
        <v>3281</v>
      </c>
      <c r="B1647" t="s">
        <v>1061</v>
      </c>
      <c r="C1647" s="4">
        <v>45217</v>
      </c>
      <c r="D1647" t="s">
        <v>1628</v>
      </c>
      <c r="E1647" t="s">
        <v>1629</v>
      </c>
      <c r="F1647" s="5">
        <v>4.4000000000000004</v>
      </c>
      <c r="G1647" t="s">
        <v>1630</v>
      </c>
      <c r="H1647">
        <v>5</v>
      </c>
    </row>
    <row r="1648" spans="1:8">
      <c r="A1648" t="s">
        <v>3282</v>
      </c>
      <c r="B1648" t="s">
        <v>387</v>
      </c>
      <c r="C1648" s="4">
        <v>45190</v>
      </c>
      <c r="D1648" t="s">
        <v>1628</v>
      </c>
      <c r="E1648" t="s">
        <v>1605</v>
      </c>
      <c r="F1648" s="5">
        <v>2.6</v>
      </c>
      <c r="G1648" t="s">
        <v>1630</v>
      </c>
      <c r="H1648">
        <v>3</v>
      </c>
    </row>
    <row r="1649" spans="1:8">
      <c r="A1649" t="s">
        <v>3283</v>
      </c>
      <c r="B1649" t="s">
        <v>559</v>
      </c>
      <c r="C1649" s="4">
        <v>46129</v>
      </c>
      <c r="D1649" t="s">
        <v>1628</v>
      </c>
      <c r="E1649" t="s">
        <v>1605</v>
      </c>
      <c r="F1649" s="5">
        <v>0.4</v>
      </c>
      <c r="G1649" t="s">
        <v>1630</v>
      </c>
      <c r="H1649">
        <v>1</v>
      </c>
    </row>
    <row r="1650" spans="1:8">
      <c r="A1650" t="s">
        <v>3284</v>
      </c>
      <c r="B1650" t="s">
        <v>300</v>
      </c>
      <c r="C1650" s="4">
        <v>45021</v>
      </c>
      <c r="D1650" t="s">
        <v>1637</v>
      </c>
      <c r="E1650" t="s">
        <v>1609</v>
      </c>
      <c r="F1650" s="5">
        <v>11.4</v>
      </c>
      <c r="G1650" t="s">
        <v>1630</v>
      </c>
      <c r="H1650">
        <v>3</v>
      </c>
    </row>
    <row r="1651" spans="1:8">
      <c r="A1651" t="s">
        <v>3285</v>
      </c>
      <c r="B1651" t="s">
        <v>517</v>
      </c>
      <c r="C1651" s="4">
        <v>45384</v>
      </c>
      <c r="D1651" t="s">
        <v>1641</v>
      </c>
      <c r="E1651" t="s">
        <v>1605</v>
      </c>
      <c r="F1651" s="5">
        <v>2.1</v>
      </c>
      <c r="G1651" t="s">
        <v>1630</v>
      </c>
      <c r="H1651">
        <v>2</v>
      </c>
    </row>
    <row r="1652" spans="1:8">
      <c r="A1652" t="s">
        <v>3286</v>
      </c>
      <c r="B1652" t="s">
        <v>995</v>
      </c>
      <c r="C1652" s="4">
        <v>45702</v>
      </c>
      <c r="D1652" t="s">
        <v>1667</v>
      </c>
      <c r="E1652" t="s">
        <v>1609</v>
      </c>
      <c r="F1652" s="5">
        <v>12.7</v>
      </c>
      <c r="G1652" t="s">
        <v>1630</v>
      </c>
      <c r="H1652">
        <v>5</v>
      </c>
    </row>
    <row r="1653" spans="1:8">
      <c r="A1653" t="s">
        <v>3287</v>
      </c>
      <c r="B1653" t="s">
        <v>598</v>
      </c>
      <c r="C1653" s="4">
        <v>45614</v>
      </c>
      <c r="D1653" t="s">
        <v>1655</v>
      </c>
      <c r="E1653" t="s">
        <v>1629</v>
      </c>
      <c r="F1653" s="5">
        <v>9.1</v>
      </c>
      <c r="G1653" t="s">
        <v>1630</v>
      </c>
      <c r="H1653">
        <v>2</v>
      </c>
    </row>
    <row r="1654" spans="1:8">
      <c r="A1654" t="s">
        <v>3288</v>
      </c>
      <c r="B1654" t="s">
        <v>683</v>
      </c>
      <c r="C1654" s="4">
        <v>45307</v>
      </c>
      <c r="D1654" t="s">
        <v>1641</v>
      </c>
      <c r="E1654" t="s">
        <v>1633</v>
      </c>
      <c r="F1654" s="5">
        <v>11.8</v>
      </c>
      <c r="G1654" t="s">
        <v>1630</v>
      </c>
      <c r="H1654">
        <v>4</v>
      </c>
    </row>
    <row r="1655" spans="1:8">
      <c r="A1655" t="s">
        <v>3289</v>
      </c>
      <c r="B1655" t="s">
        <v>871</v>
      </c>
      <c r="C1655" s="4">
        <v>44937</v>
      </c>
      <c r="D1655" t="s">
        <v>1628</v>
      </c>
      <c r="E1655" t="s">
        <v>1648</v>
      </c>
      <c r="F1655" s="5">
        <v>5.7</v>
      </c>
      <c r="G1655" t="s">
        <v>1630</v>
      </c>
      <c r="H1655">
        <v>3</v>
      </c>
    </row>
    <row r="1656" spans="1:8">
      <c r="A1656" t="s">
        <v>3290</v>
      </c>
      <c r="B1656" t="s">
        <v>452</v>
      </c>
      <c r="C1656" s="4">
        <v>45038</v>
      </c>
      <c r="D1656" t="s">
        <v>1632</v>
      </c>
      <c r="E1656" t="s">
        <v>1648</v>
      </c>
      <c r="F1656" s="5">
        <v>24.1</v>
      </c>
      <c r="G1656" t="s">
        <v>1630</v>
      </c>
      <c r="H1656">
        <v>4</v>
      </c>
    </row>
    <row r="1657" spans="1:8">
      <c r="A1657" t="s">
        <v>3291</v>
      </c>
      <c r="B1657" t="s">
        <v>1166</v>
      </c>
      <c r="C1657" s="4">
        <v>45896</v>
      </c>
      <c r="D1657" t="s">
        <v>1641</v>
      </c>
      <c r="E1657" t="s">
        <v>1605</v>
      </c>
      <c r="F1657" s="5">
        <v>2.6</v>
      </c>
      <c r="G1657" t="s">
        <v>1630</v>
      </c>
      <c r="H1657">
        <v>3</v>
      </c>
    </row>
    <row r="1658" spans="1:8">
      <c r="A1658" t="s">
        <v>3292</v>
      </c>
      <c r="B1658" t="s">
        <v>456</v>
      </c>
      <c r="C1658" s="4">
        <v>45893</v>
      </c>
      <c r="D1658" t="s">
        <v>1655</v>
      </c>
      <c r="E1658" t="s">
        <v>1633</v>
      </c>
      <c r="F1658" s="5">
        <v>4.2</v>
      </c>
      <c r="G1658" t="s">
        <v>1630</v>
      </c>
      <c r="H1658">
        <v>3</v>
      </c>
    </row>
    <row r="1659" spans="1:8">
      <c r="A1659" t="s">
        <v>3293</v>
      </c>
      <c r="B1659" t="s">
        <v>1239</v>
      </c>
      <c r="C1659" s="4">
        <v>45290</v>
      </c>
      <c r="D1659" t="s">
        <v>1667</v>
      </c>
      <c r="E1659" t="s">
        <v>1629</v>
      </c>
      <c r="F1659" s="5">
        <v>3.7</v>
      </c>
      <c r="G1659" t="s">
        <v>1630</v>
      </c>
      <c r="H1659">
        <v>1</v>
      </c>
    </row>
    <row r="1660" spans="1:8">
      <c r="A1660" t="s">
        <v>3294</v>
      </c>
      <c r="B1660" t="s">
        <v>621</v>
      </c>
      <c r="C1660" s="4">
        <v>45926</v>
      </c>
      <c r="D1660" t="s">
        <v>1655</v>
      </c>
      <c r="E1660" t="s">
        <v>1629</v>
      </c>
      <c r="F1660" s="5">
        <v>25.8</v>
      </c>
      <c r="G1660" t="s">
        <v>1630</v>
      </c>
      <c r="H1660">
        <v>2</v>
      </c>
    </row>
    <row r="1661" spans="1:8">
      <c r="A1661" t="s">
        <v>3295</v>
      </c>
      <c r="B1661" t="s">
        <v>1473</v>
      </c>
      <c r="C1661" s="4">
        <v>45973</v>
      </c>
      <c r="D1661" t="s">
        <v>1628</v>
      </c>
      <c r="E1661" t="s">
        <v>1629</v>
      </c>
      <c r="F1661" s="5">
        <v>4.3</v>
      </c>
      <c r="G1661" t="s">
        <v>1630</v>
      </c>
      <c r="H1661">
        <v>4</v>
      </c>
    </row>
    <row r="1662" spans="1:8">
      <c r="A1662" t="s">
        <v>3296</v>
      </c>
      <c r="B1662" t="s">
        <v>1367</v>
      </c>
      <c r="C1662" s="4">
        <v>45683</v>
      </c>
      <c r="D1662" t="s">
        <v>1628</v>
      </c>
      <c r="E1662" t="s">
        <v>1629</v>
      </c>
      <c r="F1662" s="5">
        <v>15.1</v>
      </c>
      <c r="G1662" t="s">
        <v>1630</v>
      </c>
      <c r="H1662">
        <v>2</v>
      </c>
    </row>
    <row r="1663" spans="1:8">
      <c r="A1663" t="s">
        <v>3297</v>
      </c>
      <c r="B1663" t="s">
        <v>657</v>
      </c>
      <c r="C1663" s="4">
        <v>45831</v>
      </c>
      <c r="D1663" t="s">
        <v>1655</v>
      </c>
      <c r="E1663" t="s">
        <v>1633</v>
      </c>
      <c r="F1663" s="5">
        <v>20.6</v>
      </c>
      <c r="G1663" t="s">
        <v>1630</v>
      </c>
      <c r="H1663">
        <v>3</v>
      </c>
    </row>
    <row r="1664" spans="1:8">
      <c r="A1664" t="s">
        <v>3298</v>
      </c>
      <c r="B1664" t="s">
        <v>1208</v>
      </c>
      <c r="C1664" s="4">
        <v>45404</v>
      </c>
      <c r="D1664" t="s">
        <v>1625</v>
      </c>
      <c r="E1664" t="s">
        <v>1648</v>
      </c>
      <c r="F1664" s="5">
        <v>7</v>
      </c>
      <c r="G1664" t="s">
        <v>1630</v>
      </c>
      <c r="H1664">
        <v>4</v>
      </c>
    </row>
    <row r="1665" spans="1:8">
      <c r="A1665" t="s">
        <v>3299</v>
      </c>
      <c r="B1665" t="s">
        <v>362</v>
      </c>
      <c r="C1665" s="4">
        <v>46107</v>
      </c>
      <c r="D1665" t="s">
        <v>1641</v>
      </c>
      <c r="E1665" t="s">
        <v>1633</v>
      </c>
      <c r="F1665" s="5">
        <v>11</v>
      </c>
      <c r="G1665" t="s">
        <v>1630</v>
      </c>
      <c r="H1665">
        <v>2</v>
      </c>
    </row>
    <row r="1666" spans="1:8">
      <c r="A1666" t="s">
        <v>3300</v>
      </c>
      <c r="B1666" t="s">
        <v>1480</v>
      </c>
      <c r="C1666" s="4">
        <v>45722</v>
      </c>
      <c r="D1666" t="s">
        <v>1641</v>
      </c>
      <c r="E1666" t="s">
        <v>1648</v>
      </c>
      <c r="F1666" s="5">
        <v>1.3</v>
      </c>
      <c r="G1666" t="s">
        <v>1630</v>
      </c>
      <c r="H1666">
        <v>4</v>
      </c>
    </row>
    <row r="1667" spans="1:8">
      <c r="A1667" t="s">
        <v>3301</v>
      </c>
      <c r="B1667" t="s">
        <v>270</v>
      </c>
      <c r="C1667" s="4">
        <v>45247</v>
      </c>
      <c r="D1667" t="s">
        <v>1632</v>
      </c>
      <c r="E1667" t="s">
        <v>1629</v>
      </c>
      <c r="F1667" s="5">
        <v>24.1</v>
      </c>
      <c r="G1667" t="s">
        <v>1630</v>
      </c>
      <c r="H1667">
        <v>5</v>
      </c>
    </row>
    <row r="1668" spans="1:8">
      <c r="A1668" t="s">
        <v>3302</v>
      </c>
      <c r="B1668" t="s">
        <v>1545</v>
      </c>
      <c r="C1668" s="4">
        <v>45386</v>
      </c>
      <c r="D1668" t="s">
        <v>1625</v>
      </c>
      <c r="E1668" t="s">
        <v>1605</v>
      </c>
      <c r="F1668" s="5">
        <v>22.5</v>
      </c>
      <c r="G1668" t="s">
        <v>1630</v>
      </c>
      <c r="H1668">
        <v>5</v>
      </c>
    </row>
    <row r="1669" spans="1:8">
      <c r="A1669" t="s">
        <v>3303</v>
      </c>
      <c r="B1669" t="s">
        <v>724</v>
      </c>
      <c r="C1669" s="4">
        <v>45951</v>
      </c>
      <c r="D1669" t="s">
        <v>1632</v>
      </c>
      <c r="E1669" t="s">
        <v>1605</v>
      </c>
      <c r="F1669" s="5">
        <v>8.8000000000000007</v>
      </c>
      <c r="G1669" t="s">
        <v>1630</v>
      </c>
      <c r="H1669">
        <v>1</v>
      </c>
    </row>
    <row r="1670" spans="1:8">
      <c r="A1670" t="s">
        <v>3304</v>
      </c>
      <c r="B1670" t="s">
        <v>820</v>
      </c>
      <c r="C1670" s="4">
        <v>46029</v>
      </c>
      <c r="D1670" t="s">
        <v>1628</v>
      </c>
      <c r="E1670" t="s">
        <v>1648</v>
      </c>
      <c r="F1670" s="5">
        <v>5.0999999999999996</v>
      </c>
      <c r="G1670" t="s">
        <v>1630</v>
      </c>
      <c r="H1670">
        <v>5</v>
      </c>
    </row>
    <row r="1671" spans="1:8">
      <c r="A1671" t="s">
        <v>3305</v>
      </c>
      <c r="B1671" t="s">
        <v>1129</v>
      </c>
      <c r="C1671" s="4">
        <v>46045</v>
      </c>
      <c r="D1671" t="s">
        <v>1655</v>
      </c>
      <c r="E1671" t="s">
        <v>1609</v>
      </c>
      <c r="F1671" s="5">
        <v>4.3</v>
      </c>
      <c r="G1671" t="s">
        <v>1630</v>
      </c>
      <c r="H1671">
        <v>2</v>
      </c>
    </row>
    <row r="1672" spans="1:8">
      <c r="A1672" t="s">
        <v>3306</v>
      </c>
      <c r="B1672" t="s">
        <v>1219</v>
      </c>
      <c r="C1672" s="4">
        <v>45951</v>
      </c>
      <c r="D1672" t="s">
        <v>1628</v>
      </c>
      <c r="E1672" t="s">
        <v>1629</v>
      </c>
      <c r="F1672" s="5">
        <v>18.2</v>
      </c>
      <c r="G1672" t="s">
        <v>1630</v>
      </c>
      <c r="H1672">
        <v>2</v>
      </c>
    </row>
    <row r="1673" spans="1:8">
      <c r="A1673" t="s">
        <v>3307</v>
      </c>
      <c r="B1673" t="s">
        <v>1246</v>
      </c>
      <c r="C1673" s="4">
        <v>45872</v>
      </c>
      <c r="D1673" t="s">
        <v>1628</v>
      </c>
      <c r="E1673" t="s">
        <v>1605</v>
      </c>
      <c r="F1673" s="5">
        <v>0.2</v>
      </c>
      <c r="G1673" t="s">
        <v>1630</v>
      </c>
      <c r="H1673">
        <v>4</v>
      </c>
    </row>
    <row r="1674" spans="1:8">
      <c r="A1674" t="s">
        <v>3308</v>
      </c>
      <c r="B1674" t="s">
        <v>367</v>
      </c>
      <c r="C1674" s="4">
        <v>45704</v>
      </c>
      <c r="D1674" t="s">
        <v>1628</v>
      </c>
      <c r="E1674" t="s">
        <v>1605</v>
      </c>
      <c r="F1674" s="5">
        <v>11.9</v>
      </c>
      <c r="G1674" t="s">
        <v>1630</v>
      </c>
      <c r="H1674">
        <v>1</v>
      </c>
    </row>
    <row r="1675" spans="1:8">
      <c r="A1675" t="s">
        <v>3309</v>
      </c>
      <c r="B1675" t="s">
        <v>632</v>
      </c>
      <c r="C1675" s="4">
        <v>46025</v>
      </c>
      <c r="D1675" t="s">
        <v>1641</v>
      </c>
      <c r="E1675" t="s">
        <v>1629</v>
      </c>
      <c r="F1675" s="5">
        <v>25.5</v>
      </c>
      <c r="G1675" t="s">
        <v>1626</v>
      </c>
      <c r="H1675">
        <v>1</v>
      </c>
    </row>
    <row r="1676" spans="1:8">
      <c r="A1676" t="s">
        <v>3310</v>
      </c>
      <c r="B1676" t="s">
        <v>1048</v>
      </c>
      <c r="C1676" s="4">
        <v>45213</v>
      </c>
      <c r="D1676" t="s">
        <v>1625</v>
      </c>
      <c r="E1676" t="s">
        <v>1633</v>
      </c>
      <c r="F1676" s="5">
        <v>6.8</v>
      </c>
      <c r="G1676" t="s">
        <v>1630</v>
      </c>
      <c r="H1676">
        <v>1</v>
      </c>
    </row>
    <row r="1677" spans="1:8">
      <c r="A1677" t="s">
        <v>3311</v>
      </c>
      <c r="B1677" t="s">
        <v>651</v>
      </c>
      <c r="C1677" s="4">
        <v>45742</v>
      </c>
      <c r="D1677" t="s">
        <v>1655</v>
      </c>
      <c r="E1677" t="s">
        <v>1648</v>
      </c>
      <c r="F1677" s="5">
        <v>11.7</v>
      </c>
      <c r="G1677" t="s">
        <v>1630</v>
      </c>
      <c r="H1677">
        <v>4</v>
      </c>
    </row>
    <row r="1678" spans="1:8">
      <c r="A1678" t="s">
        <v>3312</v>
      </c>
      <c r="B1678" t="s">
        <v>825</v>
      </c>
      <c r="C1678" s="4">
        <v>45303</v>
      </c>
      <c r="D1678" t="s">
        <v>1625</v>
      </c>
      <c r="E1678" t="s">
        <v>1633</v>
      </c>
      <c r="F1678" s="5">
        <v>14.6</v>
      </c>
      <c r="G1678" t="s">
        <v>1630</v>
      </c>
      <c r="H1678">
        <v>2</v>
      </c>
    </row>
    <row r="1679" spans="1:8">
      <c r="A1679" t="s">
        <v>3313</v>
      </c>
      <c r="B1679" t="s">
        <v>812</v>
      </c>
      <c r="C1679" s="4">
        <v>45534</v>
      </c>
      <c r="D1679" t="s">
        <v>1625</v>
      </c>
      <c r="E1679" t="s">
        <v>1629</v>
      </c>
      <c r="F1679" s="5">
        <v>1.8</v>
      </c>
      <c r="G1679" t="s">
        <v>1630</v>
      </c>
      <c r="H1679">
        <v>5</v>
      </c>
    </row>
    <row r="1680" spans="1:8">
      <c r="A1680" t="s">
        <v>3314</v>
      </c>
      <c r="B1680" t="s">
        <v>326</v>
      </c>
      <c r="C1680" s="4">
        <v>45869</v>
      </c>
      <c r="D1680" t="s">
        <v>1628</v>
      </c>
      <c r="E1680" t="s">
        <v>1648</v>
      </c>
      <c r="F1680" s="5">
        <v>15.8</v>
      </c>
      <c r="G1680" t="s">
        <v>1630</v>
      </c>
      <c r="H1680">
        <v>3</v>
      </c>
    </row>
    <row r="1681" spans="1:8">
      <c r="A1681" t="s">
        <v>3315</v>
      </c>
      <c r="B1681" t="s">
        <v>92</v>
      </c>
      <c r="C1681" s="4">
        <v>45367</v>
      </c>
      <c r="D1681" t="s">
        <v>1625</v>
      </c>
      <c r="E1681" t="s">
        <v>1648</v>
      </c>
      <c r="F1681" s="5">
        <v>2.4</v>
      </c>
      <c r="G1681" t="s">
        <v>1626</v>
      </c>
      <c r="H1681">
        <v>1</v>
      </c>
    </row>
    <row r="1682" spans="1:8">
      <c r="A1682" t="s">
        <v>3316</v>
      </c>
      <c r="B1682" t="s">
        <v>1210</v>
      </c>
      <c r="C1682" s="4">
        <v>45151</v>
      </c>
      <c r="D1682" t="s">
        <v>1628</v>
      </c>
      <c r="E1682" t="s">
        <v>1629</v>
      </c>
      <c r="F1682" s="5">
        <v>9.6999999999999993</v>
      </c>
      <c r="G1682" t="s">
        <v>1630</v>
      </c>
      <c r="H1682">
        <v>3</v>
      </c>
    </row>
    <row r="1683" spans="1:8">
      <c r="A1683" t="s">
        <v>3317</v>
      </c>
      <c r="B1683" t="s">
        <v>1063</v>
      </c>
      <c r="C1683" s="4">
        <v>45869</v>
      </c>
      <c r="D1683" t="s">
        <v>1628</v>
      </c>
      <c r="E1683" t="s">
        <v>1629</v>
      </c>
      <c r="F1683" s="5">
        <v>4.8</v>
      </c>
      <c r="G1683" t="s">
        <v>1630</v>
      </c>
      <c r="H1683">
        <v>4</v>
      </c>
    </row>
    <row r="1684" spans="1:8">
      <c r="A1684" t="s">
        <v>3318</v>
      </c>
      <c r="B1684" t="s">
        <v>1231</v>
      </c>
      <c r="C1684" s="4">
        <v>46054</v>
      </c>
      <c r="D1684" t="s">
        <v>1628</v>
      </c>
      <c r="E1684" t="s">
        <v>1633</v>
      </c>
      <c r="F1684" s="5">
        <v>2</v>
      </c>
      <c r="G1684" t="s">
        <v>1630</v>
      </c>
      <c r="H1684">
        <v>1</v>
      </c>
    </row>
    <row r="1685" spans="1:8">
      <c r="A1685" t="s">
        <v>3319</v>
      </c>
      <c r="B1685" t="s">
        <v>1571</v>
      </c>
      <c r="C1685" s="4">
        <v>45724</v>
      </c>
      <c r="D1685" t="s">
        <v>1628</v>
      </c>
      <c r="E1685" t="s">
        <v>1633</v>
      </c>
      <c r="F1685" s="5">
        <v>12.3</v>
      </c>
      <c r="G1685" t="s">
        <v>1630</v>
      </c>
      <c r="H1685">
        <v>1</v>
      </c>
    </row>
    <row r="1686" spans="1:8">
      <c r="A1686" t="s">
        <v>3320</v>
      </c>
      <c r="B1686" t="s">
        <v>832</v>
      </c>
      <c r="C1686" s="4">
        <v>45432</v>
      </c>
      <c r="D1686" t="s">
        <v>1641</v>
      </c>
      <c r="E1686" t="s">
        <v>1633</v>
      </c>
      <c r="F1686" s="5">
        <v>10.5</v>
      </c>
      <c r="G1686" t="s">
        <v>1630</v>
      </c>
      <c r="H1686">
        <v>1</v>
      </c>
    </row>
    <row r="1687" spans="1:8">
      <c r="A1687" t="s">
        <v>3321</v>
      </c>
      <c r="B1687" t="s">
        <v>490</v>
      </c>
      <c r="C1687" s="4">
        <v>45390</v>
      </c>
      <c r="D1687" t="s">
        <v>1628</v>
      </c>
      <c r="E1687" t="s">
        <v>1633</v>
      </c>
      <c r="F1687" s="5">
        <v>1.9</v>
      </c>
      <c r="G1687" t="s">
        <v>1626</v>
      </c>
      <c r="H1687">
        <v>2</v>
      </c>
    </row>
    <row r="1688" spans="1:8">
      <c r="A1688" t="s">
        <v>3322</v>
      </c>
      <c r="B1688" t="s">
        <v>1426</v>
      </c>
      <c r="C1688" s="4">
        <v>45914</v>
      </c>
      <c r="D1688" t="s">
        <v>1632</v>
      </c>
      <c r="E1688" t="s">
        <v>1605</v>
      </c>
      <c r="F1688" s="5">
        <v>25.2</v>
      </c>
      <c r="G1688" t="s">
        <v>1630</v>
      </c>
      <c r="H1688">
        <v>1</v>
      </c>
    </row>
    <row r="1689" spans="1:8">
      <c r="A1689" t="s">
        <v>3323</v>
      </c>
      <c r="B1689" t="s">
        <v>645</v>
      </c>
      <c r="C1689" s="4">
        <v>45020</v>
      </c>
      <c r="D1689" t="s">
        <v>1655</v>
      </c>
      <c r="E1689" t="s">
        <v>1648</v>
      </c>
      <c r="F1689" s="5">
        <v>12.8</v>
      </c>
      <c r="G1689" t="s">
        <v>1630</v>
      </c>
      <c r="H1689">
        <v>1</v>
      </c>
    </row>
    <row r="1690" spans="1:8">
      <c r="A1690" t="s">
        <v>3324</v>
      </c>
      <c r="B1690" t="s">
        <v>1570</v>
      </c>
      <c r="C1690" s="4">
        <v>45072</v>
      </c>
      <c r="D1690" t="s">
        <v>1637</v>
      </c>
      <c r="E1690" t="s">
        <v>1629</v>
      </c>
      <c r="F1690" s="5">
        <v>7.3</v>
      </c>
      <c r="G1690" t="s">
        <v>1630</v>
      </c>
      <c r="H1690">
        <v>3</v>
      </c>
    </row>
    <row r="1691" spans="1:8">
      <c r="A1691" t="s">
        <v>3325</v>
      </c>
      <c r="B1691" t="s">
        <v>1519</v>
      </c>
      <c r="C1691" s="4">
        <v>46041</v>
      </c>
      <c r="D1691" t="s">
        <v>1628</v>
      </c>
      <c r="E1691" t="s">
        <v>1629</v>
      </c>
      <c r="F1691" s="5">
        <v>0.2</v>
      </c>
      <c r="G1691" t="s">
        <v>1630</v>
      </c>
      <c r="H1691">
        <v>5</v>
      </c>
    </row>
    <row r="1692" spans="1:8">
      <c r="A1692" t="s">
        <v>3326</v>
      </c>
      <c r="B1692" t="s">
        <v>1204</v>
      </c>
      <c r="C1692" s="4">
        <v>45097</v>
      </c>
      <c r="D1692" t="s">
        <v>1655</v>
      </c>
      <c r="E1692" t="s">
        <v>1609</v>
      </c>
      <c r="F1692" s="5">
        <v>15.1</v>
      </c>
      <c r="G1692" t="s">
        <v>1630</v>
      </c>
      <c r="H1692">
        <v>2</v>
      </c>
    </row>
    <row r="1693" spans="1:8">
      <c r="A1693" t="s">
        <v>3327</v>
      </c>
      <c r="B1693" t="s">
        <v>1500</v>
      </c>
      <c r="C1693" s="4">
        <v>45006</v>
      </c>
      <c r="D1693" t="s">
        <v>1628</v>
      </c>
      <c r="E1693" t="s">
        <v>1648</v>
      </c>
      <c r="F1693" s="5">
        <v>14.2</v>
      </c>
      <c r="G1693" t="s">
        <v>1630</v>
      </c>
      <c r="H1693">
        <v>4</v>
      </c>
    </row>
    <row r="1694" spans="1:8">
      <c r="A1694" t="s">
        <v>3328</v>
      </c>
      <c r="B1694" t="s">
        <v>1540</v>
      </c>
      <c r="C1694" s="4">
        <v>45170</v>
      </c>
      <c r="D1694" t="s">
        <v>1625</v>
      </c>
      <c r="E1694" t="s">
        <v>1648</v>
      </c>
      <c r="F1694" s="5">
        <v>57.6</v>
      </c>
      <c r="G1694" t="s">
        <v>1630</v>
      </c>
      <c r="H1694">
        <v>1</v>
      </c>
    </row>
    <row r="1695" spans="1:8">
      <c r="A1695" t="s">
        <v>3329</v>
      </c>
      <c r="B1695" t="s">
        <v>1478</v>
      </c>
      <c r="C1695" s="4">
        <v>46160</v>
      </c>
      <c r="D1695" t="s">
        <v>1628</v>
      </c>
      <c r="E1695" t="s">
        <v>1633</v>
      </c>
      <c r="F1695" s="5">
        <v>1.2</v>
      </c>
      <c r="G1695" t="s">
        <v>1626</v>
      </c>
      <c r="H1695">
        <v>1</v>
      </c>
    </row>
    <row r="1696" spans="1:8">
      <c r="A1696" t="s">
        <v>3330</v>
      </c>
      <c r="B1696" t="s">
        <v>605</v>
      </c>
      <c r="C1696" s="4">
        <v>45954</v>
      </c>
      <c r="D1696" t="s">
        <v>1637</v>
      </c>
      <c r="E1696" t="s">
        <v>1633</v>
      </c>
      <c r="F1696" s="5">
        <v>2.9</v>
      </c>
      <c r="G1696" t="s">
        <v>1630</v>
      </c>
      <c r="H1696">
        <v>2</v>
      </c>
    </row>
    <row r="1697" spans="1:8">
      <c r="A1697" t="s">
        <v>3331</v>
      </c>
      <c r="B1697" t="s">
        <v>227</v>
      </c>
      <c r="C1697" s="4">
        <v>45356</v>
      </c>
      <c r="D1697" t="s">
        <v>1625</v>
      </c>
      <c r="E1697" t="s">
        <v>1609</v>
      </c>
      <c r="F1697" s="5">
        <v>4.4000000000000004</v>
      </c>
      <c r="G1697" t="s">
        <v>1630</v>
      </c>
      <c r="H1697">
        <v>5</v>
      </c>
    </row>
    <row r="1698" spans="1:8">
      <c r="A1698" t="s">
        <v>3332</v>
      </c>
      <c r="B1698" t="s">
        <v>1217</v>
      </c>
      <c r="C1698" s="4">
        <v>45123</v>
      </c>
      <c r="D1698" t="s">
        <v>1641</v>
      </c>
      <c r="E1698" t="s">
        <v>1648</v>
      </c>
      <c r="F1698" s="5">
        <v>0.8</v>
      </c>
      <c r="G1698" t="s">
        <v>1626</v>
      </c>
      <c r="H1698">
        <v>2</v>
      </c>
    </row>
    <row r="1699" spans="1:8">
      <c r="A1699" t="s">
        <v>3333</v>
      </c>
      <c r="B1699" t="s">
        <v>225</v>
      </c>
      <c r="C1699" s="4">
        <v>45090</v>
      </c>
      <c r="D1699" t="s">
        <v>1625</v>
      </c>
      <c r="E1699" t="s">
        <v>1629</v>
      </c>
      <c r="F1699" s="5">
        <v>0.8</v>
      </c>
      <c r="G1699" t="s">
        <v>1630</v>
      </c>
      <c r="H1699">
        <v>1</v>
      </c>
    </row>
    <row r="1700" spans="1:8">
      <c r="A1700" t="s">
        <v>3334</v>
      </c>
      <c r="B1700" t="s">
        <v>1376</v>
      </c>
      <c r="C1700" s="4">
        <v>45941</v>
      </c>
      <c r="D1700" t="s">
        <v>1628</v>
      </c>
      <c r="E1700" t="s">
        <v>1605</v>
      </c>
      <c r="F1700" s="5">
        <v>12.2</v>
      </c>
      <c r="G1700" t="s">
        <v>1630</v>
      </c>
      <c r="H1700">
        <v>3</v>
      </c>
    </row>
    <row r="1701" spans="1:8">
      <c r="A1701" t="s">
        <v>3335</v>
      </c>
      <c r="B1701" t="s">
        <v>1540</v>
      </c>
      <c r="C1701" s="4">
        <v>44960</v>
      </c>
      <c r="D1701" t="s">
        <v>1667</v>
      </c>
      <c r="E1701" t="s">
        <v>1633</v>
      </c>
      <c r="F1701" s="5">
        <v>18.899999999999999</v>
      </c>
      <c r="G1701" t="s">
        <v>1630</v>
      </c>
      <c r="H1701">
        <v>1</v>
      </c>
    </row>
    <row r="1702" spans="1:8">
      <c r="A1702" t="s">
        <v>3336</v>
      </c>
      <c r="B1702" t="s">
        <v>428</v>
      </c>
      <c r="C1702" s="4">
        <v>45993</v>
      </c>
      <c r="D1702" t="s">
        <v>1641</v>
      </c>
      <c r="E1702" t="s">
        <v>1609</v>
      </c>
      <c r="F1702" s="5">
        <v>2.7</v>
      </c>
      <c r="G1702" t="s">
        <v>1630</v>
      </c>
      <c r="H1702">
        <v>5</v>
      </c>
    </row>
    <row r="1703" spans="1:8">
      <c r="A1703" t="s">
        <v>3337</v>
      </c>
      <c r="B1703" t="s">
        <v>916</v>
      </c>
      <c r="C1703" s="4">
        <v>45539</v>
      </c>
      <c r="D1703" t="s">
        <v>1625</v>
      </c>
      <c r="E1703" t="s">
        <v>1629</v>
      </c>
      <c r="F1703" s="5">
        <v>21.7</v>
      </c>
      <c r="G1703" t="s">
        <v>1630</v>
      </c>
      <c r="H1703">
        <v>5</v>
      </c>
    </row>
    <row r="1704" spans="1:8">
      <c r="A1704" t="s">
        <v>3338</v>
      </c>
      <c r="B1704" t="s">
        <v>525</v>
      </c>
      <c r="C1704" s="4">
        <v>45820</v>
      </c>
      <c r="D1704" t="s">
        <v>1641</v>
      </c>
      <c r="E1704" t="s">
        <v>1648</v>
      </c>
      <c r="F1704" s="5">
        <v>3.7</v>
      </c>
      <c r="G1704" t="s">
        <v>1630</v>
      </c>
      <c r="H1704">
        <v>4</v>
      </c>
    </row>
    <row r="1705" spans="1:8">
      <c r="A1705" t="s">
        <v>3339</v>
      </c>
      <c r="B1705" t="s">
        <v>478</v>
      </c>
      <c r="C1705" s="4">
        <v>46166</v>
      </c>
      <c r="D1705" t="s">
        <v>1628</v>
      </c>
      <c r="E1705" t="s">
        <v>1648</v>
      </c>
      <c r="F1705" s="5">
        <v>12.4</v>
      </c>
      <c r="G1705" t="s">
        <v>1630</v>
      </c>
      <c r="H1705">
        <v>4</v>
      </c>
    </row>
    <row r="1706" spans="1:8">
      <c r="A1706" t="s">
        <v>3340</v>
      </c>
      <c r="B1706" t="s">
        <v>677</v>
      </c>
      <c r="C1706" s="4">
        <v>45154</v>
      </c>
      <c r="D1706" t="s">
        <v>1632</v>
      </c>
      <c r="E1706" t="s">
        <v>1629</v>
      </c>
      <c r="F1706" s="5">
        <v>1</v>
      </c>
      <c r="G1706" t="s">
        <v>1630</v>
      </c>
      <c r="H1706">
        <v>3</v>
      </c>
    </row>
    <row r="1707" spans="1:8">
      <c r="A1707" t="s">
        <v>3341</v>
      </c>
      <c r="B1707" t="s">
        <v>443</v>
      </c>
      <c r="C1707" s="4">
        <v>45437</v>
      </c>
      <c r="D1707" t="s">
        <v>1632</v>
      </c>
      <c r="E1707" t="s">
        <v>1609</v>
      </c>
      <c r="F1707" s="5">
        <v>3.4</v>
      </c>
      <c r="G1707" t="s">
        <v>1626</v>
      </c>
      <c r="H1707">
        <v>1</v>
      </c>
    </row>
    <row r="1708" spans="1:8">
      <c r="A1708" t="s">
        <v>3342</v>
      </c>
      <c r="B1708" t="s">
        <v>1266</v>
      </c>
      <c r="C1708" s="4">
        <v>45413</v>
      </c>
      <c r="D1708" t="s">
        <v>1628</v>
      </c>
      <c r="E1708" t="s">
        <v>1633</v>
      </c>
      <c r="F1708" s="5">
        <v>2</v>
      </c>
      <c r="G1708" t="s">
        <v>1630</v>
      </c>
      <c r="H1708">
        <v>5</v>
      </c>
    </row>
    <row r="1709" spans="1:8">
      <c r="A1709" t="s">
        <v>3343</v>
      </c>
      <c r="B1709" t="s">
        <v>1205</v>
      </c>
      <c r="C1709" s="4">
        <v>45814</v>
      </c>
      <c r="D1709" t="s">
        <v>1667</v>
      </c>
      <c r="E1709" t="s">
        <v>1605</v>
      </c>
      <c r="F1709" s="5">
        <v>3.9</v>
      </c>
      <c r="G1709" t="s">
        <v>1630</v>
      </c>
      <c r="H1709">
        <v>3</v>
      </c>
    </row>
    <row r="1710" spans="1:8">
      <c r="A1710" t="s">
        <v>3344</v>
      </c>
      <c r="B1710" t="s">
        <v>1403</v>
      </c>
      <c r="C1710" s="4">
        <v>45632</v>
      </c>
      <c r="D1710" t="s">
        <v>1625</v>
      </c>
      <c r="E1710" t="s">
        <v>1633</v>
      </c>
      <c r="F1710" s="5">
        <v>1.5</v>
      </c>
      <c r="G1710" t="s">
        <v>1630</v>
      </c>
      <c r="H1710">
        <v>3</v>
      </c>
    </row>
    <row r="1711" spans="1:8">
      <c r="A1711" t="s">
        <v>3345</v>
      </c>
      <c r="B1711" t="s">
        <v>1499</v>
      </c>
      <c r="C1711" s="4">
        <v>45080</v>
      </c>
      <c r="D1711" t="s">
        <v>1628</v>
      </c>
      <c r="E1711" t="s">
        <v>1633</v>
      </c>
      <c r="F1711" s="5">
        <v>2.7</v>
      </c>
      <c r="G1711" t="s">
        <v>1630</v>
      </c>
      <c r="H1711">
        <v>1</v>
      </c>
    </row>
    <row r="1712" spans="1:8">
      <c r="A1712" t="s">
        <v>3346</v>
      </c>
      <c r="B1712" t="s">
        <v>1549</v>
      </c>
      <c r="C1712" s="4">
        <v>45882</v>
      </c>
      <c r="D1712" t="s">
        <v>1641</v>
      </c>
      <c r="E1712" t="s">
        <v>1648</v>
      </c>
      <c r="F1712" s="5">
        <v>9.8000000000000007</v>
      </c>
      <c r="G1712" t="s">
        <v>1630</v>
      </c>
      <c r="H1712">
        <v>5</v>
      </c>
    </row>
    <row r="1713" spans="1:8">
      <c r="A1713" t="s">
        <v>3347</v>
      </c>
      <c r="B1713" t="s">
        <v>1526</v>
      </c>
      <c r="C1713" s="4">
        <v>45662</v>
      </c>
      <c r="D1713" t="s">
        <v>1625</v>
      </c>
      <c r="E1713" t="s">
        <v>1648</v>
      </c>
      <c r="F1713" s="5">
        <v>2.7</v>
      </c>
      <c r="G1713" t="s">
        <v>1630</v>
      </c>
      <c r="H1713">
        <v>5</v>
      </c>
    </row>
    <row r="1714" spans="1:8">
      <c r="A1714" t="s">
        <v>3348</v>
      </c>
      <c r="B1714" t="s">
        <v>539</v>
      </c>
      <c r="C1714" s="4">
        <v>45046</v>
      </c>
      <c r="D1714" t="s">
        <v>1628</v>
      </c>
      <c r="E1714" t="s">
        <v>1609</v>
      </c>
      <c r="F1714" s="5">
        <v>7.1</v>
      </c>
      <c r="G1714" t="s">
        <v>1630</v>
      </c>
      <c r="H1714">
        <v>3</v>
      </c>
    </row>
    <row r="1715" spans="1:8">
      <c r="A1715" t="s">
        <v>3349</v>
      </c>
      <c r="B1715" t="s">
        <v>879</v>
      </c>
      <c r="C1715" s="4">
        <v>45851</v>
      </c>
      <c r="D1715" t="s">
        <v>1625</v>
      </c>
      <c r="E1715" t="s">
        <v>1629</v>
      </c>
      <c r="F1715" s="5">
        <v>1.9</v>
      </c>
      <c r="G1715" t="s">
        <v>1630</v>
      </c>
      <c r="H1715">
        <v>5</v>
      </c>
    </row>
    <row r="1716" spans="1:8">
      <c r="A1716" t="s">
        <v>3350</v>
      </c>
      <c r="B1716" t="s">
        <v>669</v>
      </c>
      <c r="C1716" s="4">
        <v>45225</v>
      </c>
      <c r="D1716" t="s">
        <v>1637</v>
      </c>
      <c r="E1716" t="s">
        <v>1605</v>
      </c>
      <c r="F1716" s="5">
        <v>4.8</v>
      </c>
      <c r="G1716" t="s">
        <v>1630</v>
      </c>
      <c r="H1716">
        <v>4</v>
      </c>
    </row>
    <row r="1717" spans="1:8">
      <c r="A1717" t="s">
        <v>3351</v>
      </c>
      <c r="B1717" t="s">
        <v>416</v>
      </c>
      <c r="C1717" s="4">
        <v>45725</v>
      </c>
      <c r="D1717" t="s">
        <v>1625</v>
      </c>
      <c r="E1717" t="s">
        <v>1633</v>
      </c>
      <c r="F1717" s="5">
        <v>4.2</v>
      </c>
      <c r="G1717" t="s">
        <v>1630</v>
      </c>
      <c r="H1717">
        <v>4</v>
      </c>
    </row>
    <row r="1718" spans="1:8">
      <c r="A1718" t="s">
        <v>3352</v>
      </c>
      <c r="B1718" t="s">
        <v>1474</v>
      </c>
      <c r="C1718" s="4">
        <v>44943</v>
      </c>
      <c r="D1718" t="s">
        <v>1641</v>
      </c>
      <c r="E1718" t="s">
        <v>1609</v>
      </c>
      <c r="F1718" s="5">
        <v>0.7</v>
      </c>
      <c r="G1718" t="s">
        <v>1626</v>
      </c>
      <c r="H1718">
        <v>3</v>
      </c>
    </row>
    <row r="1719" spans="1:8">
      <c r="A1719" t="s">
        <v>3353</v>
      </c>
      <c r="B1719" t="s">
        <v>1535</v>
      </c>
      <c r="C1719" s="4">
        <v>45489</v>
      </c>
      <c r="D1719" t="s">
        <v>1628</v>
      </c>
      <c r="E1719" t="s">
        <v>1605</v>
      </c>
      <c r="F1719" s="5">
        <v>0.2</v>
      </c>
      <c r="G1719" t="s">
        <v>1630</v>
      </c>
      <c r="H1719">
        <v>5</v>
      </c>
    </row>
    <row r="1720" spans="1:8">
      <c r="A1720" t="s">
        <v>3354</v>
      </c>
      <c r="B1720" t="s">
        <v>1181</v>
      </c>
      <c r="C1720" s="4">
        <v>45789</v>
      </c>
      <c r="D1720" t="s">
        <v>1637</v>
      </c>
      <c r="E1720" t="s">
        <v>1633</v>
      </c>
      <c r="F1720" s="5">
        <v>0.3</v>
      </c>
      <c r="G1720" t="s">
        <v>1630</v>
      </c>
      <c r="H1720">
        <v>4</v>
      </c>
    </row>
    <row r="1721" spans="1:8">
      <c r="A1721" t="s">
        <v>3355</v>
      </c>
      <c r="B1721" t="s">
        <v>1361</v>
      </c>
      <c r="C1721" s="4">
        <v>45137</v>
      </c>
      <c r="D1721" t="s">
        <v>1637</v>
      </c>
      <c r="E1721" t="s">
        <v>1609</v>
      </c>
      <c r="F1721" s="5">
        <v>27.6</v>
      </c>
      <c r="G1721" t="s">
        <v>1626</v>
      </c>
      <c r="H1721">
        <v>2</v>
      </c>
    </row>
    <row r="1722" spans="1:8">
      <c r="A1722" t="s">
        <v>3356</v>
      </c>
      <c r="B1722" t="s">
        <v>844</v>
      </c>
      <c r="C1722" s="4">
        <v>46035</v>
      </c>
      <c r="D1722" t="s">
        <v>1641</v>
      </c>
      <c r="E1722" t="s">
        <v>1633</v>
      </c>
      <c r="F1722" s="5">
        <v>35.6</v>
      </c>
      <c r="G1722" t="s">
        <v>1630</v>
      </c>
      <c r="H1722">
        <v>1</v>
      </c>
    </row>
    <row r="1723" spans="1:8">
      <c r="A1723" t="s">
        <v>3357</v>
      </c>
      <c r="B1723" t="s">
        <v>952</v>
      </c>
      <c r="C1723" s="4">
        <v>45204</v>
      </c>
      <c r="D1723" t="s">
        <v>1641</v>
      </c>
      <c r="E1723" t="s">
        <v>1609</v>
      </c>
      <c r="F1723" s="5">
        <v>5.0999999999999996</v>
      </c>
      <c r="G1723" t="s">
        <v>1630</v>
      </c>
      <c r="H1723">
        <v>5</v>
      </c>
    </row>
    <row r="1724" spans="1:8">
      <c r="A1724" t="s">
        <v>3358</v>
      </c>
      <c r="B1724" t="s">
        <v>1281</v>
      </c>
      <c r="C1724" s="4">
        <v>45154</v>
      </c>
      <c r="D1724" t="s">
        <v>1628</v>
      </c>
      <c r="E1724" t="s">
        <v>1605</v>
      </c>
      <c r="F1724" s="5">
        <v>1.2</v>
      </c>
      <c r="G1724" t="s">
        <v>1630</v>
      </c>
      <c r="H1724">
        <v>2</v>
      </c>
    </row>
    <row r="1725" spans="1:8">
      <c r="A1725" t="s">
        <v>3359</v>
      </c>
      <c r="B1725" t="s">
        <v>464</v>
      </c>
      <c r="C1725" s="4">
        <v>45285</v>
      </c>
      <c r="D1725" t="s">
        <v>1641</v>
      </c>
      <c r="E1725" t="s">
        <v>1633</v>
      </c>
      <c r="F1725" s="5">
        <v>0.2</v>
      </c>
      <c r="G1725" t="s">
        <v>1630</v>
      </c>
      <c r="H1725">
        <v>3</v>
      </c>
    </row>
    <row r="1726" spans="1:8">
      <c r="A1726" t="s">
        <v>3360</v>
      </c>
      <c r="B1726" t="s">
        <v>1466</v>
      </c>
      <c r="C1726" s="4">
        <v>45245</v>
      </c>
      <c r="D1726" t="s">
        <v>1641</v>
      </c>
      <c r="E1726" t="s">
        <v>1633</v>
      </c>
      <c r="F1726" s="5">
        <v>75.8</v>
      </c>
      <c r="G1726" t="s">
        <v>1630</v>
      </c>
      <c r="H1726">
        <v>3</v>
      </c>
    </row>
    <row r="1727" spans="1:8">
      <c r="A1727" t="s">
        <v>3361</v>
      </c>
      <c r="B1727" t="s">
        <v>157</v>
      </c>
      <c r="C1727" s="4">
        <v>44929</v>
      </c>
      <c r="D1727" t="s">
        <v>1628</v>
      </c>
      <c r="E1727" t="s">
        <v>1609</v>
      </c>
      <c r="F1727" s="5">
        <v>10.4</v>
      </c>
      <c r="G1727" t="s">
        <v>1630</v>
      </c>
      <c r="H1727">
        <v>4</v>
      </c>
    </row>
    <row r="1728" spans="1:8">
      <c r="A1728" t="s">
        <v>3362</v>
      </c>
      <c r="B1728" t="s">
        <v>1123</v>
      </c>
      <c r="C1728" s="4">
        <v>45164</v>
      </c>
      <c r="D1728" t="s">
        <v>1628</v>
      </c>
      <c r="E1728" t="s">
        <v>1609</v>
      </c>
      <c r="F1728" s="5">
        <v>9.8000000000000007</v>
      </c>
      <c r="G1728" t="s">
        <v>1626</v>
      </c>
      <c r="H1728">
        <v>2</v>
      </c>
    </row>
    <row r="1729" spans="1:8">
      <c r="A1729" t="s">
        <v>3363</v>
      </c>
      <c r="B1729" t="s">
        <v>1210</v>
      </c>
      <c r="C1729" s="4">
        <v>44987</v>
      </c>
      <c r="D1729" t="s">
        <v>1655</v>
      </c>
      <c r="E1729" t="s">
        <v>1633</v>
      </c>
      <c r="F1729" s="5">
        <v>1.7</v>
      </c>
      <c r="G1729" t="s">
        <v>1626</v>
      </c>
      <c r="H1729">
        <v>2</v>
      </c>
    </row>
    <row r="1730" spans="1:8">
      <c r="A1730" t="s">
        <v>3364</v>
      </c>
      <c r="B1730" t="s">
        <v>1541</v>
      </c>
      <c r="C1730" s="4">
        <v>45225</v>
      </c>
      <c r="D1730" t="s">
        <v>1628</v>
      </c>
      <c r="E1730" t="s">
        <v>1648</v>
      </c>
      <c r="F1730" s="5">
        <v>7.2</v>
      </c>
      <c r="G1730" t="s">
        <v>1626</v>
      </c>
      <c r="H1730">
        <v>1</v>
      </c>
    </row>
    <row r="1731" spans="1:8">
      <c r="A1731" t="s">
        <v>3365</v>
      </c>
      <c r="B1731" t="s">
        <v>1377</v>
      </c>
      <c r="C1731" s="4">
        <v>45821</v>
      </c>
      <c r="D1731" t="s">
        <v>1625</v>
      </c>
      <c r="E1731" t="s">
        <v>1633</v>
      </c>
      <c r="F1731" s="5">
        <v>25.1</v>
      </c>
      <c r="G1731" t="s">
        <v>1630</v>
      </c>
      <c r="H1731">
        <v>1</v>
      </c>
    </row>
    <row r="1732" spans="1:8">
      <c r="A1732" t="s">
        <v>3366</v>
      </c>
      <c r="B1732" t="s">
        <v>1113</v>
      </c>
      <c r="C1732" s="4">
        <v>45878</v>
      </c>
      <c r="D1732" t="s">
        <v>1641</v>
      </c>
      <c r="E1732" t="s">
        <v>1609</v>
      </c>
      <c r="F1732" s="5">
        <v>1.1000000000000001</v>
      </c>
      <c r="G1732" t="s">
        <v>1630</v>
      </c>
      <c r="H1732">
        <v>1</v>
      </c>
    </row>
    <row r="1733" spans="1:8">
      <c r="A1733" t="s">
        <v>3367</v>
      </c>
      <c r="B1733" t="s">
        <v>133</v>
      </c>
      <c r="C1733" s="4">
        <v>45541</v>
      </c>
      <c r="D1733" t="s">
        <v>1628</v>
      </c>
      <c r="E1733" t="s">
        <v>1633</v>
      </c>
      <c r="F1733" s="5">
        <v>19.3</v>
      </c>
      <c r="G1733" t="s">
        <v>1630</v>
      </c>
      <c r="H1733">
        <v>3</v>
      </c>
    </row>
    <row r="1734" spans="1:8">
      <c r="A1734" t="s">
        <v>3368</v>
      </c>
      <c r="B1734" t="s">
        <v>577</v>
      </c>
      <c r="C1734" s="4">
        <v>45544</v>
      </c>
      <c r="D1734" t="s">
        <v>1628</v>
      </c>
      <c r="E1734" t="s">
        <v>1633</v>
      </c>
      <c r="F1734" s="5">
        <v>16.399999999999999</v>
      </c>
      <c r="G1734" t="s">
        <v>1630</v>
      </c>
      <c r="H1734">
        <v>5</v>
      </c>
    </row>
    <row r="1735" spans="1:8">
      <c r="A1735" t="s">
        <v>3369</v>
      </c>
      <c r="B1735" t="s">
        <v>1336</v>
      </c>
      <c r="C1735" s="4">
        <v>45122</v>
      </c>
      <c r="D1735" t="s">
        <v>1667</v>
      </c>
      <c r="E1735" t="s">
        <v>1633</v>
      </c>
      <c r="F1735" s="5">
        <v>2.7</v>
      </c>
      <c r="G1735" t="s">
        <v>1630</v>
      </c>
      <c r="H1735">
        <v>4</v>
      </c>
    </row>
    <row r="1736" spans="1:8">
      <c r="A1736" t="s">
        <v>3370</v>
      </c>
      <c r="B1736" t="s">
        <v>655</v>
      </c>
      <c r="C1736" s="4">
        <v>45190</v>
      </c>
      <c r="D1736" t="s">
        <v>1641</v>
      </c>
      <c r="E1736" t="s">
        <v>1605</v>
      </c>
      <c r="F1736" s="5">
        <v>0.7</v>
      </c>
      <c r="G1736" t="s">
        <v>1630</v>
      </c>
      <c r="H1736">
        <v>5</v>
      </c>
    </row>
    <row r="1737" spans="1:8">
      <c r="A1737" t="s">
        <v>3371</v>
      </c>
      <c r="B1737" t="s">
        <v>1540</v>
      </c>
      <c r="C1737" s="4">
        <v>45384</v>
      </c>
      <c r="D1737" t="s">
        <v>1628</v>
      </c>
      <c r="E1737" t="s">
        <v>1605</v>
      </c>
      <c r="F1737" s="5">
        <v>11.3</v>
      </c>
      <c r="G1737" t="s">
        <v>1630</v>
      </c>
      <c r="H1737">
        <v>5</v>
      </c>
    </row>
    <row r="1738" spans="1:8">
      <c r="A1738" t="s">
        <v>3372</v>
      </c>
      <c r="B1738" t="s">
        <v>1173</v>
      </c>
      <c r="C1738" s="4">
        <v>44978</v>
      </c>
      <c r="D1738" t="s">
        <v>1632</v>
      </c>
      <c r="E1738" t="s">
        <v>1605</v>
      </c>
      <c r="F1738" s="5">
        <v>5</v>
      </c>
      <c r="G1738" t="s">
        <v>1630</v>
      </c>
      <c r="H1738">
        <v>1</v>
      </c>
    </row>
    <row r="1739" spans="1:8">
      <c r="A1739" t="s">
        <v>3373</v>
      </c>
      <c r="B1739" t="s">
        <v>1210</v>
      </c>
      <c r="C1739" s="4">
        <v>45225</v>
      </c>
      <c r="D1739" t="s">
        <v>1628</v>
      </c>
      <c r="E1739" t="s">
        <v>1648</v>
      </c>
      <c r="F1739" s="5">
        <v>10.3</v>
      </c>
      <c r="G1739" t="s">
        <v>1630</v>
      </c>
      <c r="H1739">
        <v>3</v>
      </c>
    </row>
    <row r="1740" spans="1:8">
      <c r="A1740" t="s">
        <v>3374</v>
      </c>
      <c r="B1740" t="s">
        <v>1545</v>
      </c>
      <c r="C1740" s="4">
        <v>45417</v>
      </c>
      <c r="D1740" t="s">
        <v>1655</v>
      </c>
      <c r="E1740" t="s">
        <v>1629</v>
      </c>
      <c r="F1740" s="5">
        <v>7.3</v>
      </c>
      <c r="G1740" t="s">
        <v>1630</v>
      </c>
      <c r="H1740">
        <v>3</v>
      </c>
    </row>
    <row r="1741" spans="1:8">
      <c r="A1741" t="s">
        <v>3375</v>
      </c>
      <c r="B1741" t="s">
        <v>1041</v>
      </c>
      <c r="C1741" s="4">
        <v>45588</v>
      </c>
      <c r="D1741" t="s">
        <v>1667</v>
      </c>
      <c r="E1741" t="s">
        <v>1629</v>
      </c>
      <c r="F1741" s="5">
        <v>12.3</v>
      </c>
      <c r="G1741" t="s">
        <v>1630</v>
      </c>
      <c r="H1741">
        <v>3</v>
      </c>
    </row>
    <row r="1742" spans="1:8">
      <c r="A1742" t="s">
        <v>3376</v>
      </c>
      <c r="B1742" t="s">
        <v>1249</v>
      </c>
      <c r="C1742" s="4">
        <v>44969</v>
      </c>
      <c r="D1742" t="s">
        <v>1641</v>
      </c>
      <c r="E1742" t="s">
        <v>1633</v>
      </c>
      <c r="F1742" s="5">
        <v>1.7</v>
      </c>
      <c r="G1742" t="s">
        <v>1626</v>
      </c>
      <c r="H1742">
        <v>1</v>
      </c>
    </row>
    <row r="1743" spans="1:8">
      <c r="A1743" t="s">
        <v>3377</v>
      </c>
      <c r="B1743" t="s">
        <v>1427</v>
      </c>
      <c r="C1743" s="4">
        <v>45785</v>
      </c>
      <c r="D1743" t="s">
        <v>1641</v>
      </c>
      <c r="E1743" t="s">
        <v>1629</v>
      </c>
      <c r="F1743" s="5">
        <v>6.7</v>
      </c>
      <c r="G1743" t="s">
        <v>1630</v>
      </c>
      <c r="H1743">
        <v>3</v>
      </c>
    </row>
    <row r="1744" spans="1:8">
      <c r="A1744" t="s">
        <v>3378</v>
      </c>
      <c r="B1744" t="s">
        <v>770</v>
      </c>
      <c r="C1744" s="4">
        <v>45240</v>
      </c>
      <c r="D1744" t="s">
        <v>1641</v>
      </c>
      <c r="E1744" t="s">
        <v>1648</v>
      </c>
      <c r="F1744" s="5">
        <v>4.5</v>
      </c>
      <c r="G1744" t="s">
        <v>1630</v>
      </c>
      <c r="H1744">
        <v>1</v>
      </c>
    </row>
    <row r="1745" spans="1:8">
      <c r="A1745" t="s">
        <v>3379</v>
      </c>
      <c r="B1745" t="s">
        <v>812</v>
      </c>
      <c r="C1745" s="4">
        <v>45606</v>
      </c>
      <c r="D1745" t="s">
        <v>1625</v>
      </c>
      <c r="E1745" t="s">
        <v>1605</v>
      </c>
      <c r="F1745" s="5">
        <v>2.1</v>
      </c>
      <c r="G1745" t="s">
        <v>1630</v>
      </c>
      <c r="H1745">
        <v>3</v>
      </c>
    </row>
    <row r="1746" spans="1:8">
      <c r="A1746" t="s">
        <v>3380</v>
      </c>
      <c r="B1746" t="s">
        <v>896</v>
      </c>
      <c r="C1746" s="4">
        <v>45015</v>
      </c>
      <c r="D1746" t="s">
        <v>1628</v>
      </c>
      <c r="E1746" t="s">
        <v>1633</v>
      </c>
      <c r="F1746" s="5">
        <v>1.2</v>
      </c>
      <c r="G1746" t="s">
        <v>1630</v>
      </c>
      <c r="H1746">
        <v>2</v>
      </c>
    </row>
    <row r="1747" spans="1:8">
      <c r="A1747" t="s">
        <v>3381</v>
      </c>
      <c r="B1747" t="s">
        <v>857</v>
      </c>
      <c r="C1747" s="4">
        <v>46074</v>
      </c>
      <c r="D1747" t="s">
        <v>1628</v>
      </c>
      <c r="E1747" t="s">
        <v>1648</v>
      </c>
      <c r="F1747" s="5">
        <v>18.3</v>
      </c>
      <c r="G1747" t="s">
        <v>1630</v>
      </c>
      <c r="H1747">
        <v>3</v>
      </c>
    </row>
    <row r="1748" spans="1:8">
      <c r="A1748" t="s">
        <v>3382</v>
      </c>
      <c r="B1748" t="s">
        <v>538</v>
      </c>
      <c r="C1748" s="4">
        <v>44968</v>
      </c>
      <c r="D1748" t="s">
        <v>1641</v>
      </c>
      <c r="E1748" t="s">
        <v>1605</v>
      </c>
      <c r="F1748" s="5">
        <v>5.2</v>
      </c>
      <c r="G1748" t="s">
        <v>1630</v>
      </c>
      <c r="H1748">
        <v>5</v>
      </c>
    </row>
    <row r="1749" spans="1:8">
      <c r="A1749" t="s">
        <v>3383</v>
      </c>
      <c r="B1749" t="s">
        <v>426</v>
      </c>
      <c r="C1749" s="4">
        <v>45741</v>
      </c>
      <c r="D1749" t="s">
        <v>1625</v>
      </c>
      <c r="E1749" t="s">
        <v>1633</v>
      </c>
      <c r="F1749" s="5">
        <v>4.9000000000000004</v>
      </c>
      <c r="G1749" t="s">
        <v>1626</v>
      </c>
      <c r="H1749">
        <v>1</v>
      </c>
    </row>
    <row r="1750" spans="1:8">
      <c r="A1750" t="s">
        <v>3384</v>
      </c>
      <c r="B1750" t="s">
        <v>715</v>
      </c>
      <c r="C1750" s="4">
        <v>44945</v>
      </c>
      <c r="D1750" t="s">
        <v>1641</v>
      </c>
      <c r="E1750" t="s">
        <v>1605</v>
      </c>
      <c r="F1750" s="5">
        <v>2.2000000000000002</v>
      </c>
      <c r="G1750" t="s">
        <v>1630</v>
      </c>
      <c r="H1750">
        <v>3</v>
      </c>
    </row>
    <row r="1751" spans="1:8">
      <c r="A1751" t="s">
        <v>3385</v>
      </c>
      <c r="B1751" t="s">
        <v>452</v>
      </c>
      <c r="C1751" s="4">
        <v>45362</v>
      </c>
      <c r="D1751" t="s">
        <v>1625</v>
      </c>
      <c r="E1751" t="s">
        <v>1609</v>
      </c>
      <c r="F1751" s="5">
        <v>11.6</v>
      </c>
      <c r="G1751" t="s">
        <v>1630</v>
      </c>
      <c r="H1751">
        <v>4</v>
      </c>
    </row>
    <row r="1752" spans="1:8">
      <c r="A1752" t="s">
        <v>3386</v>
      </c>
      <c r="B1752" t="s">
        <v>1264</v>
      </c>
      <c r="C1752" s="4">
        <v>45185</v>
      </c>
      <c r="D1752" t="s">
        <v>1625</v>
      </c>
      <c r="E1752" t="s">
        <v>1633</v>
      </c>
      <c r="F1752" s="5">
        <v>3.3</v>
      </c>
      <c r="G1752" t="s">
        <v>1626</v>
      </c>
      <c r="H1752">
        <v>2</v>
      </c>
    </row>
    <row r="1753" spans="1:8">
      <c r="A1753" t="s">
        <v>3387</v>
      </c>
      <c r="B1753" t="s">
        <v>1115</v>
      </c>
      <c r="C1753" s="4">
        <v>45148</v>
      </c>
      <c r="D1753" t="s">
        <v>1625</v>
      </c>
      <c r="E1753" t="s">
        <v>1633</v>
      </c>
      <c r="F1753" s="5">
        <v>3</v>
      </c>
      <c r="G1753" t="s">
        <v>1630</v>
      </c>
      <c r="H1753">
        <v>5</v>
      </c>
    </row>
    <row r="1754" spans="1:8">
      <c r="A1754" t="s">
        <v>3388</v>
      </c>
      <c r="B1754" t="s">
        <v>1542</v>
      </c>
      <c r="C1754" s="4">
        <v>44985</v>
      </c>
      <c r="D1754" t="s">
        <v>1625</v>
      </c>
      <c r="E1754" t="s">
        <v>1629</v>
      </c>
      <c r="F1754" s="5">
        <v>6.6</v>
      </c>
      <c r="G1754" t="s">
        <v>1630</v>
      </c>
      <c r="H1754">
        <v>2</v>
      </c>
    </row>
    <row r="1755" spans="1:8">
      <c r="A1755" t="s">
        <v>3389</v>
      </c>
      <c r="B1755" t="s">
        <v>640</v>
      </c>
      <c r="C1755" s="4">
        <v>45263</v>
      </c>
      <c r="D1755" t="s">
        <v>1625</v>
      </c>
      <c r="E1755" t="s">
        <v>1609</v>
      </c>
      <c r="F1755" s="5">
        <v>2.2000000000000002</v>
      </c>
      <c r="G1755" t="s">
        <v>1630</v>
      </c>
      <c r="H1755">
        <v>2</v>
      </c>
    </row>
    <row r="1756" spans="1:8">
      <c r="A1756" t="s">
        <v>3390</v>
      </c>
      <c r="B1756" t="s">
        <v>1193</v>
      </c>
      <c r="C1756" s="4">
        <v>45222</v>
      </c>
      <c r="D1756" t="s">
        <v>1641</v>
      </c>
      <c r="E1756" t="s">
        <v>1633</v>
      </c>
      <c r="F1756" s="5">
        <v>9</v>
      </c>
      <c r="G1756" t="s">
        <v>1630</v>
      </c>
      <c r="H1756">
        <v>2</v>
      </c>
    </row>
    <row r="1757" spans="1:8">
      <c r="A1757" t="s">
        <v>3391</v>
      </c>
      <c r="B1757" t="s">
        <v>1545</v>
      </c>
      <c r="C1757" s="4">
        <v>45382</v>
      </c>
      <c r="D1757" t="s">
        <v>1655</v>
      </c>
      <c r="E1757" t="s">
        <v>1633</v>
      </c>
      <c r="F1757" s="5">
        <v>8.1999999999999993</v>
      </c>
      <c r="G1757" t="s">
        <v>1626</v>
      </c>
      <c r="H1757">
        <v>1</v>
      </c>
    </row>
    <row r="1758" spans="1:8">
      <c r="A1758" t="s">
        <v>3392</v>
      </c>
      <c r="B1758" t="s">
        <v>1007</v>
      </c>
      <c r="C1758" s="4">
        <v>45719</v>
      </c>
      <c r="D1758" t="s">
        <v>1628</v>
      </c>
      <c r="E1758" t="s">
        <v>1633</v>
      </c>
      <c r="F1758" s="5">
        <v>0.2</v>
      </c>
      <c r="G1758" t="s">
        <v>1626</v>
      </c>
      <c r="H1758">
        <v>3</v>
      </c>
    </row>
    <row r="1759" spans="1:8">
      <c r="A1759" t="s">
        <v>3393</v>
      </c>
      <c r="B1759" t="s">
        <v>883</v>
      </c>
      <c r="C1759" s="4">
        <v>45730</v>
      </c>
      <c r="D1759" t="s">
        <v>1628</v>
      </c>
      <c r="E1759" t="s">
        <v>1648</v>
      </c>
      <c r="F1759" s="5">
        <v>7.3</v>
      </c>
      <c r="G1759" t="s">
        <v>1630</v>
      </c>
      <c r="H1759">
        <v>1</v>
      </c>
    </row>
    <row r="1760" spans="1:8">
      <c r="A1760" t="s">
        <v>3394</v>
      </c>
      <c r="B1760" t="s">
        <v>952</v>
      </c>
      <c r="C1760" s="4">
        <v>45532</v>
      </c>
      <c r="D1760" t="s">
        <v>1667</v>
      </c>
      <c r="E1760" t="s">
        <v>1648</v>
      </c>
      <c r="F1760" s="5">
        <v>1.2</v>
      </c>
      <c r="G1760" t="s">
        <v>1630</v>
      </c>
      <c r="H1760">
        <v>3</v>
      </c>
    </row>
    <row r="1761" spans="1:8">
      <c r="A1761" t="s">
        <v>3395</v>
      </c>
      <c r="B1761" t="s">
        <v>281</v>
      </c>
      <c r="C1761" s="4">
        <v>45761</v>
      </c>
      <c r="D1761" t="s">
        <v>1641</v>
      </c>
      <c r="E1761" t="s">
        <v>1605</v>
      </c>
      <c r="F1761" s="5">
        <v>18.8</v>
      </c>
      <c r="G1761" t="s">
        <v>1630</v>
      </c>
      <c r="H1761">
        <v>2</v>
      </c>
    </row>
    <row r="1762" spans="1:8">
      <c r="A1762" t="s">
        <v>3396</v>
      </c>
      <c r="B1762" t="s">
        <v>1099</v>
      </c>
      <c r="C1762" s="4">
        <v>45287</v>
      </c>
      <c r="D1762" t="s">
        <v>1637</v>
      </c>
      <c r="E1762" t="s">
        <v>1629</v>
      </c>
      <c r="F1762" s="5">
        <v>7.4</v>
      </c>
      <c r="G1762" t="s">
        <v>1630</v>
      </c>
      <c r="H1762">
        <v>1</v>
      </c>
    </row>
    <row r="1763" spans="1:8">
      <c r="A1763" t="s">
        <v>3397</v>
      </c>
      <c r="B1763" t="s">
        <v>824</v>
      </c>
      <c r="C1763" s="4">
        <v>45380</v>
      </c>
      <c r="D1763" t="s">
        <v>1667</v>
      </c>
      <c r="E1763" t="s">
        <v>1633</v>
      </c>
      <c r="F1763" s="5">
        <v>11.1</v>
      </c>
      <c r="G1763" t="s">
        <v>1626</v>
      </c>
      <c r="H1763">
        <v>1</v>
      </c>
    </row>
    <row r="1764" spans="1:8">
      <c r="A1764" t="s">
        <v>3398</v>
      </c>
      <c r="B1764" t="s">
        <v>1433</v>
      </c>
      <c r="C1764" s="4">
        <v>45399</v>
      </c>
      <c r="D1764" t="s">
        <v>1641</v>
      </c>
      <c r="E1764" t="s">
        <v>1648</v>
      </c>
      <c r="F1764" s="5">
        <v>0.4</v>
      </c>
      <c r="G1764" t="s">
        <v>1630</v>
      </c>
      <c r="H1764">
        <v>3</v>
      </c>
    </row>
    <row r="1765" spans="1:8">
      <c r="A1765" t="s">
        <v>3399</v>
      </c>
      <c r="B1765" t="s">
        <v>75</v>
      </c>
      <c r="C1765" s="4">
        <v>45305</v>
      </c>
      <c r="D1765" t="s">
        <v>1628</v>
      </c>
      <c r="E1765" t="s">
        <v>1629</v>
      </c>
      <c r="F1765" s="5">
        <v>0.8</v>
      </c>
      <c r="G1765" t="s">
        <v>1630</v>
      </c>
      <c r="H1765">
        <v>1</v>
      </c>
    </row>
    <row r="1766" spans="1:8">
      <c r="A1766" t="s">
        <v>3400</v>
      </c>
      <c r="B1766" t="s">
        <v>1079</v>
      </c>
      <c r="C1766" s="4">
        <v>45417</v>
      </c>
      <c r="D1766" t="s">
        <v>1632</v>
      </c>
      <c r="E1766" t="s">
        <v>1605</v>
      </c>
      <c r="F1766" s="5">
        <v>3.7</v>
      </c>
      <c r="G1766" t="s">
        <v>1630</v>
      </c>
      <c r="H1766">
        <v>5</v>
      </c>
    </row>
    <row r="1767" spans="1:8">
      <c r="A1767" t="s">
        <v>3401</v>
      </c>
      <c r="B1767" t="s">
        <v>954</v>
      </c>
      <c r="C1767" s="4">
        <v>45100</v>
      </c>
      <c r="D1767" t="s">
        <v>1641</v>
      </c>
      <c r="E1767" t="s">
        <v>1609</v>
      </c>
      <c r="F1767" s="5">
        <v>0.5</v>
      </c>
      <c r="G1767" t="s">
        <v>1630</v>
      </c>
      <c r="H1767">
        <v>5</v>
      </c>
    </row>
    <row r="1768" spans="1:8">
      <c r="A1768" t="s">
        <v>3402</v>
      </c>
      <c r="B1768" t="s">
        <v>1181</v>
      </c>
      <c r="C1768" s="4">
        <v>45626</v>
      </c>
      <c r="D1768" t="s">
        <v>1625</v>
      </c>
      <c r="E1768" t="s">
        <v>1629</v>
      </c>
      <c r="F1768" s="5">
        <v>1.3</v>
      </c>
      <c r="G1768" t="s">
        <v>1626</v>
      </c>
      <c r="H1768">
        <v>2</v>
      </c>
    </row>
    <row r="1769" spans="1:8">
      <c r="A1769" t="s">
        <v>3403</v>
      </c>
      <c r="B1769" t="s">
        <v>1274</v>
      </c>
      <c r="C1769" s="4">
        <v>45502</v>
      </c>
      <c r="D1769" t="s">
        <v>1632</v>
      </c>
      <c r="E1769" t="s">
        <v>1609</v>
      </c>
      <c r="F1769" s="5">
        <v>5.8</v>
      </c>
      <c r="G1769" t="s">
        <v>1630</v>
      </c>
      <c r="H1769">
        <v>5</v>
      </c>
    </row>
    <row r="1770" spans="1:8">
      <c r="A1770" t="s">
        <v>3404</v>
      </c>
      <c r="B1770" t="s">
        <v>691</v>
      </c>
      <c r="C1770" s="4">
        <v>44932</v>
      </c>
      <c r="D1770" t="s">
        <v>1632</v>
      </c>
      <c r="E1770" t="s">
        <v>1648</v>
      </c>
      <c r="F1770" s="5">
        <v>47.9</v>
      </c>
      <c r="G1770" t="s">
        <v>1630</v>
      </c>
      <c r="H1770">
        <v>2</v>
      </c>
    </row>
    <row r="1771" spans="1:8">
      <c r="A1771" t="s">
        <v>3405</v>
      </c>
      <c r="B1771" t="s">
        <v>550</v>
      </c>
      <c r="C1771" s="4">
        <v>44927</v>
      </c>
      <c r="D1771" t="s">
        <v>1625</v>
      </c>
      <c r="E1771" t="s">
        <v>1633</v>
      </c>
      <c r="F1771" s="5">
        <v>10.4</v>
      </c>
      <c r="G1771" t="s">
        <v>1626</v>
      </c>
      <c r="H1771">
        <v>1</v>
      </c>
    </row>
    <row r="1772" spans="1:8">
      <c r="A1772" t="s">
        <v>3406</v>
      </c>
      <c r="B1772" t="s">
        <v>1313</v>
      </c>
      <c r="C1772" s="4">
        <v>45406</v>
      </c>
      <c r="D1772" t="s">
        <v>1628</v>
      </c>
      <c r="E1772" t="s">
        <v>1629</v>
      </c>
      <c r="F1772" s="5">
        <v>8.4</v>
      </c>
      <c r="G1772" t="s">
        <v>1630</v>
      </c>
      <c r="H1772">
        <v>5</v>
      </c>
    </row>
    <row r="1773" spans="1:8">
      <c r="A1773" t="s">
        <v>3407</v>
      </c>
      <c r="B1773" t="s">
        <v>1345</v>
      </c>
      <c r="C1773" s="4">
        <v>45081</v>
      </c>
      <c r="D1773" t="s">
        <v>1625</v>
      </c>
      <c r="E1773" t="s">
        <v>1629</v>
      </c>
      <c r="F1773" s="5">
        <v>2.7</v>
      </c>
      <c r="G1773" t="s">
        <v>1630</v>
      </c>
      <c r="H1773">
        <v>2</v>
      </c>
    </row>
    <row r="1774" spans="1:8">
      <c r="A1774" t="s">
        <v>3408</v>
      </c>
      <c r="B1774" t="s">
        <v>896</v>
      </c>
      <c r="C1774" s="4">
        <v>44953</v>
      </c>
      <c r="D1774" t="s">
        <v>1655</v>
      </c>
      <c r="E1774" t="s">
        <v>1609</v>
      </c>
      <c r="F1774" s="5">
        <v>7.6</v>
      </c>
      <c r="G1774" t="s">
        <v>1626</v>
      </c>
      <c r="H1774">
        <v>2</v>
      </c>
    </row>
    <row r="1775" spans="1:8">
      <c r="A1775" t="s">
        <v>3409</v>
      </c>
      <c r="B1775" t="s">
        <v>492</v>
      </c>
      <c r="C1775" s="4">
        <v>45140</v>
      </c>
      <c r="D1775" t="s">
        <v>1637</v>
      </c>
      <c r="E1775" t="s">
        <v>1629</v>
      </c>
      <c r="F1775" s="5">
        <v>29.2</v>
      </c>
      <c r="G1775" t="s">
        <v>1630</v>
      </c>
      <c r="H1775">
        <v>4</v>
      </c>
    </row>
    <row r="1776" spans="1:8">
      <c r="A1776" t="s">
        <v>3410</v>
      </c>
      <c r="B1776" t="s">
        <v>1268</v>
      </c>
      <c r="C1776" s="4">
        <v>45803</v>
      </c>
      <c r="D1776" t="s">
        <v>1625</v>
      </c>
      <c r="E1776" t="s">
        <v>1633</v>
      </c>
      <c r="F1776" s="5">
        <v>1.6</v>
      </c>
      <c r="G1776" t="s">
        <v>1630</v>
      </c>
      <c r="H1776">
        <v>4</v>
      </c>
    </row>
    <row r="1777" spans="1:8">
      <c r="A1777" t="s">
        <v>3411</v>
      </c>
      <c r="B1777" t="s">
        <v>241</v>
      </c>
      <c r="C1777" s="4">
        <v>45183</v>
      </c>
      <c r="D1777" t="s">
        <v>1628</v>
      </c>
      <c r="E1777" t="s">
        <v>1648</v>
      </c>
      <c r="F1777" s="5">
        <v>1.4</v>
      </c>
      <c r="G1777" t="s">
        <v>1630</v>
      </c>
      <c r="H1777">
        <v>3</v>
      </c>
    </row>
    <row r="1778" spans="1:8">
      <c r="A1778" t="s">
        <v>3412</v>
      </c>
      <c r="B1778" t="s">
        <v>941</v>
      </c>
      <c r="C1778" s="4">
        <v>46048</v>
      </c>
      <c r="D1778" t="s">
        <v>1628</v>
      </c>
      <c r="E1778" t="s">
        <v>1609</v>
      </c>
      <c r="F1778" s="5">
        <v>12.8</v>
      </c>
      <c r="G1778" t="s">
        <v>1630</v>
      </c>
      <c r="H1778">
        <v>2</v>
      </c>
    </row>
    <row r="1779" spans="1:8">
      <c r="A1779" t="s">
        <v>3413</v>
      </c>
      <c r="B1779" t="s">
        <v>370</v>
      </c>
      <c r="C1779" s="4">
        <v>45430</v>
      </c>
      <c r="D1779" t="s">
        <v>1628</v>
      </c>
      <c r="E1779" t="s">
        <v>1609</v>
      </c>
      <c r="F1779" s="5">
        <v>4</v>
      </c>
      <c r="G1779" t="s">
        <v>1630</v>
      </c>
      <c r="H1779">
        <v>4</v>
      </c>
    </row>
    <row r="1780" spans="1:8">
      <c r="A1780" t="s">
        <v>3414</v>
      </c>
      <c r="B1780" t="s">
        <v>133</v>
      </c>
      <c r="C1780" s="4">
        <v>45718</v>
      </c>
      <c r="D1780" t="s">
        <v>1641</v>
      </c>
      <c r="E1780" t="s">
        <v>1629</v>
      </c>
      <c r="F1780" s="5">
        <v>8</v>
      </c>
      <c r="G1780" t="s">
        <v>1630</v>
      </c>
      <c r="H1780">
        <v>2</v>
      </c>
    </row>
    <row r="1781" spans="1:8">
      <c r="A1781" t="s">
        <v>3415</v>
      </c>
      <c r="B1781" t="s">
        <v>376</v>
      </c>
      <c r="C1781" s="4">
        <v>45236</v>
      </c>
      <c r="D1781" t="s">
        <v>1628</v>
      </c>
      <c r="E1781" t="s">
        <v>1629</v>
      </c>
      <c r="F1781" s="5">
        <v>1.1000000000000001</v>
      </c>
      <c r="G1781" t="s">
        <v>1630</v>
      </c>
      <c r="H1781">
        <v>2</v>
      </c>
    </row>
    <row r="1782" spans="1:8">
      <c r="A1782" t="s">
        <v>3416</v>
      </c>
      <c r="B1782" t="s">
        <v>251</v>
      </c>
      <c r="C1782" s="4">
        <v>45209</v>
      </c>
      <c r="D1782" t="s">
        <v>1625</v>
      </c>
      <c r="E1782" t="s">
        <v>1648</v>
      </c>
      <c r="F1782" s="5">
        <v>10.199999999999999</v>
      </c>
      <c r="G1782" t="s">
        <v>1630</v>
      </c>
      <c r="H1782">
        <v>3</v>
      </c>
    </row>
    <row r="1783" spans="1:8">
      <c r="A1783" t="s">
        <v>3417</v>
      </c>
      <c r="B1783" t="s">
        <v>850</v>
      </c>
      <c r="C1783" s="4">
        <v>45378</v>
      </c>
      <c r="D1783" t="s">
        <v>1637</v>
      </c>
      <c r="E1783" t="s">
        <v>1609</v>
      </c>
      <c r="F1783" s="5">
        <v>0.7</v>
      </c>
      <c r="G1783" t="s">
        <v>1626</v>
      </c>
      <c r="H1783">
        <v>3</v>
      </c>
    </row>
    <row r="1784" spans="1:8">
      <c r="A1784" t="s">
        <v>3418</v>
      </c>
      <c r="B1784" t="s">
        <v>697</v>
      </c>
      <c r="C1784" s="4">
        <v>45321</v>
      </c>
      <c r="D1784" t="s">
        <v>1628</v>
      </c>
      <c r="E1784" t="s">
        <v>1609</v>
      </c>
      <c r="F1784" s="5">
        <v>22.4</v>
      </c>
      <c r="G1784" t="s">
        <v>1630</v>
      </c>
      <c r="H1784">
        <v>3</v>
      </c>
    </row>
    <row r="1785" spans="1:8">
      <c r="A1785" t="s">
        <v>3419</v>
      </c>
      <c r="B1785" t="s">
        <v>1352</v>
      </c>
      <c r="C1785" s="4">
        <v>45430</v>
      </c>
      <c r="D1785" t="s">
        <v>1641</v>
      </c>
      <c r="E1785" t="s">
        <v>1648</v>
      </c>
      <c r="F1785" s="5">
        <v>6.7</v>
      </c>
      <c r="G1785" t="s">
        <v>1630</v>
      </c>
      <c r="H1785">
        <v>2</v>
      </c>
    </row>
    <row r="1786" spans="1:8">
      <c r="A1786" t="s">
        <v>3420</v>
      </c>
      <c r="B1786" t="s">
        <v>1256</v>
      </c>
      <c r="C1786" s="4">
        <v>45076</v>
      </c>
      <c r="D1786" t="s">
        <v>1628</v>
      </c>
      <c r="E1786" t="s">
        <v>1633</v>
      </c>
      <c r="F1786" s="5">
        <v>4.5999999999999996</v>
      </c>
      <c r="G1786" t="s">
        <v>1630</v>
      </c>
      <c r="H1786">
        <v>5</v>
      </c>
    </row>
    <row r="1787" spans="1:8">
      <c r="A1787" t="s">
        <v>3421</v>
      </c>
      <c r="B1787" t="s">
        <v>1446</v>
      </c>
      <c r="C1787" s="4">
        <v>45705</v>
      </c>
      <c r="D1787" t="s">
        <v>1625</v>
      </c>
      <c r="E1787" t="s">
        <v>1605</v>
      </c>
      <c r="F1787" s="5">
        <v>1.1000000000000001</v>
      </c>
      <c r="G1787" t="s">
        <v>1630</v>
      </c>
      <c r="H1787">
        <v>5</v>
      </c>
    </row>
    <row r="1788" spans="1:8">
      <c r="A1788" t="s">
        <v>3422</v>
      </c>
      <c r="B1788" t="s">
        <v>1271</v>
      </c>
      <c r="C1788" s="4">
        <v>45455</v>
      </c>
      <c r="D1788" t="s">
        <v>1628</v>
      </c>
      <c r="E1788" t="s">
        <v>1648</v>
      </c>
      <c r="F1788" s="5">
        <v>1.8</v>
      </c>
      <c r="G1788" t="s">
        <v>1630</v>
      </c>
      <c r="H1788">
        <v>4</v>
      </c>
    </row>
    <row r="1789" spans="1:8">
      <c r="A1789" t="s">
        <v>3423</v>
      </c>
      <c r="B1789" t="s">
        <v>747</v>
      </c>
      <c r="C1789" s="4">
        <v>46094</v>
      </c>
      <c r="D1789" t="s">
        <v>1628</v>
      </c>
      <c r="E1789" t="s">
        <v>1633</v>
      </c>
      <c r="F1789" s="5">
        <v>18.100000000000001</v>
      </c>
      <c r="G1789" t="s">
        <v>1626</v>
      </c>
      <c r="H1789">
        <v>1</v>
      </c>
    </row>
    <row r="1790" spans="1:8">
      <c r="A1790" t="s">
        <v>3424</v>
      </c>
      <c r="B1790" t="s">
        <v>183</v>
      </c>
      <c r="C1790" s="4">
        <v>45120</v>
      </c>
      <c r="D1790" t="s">
        <v>1628</v>
      </c>
      <c r="E1790" t="s">
        <v>1633</v>
      </c>
      <c r="F1790" s="5">
        <v>8.8000000000000007</v>
      </c>
      <c r="G1790" t="s">
        <v>1630</v>
      </c>
      <c r="H1790">
        <v>4</v>
      </c>
    </row>
    <row r="1791" spans="1:8">
      <c r="A1791" t="s">
        <v>3425</v>
      </c>
      <c r="B1791" t="s">
        <v>1391</v>
      </c>
      <c r="C1791" s="4">
        <v>45650</v>
      </c>
      <c r="D1791" t="s">
        <v>1628</v>
      </c>
      <c r="E1791" t="s">
        <v>1629</v>
      </c>
      <c r="F1791" s="5">
        <v>4</v>
      </c>
      <c r="G1791" t="s">
        <v>1630</v>
      </c>
      <c r="H1791">
        <v>4</v>
      </c>
    </row>
    <row r="1792" spans="1:8">
      <c r="A1792" t="s">
        <v>3426</v>
      </c>
      <c r="B1792" t="s">
        <v>1464</v>
      </c>
      <c r="C1792" s="4">
        <v>45378</v>
      </c>
      <c r="D1792" t="s">
        <v>1637</v>
      </c>
      <c r="E1792" t="s">
        <v>1633</v>
      </c>
      <c r="F1792" s="5">
        <v>0.5</v>
      </c>
      <c r="G1792" t="s">
        <v>1630</v>
      </c>
      <c r="H1792">
        <v>2</v>
      </c>
    </row>
    <row r="1793" spans="1:8">
      <c r="A1793" t="s">
        <v>3427</v>
      </c>
      <c r="B1793" t="s">
        <v>643</v>
      </c>
      <c r="C1793" s="4">
        <v>45574</v>
      </c>
      <c r="D1793" t="s">
        <v>1667</v>
      </c>
      <c r="E1793" t="s">
        <v>1605</v>
      </c>
      <c r="F1793" s="5">
        <v>26.2</v>
      </c>
      <c r="G1793" t="s">
        <v>1626</v>
      </c>
      <c r="H1793">
        <v>2</v>
      </c>
    </row>
    <row r="1794" spans="1:8">
      <c r="A1794" t="s">
        <v>3428</v>
      </c>
      <c r="B1794" t="s">
        <v>1565</v>
      </c>
      <c r="C1794" s="4">
        <v>45675</v>
      </c>
      <c r="D1794" t="s">
        <v>1632</v>
      </c>
      <c r="E1794" t="s">
        <v>1633</v>
      </c>
      <c r="F1794" s="5">
        <v>21.3</v>
      </c>
      <c r="G1794" t="s">
        <v>1630</v>
      </c>
      <c r="H1794">
        <v>4</v>
      </c>
    </row>
    <row r="1795" spans="1:8">
      <c r="A1795" t="s">
        <v>3429</v>
      </c>
      <c r="B1795" t="s">
        <v>846</v>
      </c>
      <c r="C1795" s="4">
        <v>45459</v>
      </c>
      <c r="D1795" t="s">
        <v>1641</v>
      </c>
      <c r="E1795" t="s">
        <v>1648</v>
      </c>
      <c r="F1795" s="5">
        <v>2.8</v>
      </c>
      <c r="G1795" t="s">
        <v>1630</v>
      </c>
      <c r="H1795">
        <v>2</v>
      </c>
    </row>
    <row r="1796" spans="1:8">
      <c r="A1796" t="s">
        <v>3430</v>
      </c>
      <c r="B1796" t="s">
        <v>642</v>
      </c>
      <c r="C1796" s="4">
        <v>46110</v>
      </c>
      <c r="D1796" t="s">
        <v>1625</v>
      </c>
      <c r="E1796" t="s">
        <v>1633</v>
      </c>
      <c r="F1796" s="5">
        <v>14.2</v>
      </c>
      <c r="G1796" t="s">
        <v>1630</v>
      </c>
      <c r="H1796">
        <v>4</v>
      </c>
    </row>
    <row r="1797" spans="1:8">
      <c r="A1797" t="s">
        <v>3431</v>
      </c>
      <c r="B1797" t="s">
        <v>1154</v>
      </c>
      <c r="C1797" s="4">
        <v>45209</v>
      </c>
      <c r="D1797" t="s">
        <v>1625</v>
      </c>
      <c r="E1797" t="s">
        <v>1629</v>
      </c>
      <c r="F1797" s="5">
        <v>6.9</v>
      </c>
      <c r="G1797" t="s">
        <v>1626</v>
      </c>
      <c r="H1797">
        <v>2</v>
      </c>
    </row>
    <row r="1798" spans="1:8">
      <c r="A1798" t="s">
        <v>3432</v>
      </c>
      <c r="B1798" t="s">
        <v>720</v>
      </c>
      <c r="C1798" s="4">
        <v>45711</v>
      </c>
      <c r="D1798" t="s">
        <v>1641</v>
      </c>
      <c r="E1798" t="s">
        <v>1633</v>
      </c>
      <c r="F1798" s="5">
        <v>15.7</v>
      </c>
      <c r="G1798" t="s">
        <v>1630</v>
      </c>
      <c r="H1798">
        <v>1</v>
      </c>
    </row>
    <row r="1799" spans="1:8">
      <c r="A1799" t="s">
        <v>3433</v>
      </c>
      <c r="B1799" t="s">
        <v>1466</v>
      </c>
      <c r="C1799" s="4">
        <v>45790</v>
      </c>
      <c r="D1799" t="s">
        <v>1655</v>
      </c>
      <c r="E1799" t="s">
        <v>1629</v>
      </c>
      <c r="F1799" s="5">
        <v>16.7</v>
      </c>
      <c r="G1799" t="s">
        <v>1630</v>
      </c>
      <c r="H1799">
        <v>2</v>
      </c>
    </row>
    <row r="1800" spans="1:8">
      <c r="A1800" t="s">
        <v>3434</v>
      </c>
      <c r="B1800" t="s">
        <v>1109</v>
      </c>
      <c r="C1800" s="4">
        <v>45400</v>
      </c>
      <c r="D1800" t="s">
        <v>1632</v>
      </c>
      <c r="E1800" t="s">
        <v>1609</v>
      </c>
      <c r="F1800" s="5">
        <v>7.6</v>
      </c>
      <c r="G1800" t="s">
        <v>1630</v>
      </c>
      <c r="H1800">
        <v>2</v>
      </c>
    </row>
    <row r="1801" spans="1:8">
      <c r="A1801" t="s">
        <v>3435</v>
      </c>
      <c r="B1801" t="s">
        <v>603</v>
      </c>
      <c r="C1801" s="4">
        <v>45478</v>
      </c>
      <c r="D1801" t="s">
        <v>1637</v>
      </c>
      <c r="E1801" t="s">
        <v>1609</v>
      </c>
      <c r="F1801" s="5">
        <v>1.1000000000000001</v>
      </c>
      <c r="G1801" t="s">
        <v>1630</v>
      </c>
      <c r="H1801">
        <v>4</v>
      </c>
    </row>
    <row r="1802" spans="1:8">
      <c r="A1802" t="s">
        <v>3436</v>
      </c>
      <c r="B1802" t="s">
        <v>1469</v>
      </c>
      <c r="C1802" s="4">
        <v>45687</v>
      </c>
      <c r="D1802" t="s">
        <v>1637</v>
      </c>
      <c r="E1802" t="s">
        <v>1605</v>
      </c>
      <c r="F1802" s="5">
        <v>1.3</v>
      </c>
      <c r="G1802" t="s">
        <v>1630</v>
      </c>
      <c r="H1802">
        <v>4</v>
      </c>
    </row>
    <row r="1803" spans="1:8">
      <c r="A1803" t="s">
        <v>3437</v>
      </c>
      <c r="B1803" t="s">
        <v>920</v>
      </c>
      <c r="C1803" s="4">
        <v>46053</v>
      </c>
      <c r="D1803" t="s">
        <v>1667</v>
      </c>
      <c r="E1803" t="s">
        <v>1609</v>
      </c>
      <c r="F1803" s="5">
        <v>2.7</v>
      </c>
      <c r="G1803" t="s">
        <v>1630</v>
      </c>
      <c r="H1803">
        <v>4</v>
      </c>
    </row>
    <row r="1804" spans="1:8">
      <c r="A1804" t="s">
        <v>3438</v>
      </c>
      <c r="B1804" t="s">
        <v>1285</v>
      </c>
      <c r="C1804" s="4">
        <v>46088</v>
      </c>
      <c r="D1804" t="s">
        <v>1641</v>
      </c>
      <c r="E1804" t="s">
        <v>1605</v>
      </c>
      <c r="F1804" s="5">
        <v>3.7</v>
      </c>
      <c r="G1804" t="s">
        <v>1626</v>
      </c>
      <c r="H1804">
        <v>2</v>
      </c>
    </row>
    <row r="1805" spans="1:8">
      <c r="A1805" t="s">
        <v>3439</v>
      </c>
      <c r="B1805" t="s">
        <v>1249</v>
      </c>
      <c r="C1805" s="4">
        <v>45033</v>
      </c>
      <c r="D1805" t="s">
        <v>1625</v>
      </c>
      <c r="E1805" t="s">
        <v>1605</v>
      </c>
      <c r="F1805" s="5">
        <v>2.1</v>
      </c>
      <c r="G1805" t="s">
        <v>1630</v>
      </c>
      <c r="H1805">
        <v>2</v>
      </c>
    </row>
    <row r="1806" spans="1:8">
      <c r="A1806" t="s">
        <v>3440</v>
      </c>
      <c r="B1806" t="s">
        <v>295</v>
      </c>
      <c r="C1806" s="4">
        <v>45526</v>
      </c>
      <c r="D1806" t="s">
        <v>1625</v>
      </c>
      <c r="E1806" t="s">
        <v>1605</v>
      </c>
      <c r="F1806" s="5">
        <v>11.9</v>
      </c>
      <c r="G1806" t="s">
        <v>1630</v>
      </c>
      <c r="H1806">
        <v>2</v>
      </c>
    </row>
    <row r="1807" spans="1:8">
      <c r="A1807" t="s">
        <v>3441</v>
      </c>
      <c r="B1807" t="s">
        <v>1245</v>
      </c>
      <c r="C1807" s="4">
        <v>45041</v>
      </c>
      <c r="D1807" t="s">
        <v>1667</v>
      </c>
      <c r="E1807" t="s">
        <v>1633</v>
      </c>
      <c r="F1807" s="5">
        <v>3</v>
      </c>
      <c r="G1807" t="s">
        <v>1630</v>
      </c>
      <c r="H1807">
        <v>4</v>
      </c>
    </row>
    <row r="1808" spans="1:8">
      <c r="A1808" t="s">
        <v>3442</v>
      </c>
      <c r="B1808" t="s">
        <v>955</v>
      </c>
      <c r="C1808" s="4">
        <v>45746</v>
      </c>
      <c r="D1808" t="s">
        <v>1655</v>
      </c>
      <c r="E1808" t="s">
        <v>1629</v>
      </c>
      <c r="F1808" s="5">
        <v>0.2</v>
      </c>
      <c r="G1808" t="s">
        <v>1630</v>
      </c>
      <c r="H1808">
        <v>2</v>
      </c>
    </row>
    <row r="1809" spans="1:8">
      <c r="A1809" t="s">
        <v>3443</v>
      </c>
      <c r="B1809" t="s">
        <v>1217</v>
      </c>
      <c r="C1809" s="4">
        <v>45214</v>
      </c>
      <c r="D1809" t="s">
        <v>1655</v>
      </c>
      <c r="E1809" t="s">
        <v>1648</v>
      </c>
      <c r="F1809" s="5">
        <v>4.4000000000000004</v>
      </c>
      <c r="G1809" t="s">
        <v>1630</v>
      </c>
      <c r="H1809">
        <v>1</v>
      </c>
    </row>
    <row r="1810" spans="1:8">
      <c r="A1810" t="s">
        <v>3444</v>
      </c>
      <c r="B1810" t="s">
        <v>382</v>
      </c>
      <c r="C1810" s="4">
        <v>45237</v>
      </c>
      <c r="D1810" t="s">
        <v>1628</v>
      </c>
      <c r="E1810" t="s">
        <v>1609</v>
      </c>
      <c r="F1810" s="5">
        <v>17.8</v>
      </c>
      <c r="G1810" t="s">
        <v>1630</v>
      </c>
      <c r="H1810">
        <v>5</v>
      </c>
    </row>
    <row r="1811" spans="1:8">
      <c r="A1811" t="s">
        <v>3445</v>
      </c>
      <c r="B1811" t="s">
        <v>663</v>
      </c>
      <c r="C1811" s="4">
        <v>45957</v>
      </c>
      <c r="D1811" t="s">
        <v>1637</v>
      </c>
      <c r="E1811" t="s">
        <v>1605</v>
      </c>
      <c r="F1811" s="5">
        <v>3.9</v>
      </c>
      <c r="G1811" t="s">
        <v>1630</v>
      </c>
      <c r="H1811">
        <v>5</v>
      </c>
    </row>
    <row r="1812" spans="1:8">
      <c r="A1812" t="s">
        <v>3446</v>
      </c>
      <c r="B1812" t="s">
        <v>504</v>
      </c>
      <c r="C1812" s="4">
        <v>45346</v>
      </c>
      <c r="D1812" t="s">
        <v>1667</v>
      </c>
      <c r="E1812" t="s">
        <v>1605</v>
      </c>
      <c r="F1812" s="5">
        <v>4.4000000000000004</v>
      </c>
      <c r="G1812" t="s">
        <v>1630</v>
      </c>
      <c r="H1812">
        <v>5</v>
      </c>
    </row>
    <row r="1813" spans="1:8">
      <c r="A1813" t="s">
        <v>3447</v>
      </c>
      <c r="B1813" t="s">
        <v>802</v>
      </c>
      <c r="C1813" s="4">
        <v>44973</v>
      </c>
      <c r="D1813" t="s">
        <v>1667</v>
      </c>
      <c r="E1813" t="s">
        <v>1648</v>
      </c>
      <c r="F1813" s="5">
        <v>1.5</v>
      </c>
      <c r="G1813" t="s">
        <v>1626</v>
      </c>
      <c r="H1813">
        <v>3</v>
      </c>
    </row>
    <row r="1814" spans="1:8">
      <c r="A1814" t="s">
        <v>3448</v>
      </c>
      <c r="B1814" t="s">
        <v>1123</v>
      </c>
      <c r="C1814" s="4">
        <v>45757</v>
      </c>
      <c r="D1814" t="s">
        <v>1641</v>
      </c>
      <c r="E1814" t="s">
        <v>1609</v>
      </c>
      <c r="F1814" s="5">
        <v>9.6</v>
      </c>
      <c r="G1814" t="s">
        <v>1630</v>
      </c>
      <c r="H1814">
        <v>3</v>
      </c>
    </row>
    <row r="1815" spans="1:8">
      <c r="A1815" t="s">
        <v>3449</v>
      </c>
      <c r="B1815" t="s">
        <v>1171</v>
      </c>
      <c r="C1815" s="4">
        <v>45445</v>
      </c>
      <c r="D1815" t="s">
        <v>1641</v>
      </c>
      <c r="E1815" t="s">
        <v>1633</v>
      </c>
      <c r="F1815" s="5">
        <v>17.7</v>
      </c>
      <c r="G1815" t="s">
        <v>1626</v>
      </c>
      <c r="H1815">
        <v>3</v>
      </c>
    </row>
    <row r="1816" spans="1:8">
      <c r="A1816" t="s">
        <v>3450</v>
      </c>
      <c r="B1816" t="s">
        <v>372</v>
      </c>
      <c r="C1816" s="4">
        <v>44976</v>
      </c>
      <c r="D1816" t="s">
        <v>1641</v>
      </c>
      <c r="E1816" t="s">
        <v>1633</v>
      </c>
      <c r="F1816" s="5">
        <v>19.899999999999999</v>
      </c>
      <c r="G1816" t="s">
        <v>1630</v>
      </c>
      <c r="H1816">
        <v>1</v>
      </c>
    </row>
    <row r="1817" spans="1:8">
      <c r="A1817" t="s">
        <v>3451</v>
      </c>
      <c r="B1817" t="s">
        <v>336</v>
      </c>
      <c r="C1817" s="4">
        <v>45311</v>
      </c>
      <c r="D1817" t="s">
        <v>1628</v>
      </c>
      <c r="E1817" t="s">
        <v>1648</v>
      </c>
      <c r="F1817" s="5">
        <v>3.7</v>
      </c>
      <c r="G1817" t="s">
        <v>1626</v>
      </c>
      <c r="H1817">
        <v>3</v>
      </c>
    </row>
    <row r="1818" spans="1:8">
      <c r="A1818" t="s">
        <v>3452</v>
      </c>
      <c r="B1818" t="s">
        <v>1544</v>
      </c>
      <c r="C1818" s="4">
        <v>45367</v>
      </c>
      <c r="D1818" t="s">
        <v>1625</v>
      </c>
      <c r="E1818" t="s">
        <v>1609</v>
      </c>
      <c r="F1818" s="5">
        <v>0.6</v>
      </c>
      <c r="G1818" t="s">
        <v>1626</v>
      </c>
      <c r="H1818">
        <v>2</v>
      </c>
    </row>
    <row r="1819" spans="1:8">
      <c r="A1819" t="s">
        <v>3453</v>
      </c>
      <c r="B1819" t="s">
        <v>816</v>
      </c>
      <c r="C1819" s="4">
        <v>45151</v>
      </c>
      <c r="D1819" t="s">
        <v>1641</v>
      </c>
      <c r="E1819" t="s">
        <v>1648</v>
      </c>
      <c r="F1819" s="5">
        <v>10.1</v>
      </c>
      <c r="G1819" t="s">
        <v>1626</v>
      </c>
      <c r="H1819">
        <v>3</v>
      </c>
    </row>
    <row r="1820" spans="1:8">
      <c r="A1820" t="s">
        <v>3454</v>
      </c>
      <c r="B1820" t="s">
        <v>227</v>
      </c>
      <c r="C1820" s="4">
        <v>46034</v>
      </c>
      <c r="D1820" t="s">
        <v>1637</v>
      </c>
      <c r="E1820" t="s">
        <v>1605</v>
      </c>
      <c r="F1820" s="5">
        <v>24.2</v>
      </c>
      <c r="G1820" t="s">
        <v>1630</v>
      </c>
      <c r="H1820">
        <v>5</v>
      </c>
    </row>
    <row r="1821" spans="1:8">
      <c r="A1821" t="s">
        <v>3455</v>
      </c>
      <c r="B1821" t="s">
        <v>1170</v>
      </c>
      <c r="C1821" s="4">
        <v>45000</v>
      </c>
      <c r="D1821" t="s">
        <v>1625</v>
      </c>
      <c r="E1821" t="s">
        <v>1609</v>
      </c>
      <c r="F1821" s="5">
        <v>0.5</v>
      </c>
      <c r="G1821" t="s">
        <v>1630</v>
      </c>
      <c r="H1821">
        <v>2</v>
      </c>
    </row>
    <row r="1822" spans="1:8">
      <c r="A1822" t="s">
        <v>3456</v>
      </c>
      <c r="B1822" t="s">
        <v>235</v>
      </c>
      <c r="C1822" s="4">
        <v>45640</v>
      </c>
      <c r="D1822" t="s">
        <v>1625</v>
      </c>
      <c r="E1822" t="s">
        <v>1648</v>
      </c>
      <c r="F1822" s="5">
        <v>3.3</v>
      </c>
      <c r="G1822" t="s">
        <v>1630</v>
      </c>
      <c r="H1822">
        <v>3</v>
      </c>
    </row>
    <row r="1823" spans="1:8">
      <c r="A1823" t="s">
        <v>3457</v>
      </c>
      <c r="B1823" t="s">
        <v>484</v>
      </c>
      <c r="C1823" s="4">
        <v>45996</v>
      </c>
      <c r="D1823" t="s">
        <v>1641</v>
      </c>
      <c r="E1823" t="s">
        <v>1609</v>
      </c>
      <c r="F1823" s="5">
        <v>2.6</v>
      </c>
      <c r="G1823" t="s">
        <v>1630</v>
      </c>
      <c r="H1823">
        <v>4</v>
      </c>
    </row>
    <row r="1824" spans="1:8">
      <c r="A1824" t="s">
        <v>3458</v>
      </c>
      <c r="B1824" t="s">
        <v>693</v>
      </c>
      <c r="C1824" s="4">
        <v>45865</v>
      </c>
      <c r="D1824" t="s">
        <v>1625</v>
      </c>
      <c r="E1824" t="s">
        <v>1648</v>
      </c>
      <c r="F1824" s="5">
        <v>0.4</v>
      </c>
      <c r="G1824" t="s">
        <v>1630</v>
      </c>
      <c r="H1824">
        <v>1</v>
      </c>
    </row>
    <row r="1825" spans="1:8">
      <c r="A1825" t="s">
        <v>3459</v>
      </c>
      <c r="B1825" t="s">
        <v>315</v>
      </c>
      <c r="C1825" s="4">
        <v>45752</v>
      </c>
      <c r="D1825" t="s">
        <v>1641</v>
      </c>
      <c r="E1825" t="s">
        <v>1633</v>
      </c>
      <c r="F1825" s="5">
        <v>3.8</v>
      </c>
      <c r="G1825" t="s">
        <v>1630</v>
      </c>
      <c r="H1825">
        <v>4</v>
      </c>
    </row>
    <row r="1826" spans="1:8">
      <c r="A1826" t="s">
        <v>3460</v>
      </c>
      <c r="B1826" t="s">
        <v>1434</v>
      </c>
      <c r="C1826" s="4">
        <v>45850</v>
      </c>
      <c r="D1826" t="s">
        <v>1641</v>
      </c>
      <c r="E1826" t="s">
        <v>1609</v>
      </c>
      <c r="F1826" s="5">
        <v>0.8</v>
      </c>
      <c r="G1826" t="s">
        <v>1626</v>
      </c>
      <c r="H1826">
        <v>1</v>
      </c>
    </row>
    <row r="1827" spans="1:8">
      <c r="A1827" t="s">
        <v>3461</v>
      </c>
      <c r="B1827" t="s">
        <v>414</v>
      </c>
      <c r="C1827" s="4">
        <v>45874</v>
      </c>
      <c r="D1827" t="s">
        <v>1655</v>
      </c>
      <c r="E1827" t="s">
        <v>1609</v>
      </c>
      <c r="F1827" s="5">
        <v>4.2</v>
      </c>
      <c r="G1827" t="s">
        <v>1630</v>
      </c>
      <c r="H1827">
        <v>5</v>
      </c>
    </row>
    <row r="1828" spans="1:8">
      <c r="A1828" t="s">
        <v>3462</v>
      </c>
      <c r="B1828" t="s">
        <v>1178</v>
      </c>
      <c r="C1828" s="4">
        <v>45345</v>
      </c>
      <c r="D1828" t="s">
        <v>1641</v>
      </c>
      <c r="E1828" t="s">
        <v>1609</v>
      </c>
      <c r="F1828" s="5">
        <v>4.5999999999999996</v>
      </c>
      <c r="G1828" t="s">
        <v>1630</v>
      </c>
      <c r="H1828">
        <v>5</v>
      </c>
    </row>
    <row r="1829" spans="1:8">
      <c r="A1829" t="s">
        <v>3463</v>
      </c>
      <c r="B1829" t="s">
        <v>1542</v>
      </c>
      <c r="C1829" s="4">
        <v>45724</v>
      </c>
      <c r="D1829" t="s">
        <v>1625</v>
      </c>
      <c r="E1829" t="s">
        <v>1648</v>
      </c>
      <c r="F1829" s="5">
        <v>30.4</v>
      </c>
      <c r="G1829" t="s">
        <v>1630</v>
      </c>
      <c r="H1829">
        <v>5</v>
      </c>
    </row>
    <row r="1830" spans="1:8">
      <c r="A1830" t="s">
        <v>3464</v>
      </c>
      <c r="B1830" t="s">
        <v>1070</v>
      </c>
      <c r="C1830" s="4">
        <v>45889</v>
      </c>
      <c r="D1830" t="s">
        <v>1655</v>
      </c>
      <c r="E1830" t="s">
        <v>1629</v>
      </c>
      <c r="F1830" s="5">
        <v>4.5999999999999996</v>
      </c>
      <c r="G1830" t="s">
        <v>1630</v>
      </c>
      <c r="H1830">
        <v>5</v>
      </c>
    </row>
    <row r="1831" spans="1:8">
      <c r="A1831" t="s">
        <v>3465</v>
      </c>
      <c r="B1831" t="s">
        <v>501</v>
      </c>
      <c r="C1831" s="4">
        <v>45334</v>
      </c>
      <c r="D1831" t="s">
        <v>1628</v>
      </c>
      <c r="E1831" t="s">
        <v>1609</v>
      </c>
      <c r="F1831" s="5">
        <v>5.2</v>
      </c>
      <c r="G1831" t="s">
        <v>1630</v>
      </c>
      <c r="H1831">
        <v>3</v>
      </c>
    </row>
    <row r="1832" spans="1:8">
      <c r="A1832" t="s">
        <v>3466</v>
      </c>
      <c r="B1832" t="s">
        <v>1463</v>
      </c>
      <c r="C1832" s="4">
        <v>44984</v>
      </c>
      <c r="D1832" t="s">
        <v>1625</v>
      </c>
      <c r="E1832" t="s">
        <v>1648</v>
      </c>
      <c r="F1832" s="5">
        <v>1.9</v>
      </c>
      <c r="G1832" t="s">
        <v>1630</v>
      </c>
      <c r="H1832">
        <v>3</v>
      </c>
    </row>
    <row r="1833" spans="1:8">
      <c r="A1833" t="s">
        <v>3467</v>
      </c>
      <c r="B1833" t="s">
        <v>1175</v>
      </c>
      <c r="C1833" s="4">
        <v>46031</v>
      </c>
      <c r="D1833" t="s">
        <v>1628</v>
      </c>
      <c r="E1833" t="s">
        <v>1633</v>
      </c>
      <c r="F1833" s="5">
        <v>4.4000000000000004</v>
      </c>
      <c r="G1833" t="s">
        <v>1630</v>
      </c>
      <c r="H1833">
        <v>2</v>
      </c>
    </row>
    <row r="1834" spans="1:8">
      <c r="A1834" t="s">
        <v>3468</v>
      </c>
      <c r="B1834" t="s">
        <v>1032</v>
      </c>
      <c r="C1834" s="4">
        <v>45683</v>
      </c>
      <c r="D1834" t="s">
        <v>1628</v>
      </c>
      <c r="E1834" t="s">
        <v>1605</v>
      </c>
      <c r="F1834" s="5">
        <v>35</v>
      </c>
      <c r="G1834" t="s">
        <v>1630</v>
      </c>
      <c r="H1834">
        <v>5</v>
      </c>
    </row>
    <row r="1835" spans="1:8">
      <c r="A1835" t="s">
        <v>3469</v>
      </c>
      <c r="B1835" t="s">
        <v>1348</v>
      </c>
      <c r="C1835" s="4">
        <v>45969</v>
      </c>
      <c r="D1835" t="s">
        <v>1628</v>
      </c>
      <c r="E1835" t="s">
        <v>1605</v>
      </c>
      <c r="F1835" s="5">
        <v>3.9</v>
      </c>
      <c r="G1835" t="s">
        <v>1630</v>
      </c>
      <c r="H1835">
        <v>1</v>
      </c>
    </row>
    <row r="1836" spans="1:8">
      <c r="A1836" t="s">
        <v>3470</v>
      </c>
      <c r="B1836" t="s">
        <v>929</v>
      </c>
      <c r="C1836" s="4">
        <v>45914</v>
      </c>
      <c r="D1836" t="s">
        <v>1625</v>
      </c>
      <c r="E1836" t="s">
        <v>1609</v>
      </c>
      <c r="F1836" s="5">
        <v>0.6</v>
      </c>
      <c r="G1836" t="s">
        <v>1630</v>
      </c>
      <c r="H1836">
        <v>3</v>
      </c>
    </row>
    <row r="1837" spans="1:8">
      <c r="A1837" t="s">
        <v>3471</v>
      </c>
      <c r="B1837" t="s">
        <v>1543</v>
      </c>
      <c r="C1837" s="4">
        <v>45798</v>
      </c>
      <c r="D1837" t="s">
        <v>1625</v>
      </c>
      <c r="E1837" t="s">
        <v>1629</v>
      </c>
      <c r="F1837" s="5">
        <v>7.4</v>
      </c>
      <c r="G1837" t="s">
        <v>1630</v>
      </c>
      <c r="H1837">
        <v>2</v>
      </c>
    </row>
    <row r="1838" spans="1:8">
      <c r="A1838" t="s">
        <v>3472</v>
      </c>
      <c r="B1838" t="s">
        <v>69</v>
      </c>
      <c r="C1838" s="4">
        <v>45237</v>
      </c>
      <c r="D1838" t="s">
        <v>1655</v>
      </c>
      <c r="E1838" t="s">
        <v>1633</v>
      </c>
      <c r="F1838" s="5">
        <v>1.8</v>
      </c>
      <c r="G1838" t="s">
        <v>1626</v>
      </c>
      <c r="H1838">
        <v>2</v>
      </c>
    </row>
    <row r="1839" spans="1:8">
      <c r="A1839" t="s">
        <v>3473</v>
      </c>
      <c r="B1839" t="s">
        <v>460</v>
      </c>
      <c r="C1839" s="4">
        <v>45907</v>
      </c>
      <c r="D1839" t="s">
        <v>1632</v>
      </c>
      <c r="E1839" t="s">
        <v>1629</v>
      </c>
      <c r="F1839" s="5">
        <v>7.2</v>
      </c>
      <c r="G1839" t="s">
        <v>1630</v>
      </c>
      <c r="H1839">
        <v>2</v>
      </c>
    </row>
    <row r="1840" spans="1:8">
      <c r="A1840" t="s">
        <v>3474</v>
      </c>
      <c r="B1840" t="s">
        <v>600</v>
      </c>
      <c r="C1840" s="4">
        <v>45575</v>
      </c>
      <c r="D1840" t="s">
        <v>1628</v>
      </c>
      <c r="E1840" t="s">
        <v>1633</v>
      </c>
      <c r="F1840" s="5">
        <v>13.3</v>
      </c>
      <c r="G1840" t="s">
        <v>1630</v>
      </c>
      <c r="H1840">
        <v>2</v>
      </c>
    </row>
    <row r="1841" spans="1:8">
      <c r="A1841" t="s">
        <v>3475</v>
      </c>
      <c r="B1841" t="s">
        <v>710</v>
      </c>
      <c r="C1841" s="4">
        <v>45184</v>
      </c>
      <c r="D1841" t="s">
        <v>1637</v>
      </c>
      <c r="E1841" t="s">
        <v>1633</v>
      </c>
      <c r="F1841" s="5">
        <v>23</v>
      </c>
      <c r="G1841" t="s">
        <v>1630</v>
      </c>
      <c r="H1841">
        <v>2</v>
      </c>
    </row>
    <row r="1842" spans="1:8">
      <c r="A1842" t="s">
        <v>3476</v>
      </c>
      <c r="B1842" t="s">
        <v>57</v>
      </c>
      <c r="C1842" s="4">
        <v>46041</v>
      </c>
      <c r="D1842" t="s">
        <v>1641</v>
      </c>
      <c r="E1842" t="s">
        <v>1605</v>
      </c>
      <c r="F1842" s="5">
        <v>22.7</v>
      </c>
      <c r="G1842" t="s">
        <v>1630</v>
      </c>
      <c r="H1842">
        <v>5</v>
      </c>
    </row>
    <row r="1843" spans="1:8">
      <c r="A1843" t="s">
        <v>3477</v>
      </c>
      <c r="B1843" t="s">
        <v>1538</v>
      </c>
      <c r="C1843" s="4">
        <v>45893</v>
      </c>
      <c r="D1843" t="s">
        <v>1628</v>
      </c>
      <c r="E1843" t="s">
        <v>1609</v>
      </c>
      <c r="F1843" s="5">
        <v>8.1</v>
      </c>
      <c r="G1843" t="s">
        <v>1630</v>
      </c>
      <c r="H1843">
        <v>2</v>
      </c>
    </row>
    <row r="1844" spans="1:8">
      <c r="A1844" t="s">
        <v>3478</v>
      </c>
      <c r="B1844" t="s">
        <v>1047</v>
      </c>
      <c r="C1844" s="4">
        <v>45268</v>
      </c>
      <c r="D1844" t="s">
        <v>1667</v>
      </c>
      <c r="E1844" t="s">
        <v>1629</v>
      </c>
      <c r="F1844" s="5">
        <v>5.0999999999999996</v>
      </c>
      <c r="G1844" t="s">
        <v>1626</v>
      </c>
      <c r="H1844">
        <v>1</v>
      </c>
    </row>
    <row r="1845" spans="1:8">
      <c r="A1845" t="s">
        <v>3479</v>
      </c>
      <c r="B1845" t="s">
        <v>349</v>
      </c>
      <c r="C1845" s="4">
        <v>45953</v>
      </c>
      <c r="D1845" t="s">
        <v>1625</v>
      </c>
      <c r="E1845" t="s">
        <v>1633</v>
      </c>
      <c r="F1845" s="5">
        <v>1.1000000000000001</v>
      </c>
      <c r="G1845" t="s">
        <v>1630</v>
      </c>
      <c r="H1845">
        <v>5</v>
      </c>
    </row>
    <row r="1846" spans="1:8">
      <c r="A1846" t="s">
        <v>3480</v>
      </c>
      <c r="B1846" t="s">
        <v>1535</v>
      </c>
      <c r="C1846" s="4">
        <v>45725</v>
      </c>
      <c r="D1846" t="s">
        <v>1628</v>
      </c>
      <c r="E1846" t="s">
        <v>1648</v>
      </c>
      <c r="F1846" s="5">
        <v>0.5</v>
      </c>
      <c r="G1846" t="s">
        <v>1630</v>
      </c>
      <c r="H1846">
        <v>1</v>
      </c>
    </row>
    <row r="1847" spans="1:8">
      <c r="A1847" t="s">
        <v>3481</v>
      </c>
      <c r="B1847" t="s">
        <v>397</v>
      </c>
      <c r="C1847" s="4">
        <v>45076</v>
      </c>
      <c r="D1847" t="s">
        <v>1628</v>
      </c>
      <c r="E1847" t="s">
        <v>1605</v>
      </c>
      <c r="F1847" s="5">
        <v>10.1</v>
      </c>
      <c r="G1847" t="s">
        <v>1630</v>
      </c>
      <c r="H1847">
        <v>2</v>
      </c>
    </row>
    <row r="1848" spans="1:8">
      <c r="A1848" t="s">
        <v>3482</v>
      </c>
      <c r="B1848" t="s">
        <v>668</v>
      </c>
      <c r="C1848" s="4">
        <v>45521</v>
      </c>
      <c r="D1848" t="s">
        <v>1641</v>
      </c>
      <c r="E1848" t="s">
        <v>1609</v>
      </c>
      <c r="F1848" s="5">
        <v>3.4</v>
      </c>
      <c r="G1848" t="s">
        <v>1630</v>
      </c>
      <c r="H1848">
        <v>4</v>
      </c>
    </row>
    <row r="1849" spans="1:8">
      <c r="A1849" t="s">
        <v>3483</v>
      </c>
      <c r="B1849" t="s">
        <v>930</v>
      </c>
      <c r="C1849" s="4">
        <v>45119</v>
      </c>
      <c r="D1849" t="s">
        <v>1632</v>
      </c>
      <c r="E1849" t="s">
        <v>1629</v>
      </c>
      <c r="F1849" s="5">
        <v>21.8</v>
      </c>
      <c r="G1849" t="s">
        <v>1630</v>
      </c>
      <c r="H1849">
        <v>5</v>
      </c>
    </row>
    <row r="1850" spans="1:8">
      <c r="A1850" t="s">
        <v>3484</v>
      </c>
      <c r="B1850" t="s">
        <v>1160</v>
      </c>
      <c r="C1850" s="4">
        <v>45899</v>
      </c>
      <c r="D1850" t="s">
        <v>1628</v>
      </c>
      <c r="E1850" t="s">
        <v>1633</v>
      </c>
      <c r="F1850" s="5">
        <v>9.9</v>
      </c>
      <c r="G1850" t="s">
        <v>1630</v>
      </c>
      <c r="H1850">
        <v>4</v>
      </c>
    </row>
    <row r="1851" spans="1:8">
      <c r="A1851" t="s">
        <v>3485</v>
      </c>
      <c r="B1851" t="s">
        <v>835</v>
      </c>
      <c r="C1851" s="4">
        <v>45859</v>
      </c>
      <c r="D1851" t="s">
        <v>1625</v>
      </c>
      <c r="E1851" t="s">
        <v>1609</v>
      </c>
      <c r="F1851" s="5">
        <v>7.5</v>
      </c>
      <c r="G1851" t="s">
        <v>1630</v>
      </c>
      <c r="H1851">
        <v>4</v>
      </c>
    </row>
    <row r="1852" spans="1:8">
      <c r="A1852" t="s">
        <v>3486</v>
      </c>
      <c r="B1852" t="s">
        <v>1006</v>
      </c>
      <c r="C1852" s="4">
        <v>45407</v>
      </c>
      <c r="D1852" t="s">
        <v>1628</v>
      </c>
      <c r="E1852" t="s">
        <v>1633</v>
      </c>
      <c r="F1852" s="5">
        <v>0.2</v>
      </c>
      <c r="G1852" t="s">
        <v>1630</v>
      </c>
      <c r="H1852">
        <v>3</v>
      </c>
    </row>
    <row r="1853" spans="1:8">
      <c r="A1853" t="s">
        <v>3487</v>
      </c>
      <c r="B1853" t="s">
        <v>409</v>
      </c>
      <c r="C1853" s="4">
        <v>45257</v>
      </c>
      <c r="D1853" t="s">
        <v>1667</v>
      </c>
      <c r="E1853" t="s">
        <v>1633</v>
      </c>
      <c r="F1853" s="5">
        <v>23.2</v>
      </c>
      <c r="G1853" t="s">
        <v>1626</v>
      </c>
      <c r="H1853">
        <v>2</v>
      </c>
    </row>
    <row r="1854" spans="1:8">
      <c r="A1854" t="s">
        <v>3488</v>
      </c>
      <c r="B1854" t="s">
        <v>1231</v>
      </c>
      <c r="C1854" s="4">
        <v>45673</v>
      </c>
      <c r="D1854" t="s">
        <v>1628</v>
      </c>
      <c r="E1854" t="s">
        <v>1629</v>
      </c>
      <c r="F1854" s="5">
        <v>7.8</v>
      </c>
      <c r="G1854" t="s">
        <v>1626</v>
      </c>
      <c r="H1854">
        <v>1</v>
      </c>
    </row>
    <row r="1855" spans="1:8">
      <c r="A1855" t="s">
        <v>3489</v>
      </c>
      <c r="B1855" t="s">
        <v>362</v>
      </c>
      <c r="C1855" s="4">
        <v>45107</v>
      </c>
      <c r="D1855" t="s">
        <v>1641</v>
      </c>
      <c r="E1855" t="s">
        <v>1633</v>
      </c>
      <c r="F1855" s="5">
        <v>2.2000000000000002</v>
      </c>
      <c r="G1855" t="s">
        <v>1630</v>
      </c>
      <c r="H1855">
        <v>1</v>
      </c>
    </row>
    <row r="1856" spans="1:8">
      <c r="A1856" t="s">
        <v>3490</v>
      </c>
      <c r="B1856" t="s">
        <v>915</v>
      </c>
      <c r="C1856" s="4">
        <v>44970</v>
      </c>
      <c r="D1856" t="s">
        <v>1625</v>
      </c>
      <c r="E1856" t="s">
        <v>1633</v>
      </c>
      <c r="F1856" s="5">
        <v>5.2</v>
      </c>
      <c r="G1856" t="s">
        <v>1630</v>
      </c>
      <c r="H1856">
        <v>1</v>
      </c>
    </row>
    <row r="1857" spans="1:8">
      <c r="A1857" t="s">
        <v>3491</v>
      </c>
      <c r="B1857" t="s">
        <v>1337</v>
      </c>
      <c r="C1857" s="4">
        <v>45160</v>
      </c>
      <c r="D1857" t="s">
        <v>1625</v>
      </c>
      <c r="E1857" t="s">
        <v>1648</v>
      </c>
      <c r="F1857" s="5">
        <v>1</v>
      </c>
      <c r="G1857" t="s">
        <v>1626</v>
      </c>
      <c r="H1857">
        <v>2</v>
      </c>
    </row>
    <row r="1858" spans="1:8">
      <c r="A1858" t="s">
        <v>3492</v>
      </c>
      <c r="B1858" t="s">
        <v>175</v>
      </c>
      <c r="C1858" s="4">
        <v>45123</v>
      </c>
      <c r="D1858" t="s">
        <v>1628</v>
      </c>
      <c r="E1858" t="s">
        <v>1629</v>
      </c>
      <c r="F1858" s="5">
        <v>9.9</v>
      </c>
      <c r="G1858" t="s">
        <v>1626</v>
      </c>
      <c r="H1858">
        <v>2</v>
      </c>
    </row>
    <row r="1859" spans="1:8">
      <c r="A1859" t="s">
        <v>3493</v>
      </c>
      <c r="B1859" t="s">
        <v>84</v>
      </c>
      <c r="C1859" s="4">
        <v>44989</v>
      </c>
      <c r="D1859" t="s">
        <v>1641</v>
      </c>
      <c r="E1859" t="s">
        <v>1605</v>
      </c>
      <c r="F1859" s="5">
        <v>4.0999999999999996</v>
      </c>
      <c r="G1859" t="s">
        <v>1630</v>
      </c>
      <c r="H1859">
        <v>2</v>
      </c>
    </row>
    <row r="1860" spans="1:8">
      <c r="A1860" t="s">
        <v>3494</v>
      </c>
      <c r="B1860" t="s">
        <v>1214</v>
      </c>
      <c r="C1860" s="4">
        <v>45462</v>
      </c>
      <c r="D1860" t="s">
        <v>1655</v>
      </c>
      <c r="E1860" t="s">
        <v>1633</v>
      </c>
      <c r="F1860" s="5">
        <v>7.3</v>
      </c>
      <c r="G1860" t="s">
        <v>1626</v>
      </c>
      <c r="H1860">
        <v>1</v>
      </c>
    </row>
    <row r="1861" spans="1:8">
      <c r="A1861" t="s">
        <v>3495</v>
      </c>
      <c r="B1861" t="s">
        <v>538</v>
      </c>
      <c r="C1861" s="4">
        <v>45579</v>
      </c>
      <c r="D1861" t="s">
        <v>1625</v>
      </c>
      <c r="E1861" t="s">
        <v>1648</v>
      </c>
      <c r="F1861" s="5">
        <v>10</v>
      </c>
      <c r="G1861" t="s">
        <v>1630</v>
      </c>
      <c r="H1861">
        <v>1</v>
      </c>
    </row>
    <row r="1862" spans="1:8">
      <c r="A1862" t="s">
        <v>3496</v>
      </c>
      <c r="B1862" t="s">
        <v>1115</v>
      </c>
      <c r="C1862" s="4">
        <v>45309</v>
      </c>
      <c r="D1862" t="s">
        <v>1628</v>
      </c>
      <c r="E1862" t="s">
        <v>1648</v>
      </c>
      <c r="F1862" s="5">
        <v>4.0999999999999996</v>
      </c>
      <c r="G1862" t="s">
        <v>1630</v>
      </c>
      <c r="H1862">
        <v>3</v>
      </c>
    </row>
    <row r="1863" spans="1:8">
      <c r="A1863" t="s">
        <v>3497</v>
      </c>
      <c r="B1863" t="s">
        <v>806</v>
      </c>
      <c r="C1863" s="4">
        <v>45423</v>
      </c>
      <c r="D1863" t="s">
        <v>1667</v>
      </c>
      <c r="E1863" t="s">
        <v>1648</v>
      </c>
      <c r="F1863" s="5">
        <v>20.6</v>
      </c>
      <c r="G1863" t="s">
        <v>1626</v>
      </c>
      <c r="H1863">
        <v>2</v>
      </c>
    </row>
    <row r="1864" spans="1:8">
      <c r="A1864" t="s">
        <v>3498</v>
      </c>
      <c r="B1864" t="s">
        <v>1449</v>
      </c>
      <c r="C1864" s="4">
        <v>45507</v>
      </c>
      <c r="D1864" t="s">
        <v>1632</v>
      </c>
      <c r="E1864" t="s">
        <v>1605</v>
      </c>
      <c r="F1864" s="5">
        <v>13.4</v>
      </c>
      <c r="G1864" t="s">
        <v>1630</v>
      </c>
      <c r="H1864">
        <v>2</v>
      </c>
    </row>
    <row r="1865" spans="1:8">
      <c r="A1865" t="s">
        <v>3499</v>
      </c>
      <c r="B1865" t="s">
        <v>290</v>
      </c>
      <c r="C1865" s="4">
        <v>45940</v>
      </c>
      <c r="D1865" t="s">
        <v>1632</v>
      </c>
      <c r="E1865" t="s">
        <v>1629</v>
      </c>
      <c r="F1865" s="5">
        <v>4.4000000000000004</v>
      </c>
      <c r="G1865" t="s">
        <v>1630</v>
      </c>
      <c r="H1865">
        <v>5</v>
      </c>
    </row>
    <row r="1866" spans="1:8">
      <c r="A1866" t="s">
        <v>3500</v>
      </c>
      <c r="B1866" t="s">
        <v>389</v>
      </c>
      <c r="C1866" s="4">
        <v>45562</v>
      </c>
      <c r="D1866" t="s">
        <v>1625</v>
      </c>
      <c r="E1866" t="s">
        <v>1633</v>
      </c>
      <c r="F1866" s="5">
        <v>2.5</v>
      </c>
      <c r="G1866" t="s">
        <v>1626</v>
      </c>
      <c r="H1866">
        <v>1</v>
      </c>
    </row>
    <row r="1867" spans="1:8">
      <c r="A1867" t="s">
        <v>3501</v>
      </c>
      <c r="B1867" t="s">
        <v>1281</v>
      </c>
      <c r="C1867" s="4">
        <v>45947</v>
      </c>
      <c r="D1867" t="s">
        <v>1632</v>
      </c>
      <c r="E1867" t="s">
        <v>1633</v>
      </c>
      <c r="F1867" s="5">
        <v>0.2</v>
      </c>
      <c r="G1867" t="s">
        <v>1630</v>
      </c>
      <c r="H1867">
        <v>2</v>
      </c>
    </row>
    <row r="1868" spans="1:8">
      <c r="A1868" t="s">
        <v>3502</v>
      </c>
      <c r="B1868" t="s">
        <v>127</v>
      </c>
      <c r="C1868" s="4">
        <v>46045</v>
      </c>
      <c r="D1868" t="s">
        <v>1625</v>
      </c>
      <c r="E1868" t="s">
        <v>1609</v>
      </c>
      <c r="F1868" s="5">
        <v>0.7</v>
      </c>
      <c r="G1868" t="s">
        <v>1630</v>
      </c>
      <c r="H1868">
        <v>4</v>
      </c>
    </row>
    <row r="1869" spans="1:8">
      <c r="A1869" t="s">
        <v>3503</v>
      </c>
      <c r="B1869" t="s">
        <v>1375</v>
      </c>
      <c r="C1869" s="4">
        <v>44962</v>
      </c>
      <c r="D1869" t="s">
        <v>1625</v>
      </c>
      <c r="E1869" t="s">
        <v>1648</v>
      </c>
      <c r="F1869" s="5">
        <v>0.2</v>
      </c>
      <c r="G1869" t="s">
        <v>1630</v>
      </c>
      <c r="H1869">
        <v>3</v>
      </c>
    </row>
    <row r="1870" spans="1:8">
      <c r="A1870" t="s">
        <v>3504</v>
      </c>
      <c r="B1870" t="s">
        <v>514</v>
      </c>
      <c r="C1870" s="4">
        <v>45220</v>
      </c>
      <c r="D1870" t="s">
        <v>1641</v>
      </c>
      <c r="E1870" t="s">
        <v>1609</v>
      </c>
      <c r="F1870" s="5">
        <v>4.0999999999999996</v>
      </c>
      <c r="G1870" t="s">
        <v>1630</v>
      </c>
      <c r="H1870">
        <v>1</v>
      </c>
    </row>
    <row r="1871" spans="1:8">
      <c r="A1871" t="s">
        <v>3505</v>
      </c>
      <c r="B1871" t="s">
        <v>1482</v>
      </c>
      <c r="C1871" s="4">
        <v>45332</v>
      </c>
      <c r="D1871" t="s">
        <v>1667</v>
      </c>
      <c r="E1871" t="s">
        <v>1633</v>
      </c>
      <c r="F1871" s="5">
        <v>18.3</v>
      </c>
      <c r="G1871" t="s">
        <v>1626</v>
      </c>
      <c r="H1871">
        <v>1</v>
      </c>
    </row>
    <row r="1872" spans="1:8">
      <c r="A1872" t="s">
        <v>3506</v>
      </c>
      <c r="B1872" t="s">
        <v>802</v>
      </c>
      <c r="C1872" s="4">
        <v>46152</v>
      </c>
      <c r="D1872" t="s">
        <v>1632</v>
      </c>
      <c r="E1872" t="s">
        <v>1605</v>
      </c>
      <c r="F1872" s="5">
        <v>13.4</v>
      </c>
      <c r="G1872" t="s">
        <v>1630</v>
      </c>
      <c r="H1872">
        <v>1</v>
      </c>
    </row>
    <row r="1873" spans="1:8">
      <c r="A1873" t="s">
        <v>3507</v>
      </c>
      <c r="B1873" t="s">
        <v>220</v>
      </c>
      <c r="C1873" s="4">
        <v>45004</v>
      </c>
      <c r="D1873" t="s">
        <v>1641</v>
      </c>
      <c r="E1873" t="s">
        <v>1648</v>
      </c>
      <c r="F1873" s="5">
        <v>13.8</v>
      </c>
      <c r="G1873" t="s">
        <v>1630</v>
      </c>
      <c r="H1873">
        <v>1</v>
      </c>
    </row>
    <row r="1874" spans="1:8">
      <c r="A1874" t="s">
        <v>3508</v>
      </c>
      <c r="B1874" t="s">
        <v>1043</v>
      </c>
      <c r="C1874" s="4">
        <v>45835</v>
      </c>
      <c r="D1874" t="s">
        <v>1641</v>
      </c>
      <c r="E1874" t="s">
        <v>1609</v>
      </c>
      <c r="F1874" s="5">
        <v>13.3</v>
      </c>
      <c r="G1874" t="s">
        <v>1630</v>
      </c>
      <c r="H1874">
        <v>5</v>
      </c>
    </row>
    <row r="1875" spans="1:8">
      <c r="A1875" t="s">
        <v>3509</v>
      </c>
      <c r="B1875" t="s">
        <v>1585</v>
      </c>
      <c r="C1875" s="4">
        <v>45018</v>
      </c>
      <c r="D1875" t="s">
        <v>1628</v>
      </c>
      <c r="E1875" t="s">
        <v>1605</v>
      </c>
      <c r="F1875" s="5">
        <v>3.3</v>
      </c>
      <c r="G1875" t="s">
        <v>1626</v>
      </c>
      <c r="H1875">
        <v>1</v>
      </c>
    </row>
    <row r="1876" spans="1:8">
      <c r="A1876" t="s">
        <v>3510</v>
      </c>
      <c r="B1876" t="s">
        <v>734</v>
      </c>
      <c r="C1876" s="4">
        <v>46040</v>
      </c>
      <c r="D1876" t="s">
        <v>1637</v>
      </c>
      <c r="E1876" t="s">
        <v>1648</v>
      </c>
      <c r="F1876" s="5">
        <v>11.3</v>
      </c>
      <c r="G1876" t="s">
        <v>1630</v>
      </c>
      <c r="H1876">
        <v>1</v>
      </c>
    </row>
    <row r="1877" spans="1:8">
      <c r="A1877" t="s">
        <v>3511</v>
      </c>
      <c r="B1877" t="s">
        <v>1148</v>
      </c>
      <c r="C1877" s="4">
        <v>45398</v>
      </c>
      <c r="D1877" t="s">
        <v>1628</v>
      </c>
      <c r="E1877" t="s">
        <v>1633</v>
      </c>
      <c r="F1877" s="5">
        <v>9.8000000000000007</v>
      </c>
      <c r="G1877" t="s">
        <v>1630</v>
      </c>
      <c r="H1877">
        <v>4</v>
      </c>
    </row>
    <row r="1878" spans="1:8">
      <c r="A1878" t="s">
        <v>3512</v>
      </c>
      <c r="B1878" t="s">
        <v>866</v>
      </c>
      <c r="C1878" s="4">
        <v>45108</v>
      </c>
      <c r="D1878" t="s">
        <v>1628</v>
      </c>
      <c r="E1878" t="s">
        <v>1629</v>
      </c>
      <c r="F1878" s="5">
        <v>4</v>
      </c>
      <c r="G1878" t="s">
        <v>1630</v>
      </c>
      <c r="H1878">
        <v>1</v>
      </c>
    </row>
    <row r="1879" spans="1:8">
      <c r="A1879" t="s">
        <v>3513</v>
      </c>
      <c r="B1879" t="s">
        <v>989</v>
      </c>
      <c r="C1879" s="4">
        <v>45095</v>
      </c>
      <c r="D1879" t="s">
        <v>1628</v>
      </c>
      <c r="E1879" t="s">
        <v>1605</v>
      </c>
      <c r="F1879" s="5">
        <v>9</v>
      </c>
      <c r="G1879" t="s">
        <v>1630</v>
      </c>
      <c r="H1879">
        <v>1</v>
      </c>
    </row>
    <row r="1880" spans="1:8">
      <c r="A1880" t="s">
        <v>3514</v>
      </c>
      <c r="B1880" t="s">
        <v>757</v>
      </c>
      <c r="C1880" s="4">
        <v>46098</v>
      </c>
      <c r="D1880" t="s">
        <v>1625</v>
      </c>
      <c r="E1880" t="s">
        <v>1629</v>
      </c>
      <c r="F1880" s="5">
        <v>18</v>
      </c>
      <c r="G1880" t="s">
        <v>1626</v>
      </c>
      <c r="H1880">
        <v>2</v>
      </c>
    </row>
    <row r="1881" spans="1:8">
      <c r="A1881" t="s">
        <v>3515</v>
      </c>
      <c r="B1881" t="s">
        <v>1442</v>
      </c>
      <c r="C1881" s="4">
        <v>44934</v>
      </c>
      <c r="D1881" t="s">
        <v>1637</v>
      </c>
      <c r="E1881" t="s">
        <v>1605</v>
      </c>
      <c r="F1881" s="5">
        <v>0.6</v>
      </c>
      <c r="G1881" t="s">
        <v>1626</v>
      </c>
      <c r="H1881">
        <v>1</v>
      </c>
    </row>
    <row r="1882" spans="1:8">
      <c r="A1882" t="s">
        <v>3516</v>
      </c>
      <c r="B1882" t="s">
        <v>173</v>
      </c>
      <c r="C1882" s="4">
        <v>45641</v>
      </c>
      <c r="D1882" t="s">
        <v>1632</v>
      </c>
      <c r="E1882" t="s">
        <v>1605</v>
      </c>
      <c r="F1882" s="5">
        <v>9</v>
      </c>
      <c r="G1882" t="s">
        <v>1630</v>
      </c>
      <c r="H1882">
        <v>1</v>
      </c>
    </row>
    <row r="1883" spans="1:8">
      <c r="A1883" t="s">
        <v>3517</v>
      </c>
      <c r="B1883" t="s">
        <v>1460</v>
      </c>
      <c r="C1883" s="4">
        <v>45813</v>
      </c>
      <c r="D1883" t="s">
        <v>1641</v>
      </c>
      <c r="E1883" t="s">
        <v>1605</v>
      </c>
      <c r="F1883" s="5">
        <v>7.4</v>
      </c>
      <c r="G1883" t="s">
        <v>1630</v>
      </c>
      <c r="H1883">
        <v>3</v>
      </c>
    </row>
    <row r="1884" spans="1:8">
      <c r="A1884" t="s">
        <v>3518</v>
      </c>
      <c r="B1884" t="s">
        <v>384</v>
      </c>
      <c r="C1884" s="4">
        <v>45120</v>
      </c>
      <c r="D1884" t="s">
        <v>1641</v>
      </c>
      <c r="E1884" t="s">
        <v>1609</v>
      </c>
      <c r="F1884" s="5">
        <v>11</v>
      </c>
      <c r="G1884" t="s">
        <v>1630</v>
      </c>
      <c r="H1884">
        <v>4</v>
      </c>
    </row>
    <row r="1885" spans="1:8">
      <c r="A1885" t="s">
        <v>3519</v>
      </c>
      <c r="B1885" t="s">
        <v>1124</v>
      </c>
      <c r="C1885" s="4">
        <v>45403</v>
      </c>
      <c r="D1885" t="s">
        <v>1641</v>
      </c>
      <c r="E1885" t="s">
        <v>1629</v>
      </c>
      <c r="F1885" s="5">
        <v>10.6</v>
      </c>
      <c r="G1885" t="s">
        <v>1630</v>
      </c>
      <c r="H1885">
        <v>1</v>
      </c>
    </row>
    <row r="1886" spans="1:8">
      <c r="A1886" t="s">
        <v>3520</v>
      </c>
      <c r="B1886" t="s">
        <v>1332</v>
      </c>
      <c r="C1886" s="4">
        <v>45139</v>
      </c>
      <c r="D1886" t="s">
        <v>1625</v>
      </c>
      <c r="E1886" t="s">
        <v>1629</v>
      </c>
      <c r="F1886" s="5">
        <v>4.5</v>
      </c>
      <c r="G1886" t="s">
        <v>1630</v>
      </c>
      <c r="H1886">
        <v>1</v>
      </c>
    </row>
    <row r="1887" spans="1:8">
      <c r="A1887" t="s">
        <v>3521</v>
      </c>
      <c r="B1887" t="s">
        <v>985</v>
      </c>
      <c r="C1887" s="4">
        <v>45941</v>
      </c>
      <c r="D1887" t="s">
        <v>1641</v>
      </c>
      <c r="E1887" t="s">
        <v>1605</v>
      </c>
      <c r="F1887" s="5">
        <v>8.6</v>
      </c>
      <c r="G1887" t="s">
        <v>1630</v>
      </c>
      <c r="H1887">
        <v>2</v>
      </c>
    </row>
    <row r="1888" spans="1:8">
      <c r="A1888" t="s">
        <v>3522</v>
      </c>
      <c r="B1888" t="s">
        <v>844</v>
      </c>
      <c r="C1888" s="4">
        <v>45410</v>
      </c>
      <c r="D1888" t="s">
        <v>1625</v>
      </c>
      <c r="E1888" t="s">
        <v>1648</v>
      </c>
      <c r="F1888" s="5">
        <v>18.899999999999999</v>
      </c>
      <c r="G1888" t="s">
        <v>1630</v>
      </c>
      <c r="H1888">
        <v>1</v>
      </c>
    </row>
    <row r="1889" spans="1:8">
      <c r="A1889" t="s">
        <v>3523</v>
      </c>
      <c r="B1889" t="s">
        <v>281</v>
      </c>
      <c r="C1889" s="4">
        <v>45739</v>
      </c>
      <c r="D1889" t="s">
        <v>1637</v>
      </c>
      <c r="E1889" t="s">
        <v>1605</v>
      </c>
      <c r="F1889" s="5">
        <v>4.9000000000000004</v>
      </c>
      <c r="G1889" t="s">
        <v>1630</v>
      </c>
      <c r="H1889">
        <v>5</v>
      </c>
    </row>
    <row r="1890" spans="1:8">
      <c r="A1890" t="s">
        <v>3524</v>
      </c>
      <c r="B1890" t="s">
        <v>421</v>
      </c>
      <c r="C1890" s="4">
        <v>45303</v>
      </c>
      <c r="D1890" t="s">
        <v>1625</v>
      </c>
      <c r="E1890" t="s">
        <v>1629</v>
      </c>
      <c r="F1890" s="5">
        <v>4.7</v>
      </c>
      <c r="G1890" t="s">
        <v>1626</v>
      </c>
      <c r="H1890">
        <v>3</v>
      </c>
    </row>
    <row r="1891" spans="1:8">
      <c r="A1891" t="s">
        <v>3525</v>
      </c>
      <c r="B1891" t="s">
        <v>92</v>
      </c>
      <c r="C1891" s="4">
        <v>46094</v>
      </c>
      <c r="D1891" t="s">
        <v>1632</v>
      </c>
      <c r="E1891" t="s">
        <v>1605</v>
      </c>
      <c r="F1891" s="5">
        <v>4.7</v>
      </c>
      <c r="G1891" t="s">
        <v>1630</v>
      </c>
      <c r="H1891">
        <v>4</v>
      </c>
    </row>
    <row r="1892" spans="1:8">
      <c r="A1892" t="s">
        <v>3526</v>
      </c>
      <c r="B1892" t="s">
        <v>1407</v>
      </c>
      <c r="C1892" s="4">
        <v>45592</v>
      </c>
      <c r="D1892" t="s">
        <v>1628</v>
      </c>
      <c r="E1892" t="s">
        <v>1648</v>
      </c>
      <c r="F1892" s="5">
        <v>19.899999999999999</v>
      </c>
      <c r="G1892" t="s">
        <v>1630</v>
      </c>
      <c r="H1892">
        <v>5</v>
      </c>
    </row>
    <row r="1893" spans="1:8">
      <c r="A1893" t="s">
        <v>3527</v>
      </c>
      <c r="B1893" t="s">
        <v>1585</v>
      </c>
      <c r="C1893" s="4">
        <v>44928</v>
      </c>
      <c r="D1893" t="s">
        <v>1641</v>
      </c>
      <c r="E1893" t="s">
        <v>1648</v>
      </c>
      <c r="F1893" s="5">
        <v>7</v>
      </c>
      <c r="G1893" t="s">
        <v>1630</v>
      </c>
      <c r="H1893">
        <v>5</v>
      </c>
    </row>
    <row r="1894" spans="1:8">
      <c r="A1894" t="s">
        <v>3528</v>
      </c>
      <c r="B1894" t="s">
        <v>1021</v>
      </c>
      <c r="C1894" s="4">
        <v>45144</v>
      </c>
      <c r="D1894" t="s">
        <v>1628</v>
      </c>
      <c r="E1894" t="s">
        <v>1633</v>
      </c>
      <c r="F1894" s="5">
        <v>7.8</v>
      </c>
      <c r="G1894" t="s">
        <v>1630</v>
      </c>
      <c r="H1894">
        <v>2</v>
      </c>
    </row>
    <row r="1895" spans="1:8">
      <c r="A1895" t="s">
        <v>3529</v>
      </c>
      <c r="B1895" t="s">
        <v>881</v>
      </c>
      <c r="C1895" s="4">
        <v>45587</v>
      </c>
      <c r="D1895" t="s">
        <v>1667</v>
      </c>
      <c r="E1895" t="s">
        <v>1629</v>
      </c>
      <c r="F1895" s="5">
        <v>3.8</v>
      </c>
      <c r="G1895" t="s">
        <v>1630</v>
      </c>
      <c r="H1895">
        <v>2</v>
      </c>
    </row>
    <row r="1896" spans="1:8">
      <c r="A1896" t="s">
        <v>3530</v>
      </c>
      <c r="B1896" t="s">
        <v>1524</v>
      </c>
      <c r="C1896" s="4">
        <v>46067</v>
      </c>
      <c r="D1896" t="s">
        <v>1625</v>
      </c>
      <c r="E1896" t="s">
        <v>1648</v>
      </c>
      <c r="F1896" s="5">
        <v>0.2</v>
      </c>
      <c r="G1896" t="s">
        <v>1630</v>
      </c>
      <c r="H1896">
        <v>1</v>
      </c>
    </row>
    <row r="1897" spans="1:8">
      <c r="A1897" t="s">
        <v>3531</v>
      </c>
      <c r="B1897" t="s">
        <v>1531</v>
      </c>
      <c r="C1897" s="4">
        <v>45522</v>
      </c>
      <c r="D1897" t="s">
        <v>1628</v>
      </c>
      <c r="E1897" t="s">
        <v>1629</v>
      </c>
      <c r="F1897" s="5">
        <v>0.9</v>
      </c>
      <c r="G1897" t="s">
        <v>1626</v>
      </c>
      <c r="H1897">
        <v>2</v>
      </c>
    </row>
    <row r="1898" spans="1:8">
      <c r="A1898" t="s">
        <v>3532</v>
      </c>
      <c r="B1898" t="s">
        <v>726</v>
      </c>
      <c r="C1898" s="4">
        <v>45915</v>
      </c>
      <c r="D1898" t="s">
        <v>1641</v>
      </c>
      <c r="E1898" t="s">
        <v>1605</v>
      </c>
      <c r="F1898" s="5">
        <v>6.8</v>
      </c>
      <c r="G1898" t="s">
        <v>1626</v>
      </c>
      <c r="H1898">
        <v>1</v>
      </c>
    </row>
    <row r="1899" spans="1:8">
      <c r="A1899" t="s">
        <v>3533</v>
      </c>
      <c r="B1899" t="s">
        <v>1099</v>
      </c>
      <c r="C1899" s="4">
        <v>45648</v>
      </c>
      <c r="D1899" t="s">
        <v>1637</v>
      </c>
      <c r="E1899" t="s">
        <v>1633</v>
      </c>
      <c r="F1899" s="5">
        <v>12.9</v>
      </c>
      <c r="G1899" t="s">
        <v>1630</v>
      </c>
      <c r="H1899">
        <v>4</v>
      </c>
    </row>
    <row r="1900" spans="1:8">
      <c r="A1900" t="s">
        <v>3534</v>
      </c>
      <c r="B1900" t="s">
        <v>269</v>
      </c>
      <c r="C1900" s="4">
        <v>45160</v>
      </c>
      <c r="D1900" t="s">
        <v>1655</v>
      </c>
      <c r="E1900" t="s">
        <v>1633</v>
      </c>
      <c r="F1900" s="5">
        <v>6</v>
      </c>
      <c r="G1900" t="s">
        <v>1630</v>
      </c>
      <c r="H1900">
        <v>3</v>
      </c>
    </row>
    <row r="1901" spans="1:8">
      <c r="A1901" t="s">
        <v>3535</v>
      </c>
      <c r="B1901" t="s">
        <v>1354</v>
      </c>
      <c r="C1901" s="4">
        <v>45016</v>
      </c>
      <c r="D1901" t="s">
        <v>1628</v>
      </c>
      <c r="E1901" t="s">
        <v>1648</v>
      </c>
      <c r="F1901" s="5">
        <v>1.6</v>
      </c>
      <c r="G1901" t="s">
        <v>1630</v>
      </c>
      <c r="H1901">
        <v>2</v>
      </c>
    </row>
    <row r="1902" spans="1:8">
      <c r="A1902" t="s">
        <v>3536</v>
      </c>
      <c r="B1902" t="s">
        <v>1005</v>
      </c>
      <c r="C1902" s="4">
        <v>45842</v>
      </c>
      <c r="D1902" t="s">
        <v>1641</v>
      </c>
      <c r="E1902" t="s">
        <v>1629</v>
      </c>
      <c r="F1902" s="5">
        <v>3.4</v>
      </c>
      <c r="G1902" t="s">
        <v>1630</v>
      </c>
      <c r="H1902">
        <v>1</v>
      </c>
    </row>
    <row r="1903" spans="1:8">
      <c r="A1903" t="s">
        <v>3537</v>
      </c>
      <c r="B1903" t="s">
        <v>1155</v>
      </c>
      <c r="C1903" s="4">
        <v>45404</v>
      </c>
      <c r="D1903" t="s">
        <v>1632</v>
      </c>
      <c r="E1903" t="s">
        <v>1605</v>
      </c>
      <c r="F1903" s="5">
        <v>7.1</v>
      </c>
      <c r="G1903" t="s">
        <v>1630</v>
      </c>
      <c r="H1903">
        <v>1</v>
      </c>
    </row>
    <row r="1904" spans="1:8">
      <c r="A1904" t="s">
        <v>3538</v>
      </c>
      <c r="B1904" t="s">
        <v>1296</v>
      </c>
      <c r="C1904" s="4">
        <v>45234</v>
      </c>
      <c r="D1904" t="s">
        <v>1625</v>
      </c>
      <c r="E1904" t="s">
        <v>1609</v>
      </c>
      <c r="F1904" s="5">
        <v>0.5</v>
      </c>
      <c r="G1904" t="s">
        <v>1630</v>
      </c>
      <c r="H1904">
        <v>1</v>
      </c>
    </row>
    <row r="1905" spans="1:8">
      <c r="A1905" t="s">
        <v>3539</v>
      </c>
      <c r="B1905" t="s">
        <v>964</v>
      </c>
      <c r="C1905" s="4">
        <v>45490</v>
      </c>
      <c r="D1905" t="s">
        <v>1628</v>
      </c>
      <c r="E1905" t="s">
        <v>1609</v>
      </c>
      <c r="F1905" s="5">
        <v>4.0999999999999996</v>
      </c>
      <c r="G1905" t="s">
        <v>1630</v>
      </c>
      <c r="H1905">
        <v>3</v>
      </c>
    </row>
    <row r="1906" spans="1:8">
      <c r="A1906" t="s">
        <v>3540</v>
      </c>
      <c r="B1906" t="s">
        <v>403</v>
      </c>
      <c r="C1906" s="4">
        <v>45298</v>
      </c>
      <c r="D1906" t="s">
        <v>1628</v>
      </c>
      <c r="E1906" t="s">
        <v>1605</v>
      </c>
      <c r="F1906" s="5">
        <v>4.2</v>
      </c>
      <c r="G1906" t="s">
        <v>1630</v>
      </c>
      <c r="H1906">
        <v>1</v>
      </c>
    </row>
    <row r="1907" spans="1:8">
      <c r="A1907" t="s">
        <v>3541</v>
      </c>
      <c r="B1907" t="s">
        <v>1164</v>
      </c>
      <c r="C1907" s="4">
        <v>46075</v>
      </c>
      <c r="D1907" t="s">
        <v>1628</v>
      </c>
      <c r="E1907" t="s">
        <v>1605</v>
      </c>
      <c r="F1907" s="5">
        <v>17.399999999999999</v>
      </c>
      <c r="G1907" t="s">
        <v>1630</v>
      </c>
      <c r="H1907">
        <v>4</v>
      </c>
    </row>
    <row r="1908" spans="1:8">
      <c r="A1908" t="s">
        <v>3542</v>
      </c>
      <c r="B1908" t="s">
        <v>1170</v>
      </c>
      <c r="C1908" s="4">
        <v>45327</v>
      </c>
      <c r="D1908" t="s">
        <v>1628</v>
      </c>
      <c r="E1908" t="s">
        <v>1605</v>
      </c>
      <c r="F1908" s="5">
        <v>13.4</v>
      </c>
      <c r="G1908" t="s">
        <v>1630</v>
      </c>
      <c r="H1908">
        <v>4</v>
      </c>
    </row>
    <row r="1909" spans="1:8">
      <c r="A1909" t="s">
        <v>3543</v>
      </c>
      <c r="B1909" t="s">
        <v>1185</v>
      </c>
      <c r="C1909" s="4">
        <v>45794</v>
      </c>
      <c r="D1909" t="s">
        <v>1628</v>
      </c>
      <c r="E1909" t="s">
        <v>1648</v>
      </c>
      <c r="F1909" s="5">
        <v>4.8</v>
      </c>
      <c r="G1909" t="s">
        <v>1630</v>
      </c>
      <c r="H1909">
        <v>3</v>
      </c>
    </row>
    <row r="1910" spans="1:8">
      <c r="A1910" t="s">
        <v>3544</v>
      </c>
      <c r="B1910" t="s">
        <v>135</v>
      </c>
      <c r="C1910" s="4">
        <v>45595</v>
      </c>
      <c r="D1910" t="s">
        <v>1641</v>
      </c>
      <c r="E1910" t="s">
        <v>1609</v>
      </c>
      <c r="F1910" s="5">
        <v>13.2</v>
      </c>
      <c r="G1910" t="s">
        <v>1630</v>
      </c>
      <c r="H1910">
        <v>3</v>
      </c>
    </row>
    <row r="1911" spans="1:8">
      <c r="A1911" t="s">
        <v>3545</v>
      </c>
      <c r="B1911" t="s">
        <v>816</v>
      </c>
      <c r="C1911" s="4">
        <v>46150</v>
      </c>
      <c r="D1911" t="s">
        <v>1625</v>
      </c>
      <c r="E1911" t="s">
        <v>1629</v>
      </c>
      <c r="F1911" s="5">
        <v>9.1</v>
      </c>
      <c r="G1911" t="s">
        <v>1626</v>
      </c>
      <c r="H1911">
        <v>2</v>
      </c>
    </row>
    <row r="1912" spans="1:8">
      <c r="A1912" t="s">
        <v>3546</v>
      </c>
      <c r="B1912" t="s">
        <v>202</v>
      </c>
      <c r="C1912" s="4">
        <v>45706</v>
      </c>
      <c r="D1912" t="s">
        <v>1641</v>
      </c>
      <c r="E1912" t="s">
        <v>1629</v>
      </c>
      <c r="F1912" s="5">
        <v>12.4</v>
      </c>
      <c r="G1912" t="s">
        <v>1630</v>
      </c>
      <c r="H1912">
        <v>3</v>
      </c>
    </row>
    <row r="1913" spans="1:8">
      <c r="A1913" t="s">
        <v>3547</v>
      </c>
      <c r="B1913" t="s">
        <v>597</v>
      </c>
      <c r="C1913" s="4">
        <v>45690</v>
      </c>
      <c r="D1913" t="s">
        <v>1628</v>
      </c>
      <c r="E1913" t="s">
        <v>1633</v>
      </c>
      <c r="F1913" s="5">
        <v>10.3</v>
      </c>
      <c r="G1913" t="s">
        <v>1630</v>
      </c>
      <c r="H1913">
        <v>4</v>
      </c>
    </row>
    <row r="1914" spans="1:8">
      <c r="A1914" t="s">
        <v>3548</v>
      </c>
      <c r="B1914" t="s">
        <v>1502</v>
      </c>
      <c r="C1914" s="4">
        <v>46051</v>
      </c>
      <c r="D1914" t="s">
        <v>1667</v>
      </c>
      <c r="E1914" t="s">
        <v>1629</v>
      </c>
      <c r="F1914" s="5">
        <v>3.5</v>
      </c>
      <c r="G1914" t="s">
        <v>1626</v>
      </c>
      <c r="H1914">
        <v>1</v>
      </c>
    </row>
    <row r="1915" spans="1:8">
      <c r="A1915" t="s">
        <v>3549</v>
      </c>
      <c r="B1915" t="s">
        <v>1208</v>
      </c>
      <c r="C1915" s="4">
        <v>45475</v>
      </c>
      <c r="D1915" t="s">
        <v>1641</v>
      </c>
      <c r="E1915" t="s">
        <v>1633</v>
      </c>
      <c r="F1915" s="5">
        <v>6.6</v>
      </c>
      <c r="G1915" t="s">
        <v>1626</v>
      </c>
      <c r="H1915">
        <v>3</v>
      </c>
    </row>
    <row r="1916" spans="1:8">
      <c r="A1916" t="s">
        <v>3550</v>
      </c>
      <c r="B1916" t="s">
        <v>1555</v>
      </c>
      <c r="C1916" s="4">
        <v>45650</v>
      </c>
      <c r="D1916" t="s">
        <v>1632</v>
      </c>
      <c r="E1916" t="s">
        <v>1629</v>
      </c>
      <c r="F1916" s="5">
        <v>8</v>
      </c>
      <c r="G1916" t="s">
        <v>1626</v>
      </c>
      <c r="H1916">
        <v>2</v>
      </c>
    </row>
    <row r="1917" spans="1:8">
      <c r="A1917" t="s">
        <v>3551</v>
      </c>
      <c r="B1917" t="s">
        <v>531</v>
      </c>
      <c r="C1917" s="4">
        <v>45816</v>
      </c>
      <c r="D1917" t="s">
        <v>1667</v>
      </c>
      <c r="E1917" t="s">
        <v>1633</v>
      </c>
      <c r="F1917" s="5">
        <v>5.8</v>
      </c>
      <c r="G1917" t="s">
        <v>1630</v>
      </c>
      <c r="H1917">
        <v>1</v>
      </c>
    </row>
    <row r="1918" spans="1:8">
      <c r="A1918" t="s">
        <v>3552</v>
      </c>
      <c r="B1918" t="s">
        <v>1459</v>
      </c>
      <c r="C1918" s="4">
        <v>45870</v>
      </c>
      <c r="D1918" t="s">
        <v>1641</v>
      </c>
      <c r="E1918" t="s">
        <v>1648</v>
      </c>
      <c r="F1918" s="5">
        <v>5.0999999999999996</v>
      </c>
      <c r="G1918" t="s">
        <v>1626</v>
      </c>
      <c r="H1918">
        <v>3</v>
      </c>
    </row>
    <row r="1919" spans="1:8">
      <c r="A1919" t="s">
        <v>3553</v>
      </c>
      <c r="B1919" t="s">
        <v>661</v>
      </c>
      <c r="C1919" s="4">
        <v>45426</v>
      </c>
      <c r="D1919" t="s">
        <v>1628</v>
      </c>
      <c r="E1919" t="s">
        <v>1629</v>
      </c>
      <c r="F1919" s="5">
        <v>11.8</v>
      </c>
      <c r="G1919" t="s">
        <v>1630</v>
      </c>
      <c r="H1919">
        <v>2</v>
      </c>
    </row>
    <row r="1920" spans="1:8">
      <c r="A1920" t="s">
        <v>3554</v>
      </c>
      <c r="B1920" t="s">
        <v>1193</v>
      </c>
      <c r="C1920" s="4">
        <v>45442</v>
      </c>
      <c r="D1920" t="s">
        <v>1625</v>
      </c>
      <c r="E1920" t="s">
        <v>1629</v>
      </c>
      <c r="F1920" s="5">
        <v>46</v>
      </c>
      <c r="G1920" t="s">
        <v>1630</v>
      </c>
      <c r="H1920">
        <v>5</v>
      </c>
    </row>
    <row r="1921" spans="1:8">
      <c r="A1921" t="s">
        <v>3555</v>
      </c>
      <c r="B1921" t="s">
        <v>157</v>
      </c>
      <c r="C1921" s="4">
        <v>45656</v>
      </c>
      <c r="D1921" t="s">
        <v>1628</v>
      </c>
      <c r="E1921" t="s">
        <v>1633</v>
      </c>
      <c r="F1921" s="5">
        <v>3.1</v>
      </c>
      <c r="G1921" t="s">
        <v>1630</v>
      </c>
      <c r="H1921">
        <v>1</v>
      </c>
    </row>
    <row r="1922" spans="1:8">
      <c r="A1922" t="s">
        <v>3556</v>
      </c>
      <c r="B1922" t="s">
        <v>1107</v>
      </c>
      <c r="C1922" s="4">
        <v>45285</v>
      </c>
      <c r="D1922" t="s">
        <v>1641</v>
      </c>
      <c r="E1922" t="s">
        <v>1629</v>
      </c>
      <c r="F1922" s="5">
        <v>5</v>
      </c>
      <c r="G1922" t="s">
        <v>1630</v>
      </c>
      <c r="H1922">
        <v>1</v>
      </c>
    </row>
    <row r="1923" spans="1:8">
      <c r="A1923" t="s">
        <v>3557</v>
      </c>
      <c r="B1923" t="s">
        <v>206</v>
      </c>
      <c r="C1923" s="4">
        <v>45864</v>
      </c>
      <c r="D1923" t="s">
        <v>1628</v>
      </c>
      <c r="E1923" t="s">
        <v>1605</v>
      </c>
      <c r="F1923" s="5">
        <v>20</v>
      </c>
      <c r="G1923" t="s">
        <v>1630</v>
      </c>
      <c r="H1923">
        <v>2</v>
      </c>
    </row>
    <row r="1924" spans="1:8">
      <c r="A1924" t="s">
        <v>3558</v>
      </c>
      <c r="B1924" t="s">
        <v>1063</v>
      </c>
      <c r="C1924" s="4">
        <v>45020</v>
      </c>
      <c r="D1924" t="s">
        <v>1632</v>
      </c>
      <c r="E1924" t="s">
        <v>1629</v>
      </c>
      <c r="F1924" s="5">
        <v>2.1</v>
      </c>
      <c r="G1924" t="s">
        <v>1630</v>
      </c>
      <c r="H1924">
        <v>2</v>
      </c>
    </row>
    <row r="1925" spans="1:8">
      <c r="A1925" t="s">
        <v>3559</v>
      </c>
      <c r="B1925" t="s">
        <v>1439</v>
      </c>
      <c r="C1925" s="4">
        <v>46135</v>
      </c>
      <c r="D1925" t="s">
        <v>1625</v>
      </c>
      <c r="E1925" t="s">
        <v>1633</v>
      </c>
      <c r="F1925" s="5">
        <v>8.8000000000000007</v>
      </c>
      <c r="G1925" t="s">
        <v>1626</v>
      </c>
      <c r="H1925">
        <v>1</v>
      </c>
    </row>
    <row r="1926" spans="1:8">
      <c r="A1926" t="s">
        <v>3560</v>
      </c>
      <c r="B1926" t="s">
        <v>575</v>
      </c>
      <c r="C1926" s="4">
        <v>46078</v>
      </c>
      <c r="D1926" t="s">
        <v>1667</v>
      </c>
      <c r="E1926" t="s">
        <v>1609</v>
      </c>
      <c r="F1926" s="5">
        <v>4.4000000000000004</v>
      </c>
      <c r="G1926" t="s">
        <v>1630</v>
      </c>
      <c r="H1926">
        <v>3</v>
      </c>
    </row>
    <row r="1927" spans="1:8">
      <c r="A1927" t="s">
        <v>3561</v>
      </c>
      <c r="B1927" t="s">
        <v>329</v>
      </c>
      <c r="C1927" s="4">
        <v>45652</v>
      </c>
      <c r="D1927" t="s">
        <v>1628</v>
      </c>
      <c r="E1927" t="s">
        <v>1605</v>
      </c>
      <c r="F1927" s="5">
        <v>9.3000000000000007</v>
      </c>
      <c r="G1927" t="s">
        <v>1630</v>
      </c>
      <c r="H1927">
        <v>3</v>
      </c>
    </row>
    <row r="1928" spans="1:8">
      <c r="A1928" t="s">
        <v>3562</v>
      </c>
      <c r="B1928" t="s">
        <v>749</v>
      </c>
      <c r="C1928" s="4">
        <v>44974</v>
      </c>
      <c r="D1928" t="s">
        <v>1632</v>
      </c>
      <c r="E1928" t="s">
        <v>1648</v>
      </c>
      <c r="F1928" s="5">
        <v>0.8</v>
      </c>
      <c r="G1928" t="s">
        <v>1630</v>
      </c>
      <c r="H1928">
        <v>2</v>
      </c>
    </row>
    <row r="1929" spans="1:8">
      <c r="A1929" t="s">
        <v>3563</v>
      </c>
      <c r="B1929" t="s">
        <v>1488</v>
      </c>
      <c r="C1929" s="4">
        <v>45059</v>
      </c>
      <c r="D1929" t="s">
        <v>1628</v>
      </c>
      <c r="E1929" t="s">
        <v>1629</v>
      </c>
      <c r="F1929" s="5">
        <v>7.3</v>
      </c>
      <c r="G1929" t="s">
        <v>1630</v>
      </c>
      <c r="H1929">
        <v>2</v>
      </c>
    </row>
    <row r="1930" spans="1:8">
      <c r="A1930" t="s">
        <v>3564</v>
      </c>
      <c r="B1930" t="s">
        <v>1416</v>
      </c>
      <c r="C1930" s="4">
        <v>45385</v>
      </c>
      <c r="D1930" t="s">
        <v>1632</v>
      </c>
      <c r="E1930" t="s">
        <v>1648</v>
      </c>
      <c r="F1930" s="5">
        <v>15.6</v>
      </c>
      <c r="G1930" t="s">
        <v>1630</v>
      </c>
      <c r="H1930">
        <v>2</v>
      </c>
    </row>
    <row r="1931" spans="1:8">
      <c r="A1931" t="s">
        <v>3565</v>
      </c>
      <c r="B1931" t="s">
        <v>265</v>
      </c>
      <c r="C1931" s="4">
        <v>45132</v>
      </c>
      <c r="D1931" t="s">
        <v>1628</v>
      </c>
      <c r="E1931" t="s">
        <v>1605</v>
      </c>
      <c r="F1931" s="5">
        <v>8.6</v>
      </c>
      <c r="G1931" t="s">
        <v>1630</v>
      </c>
      <c r="H1931">
        <v>3</v>
      </c>
    </row>
    <row r="1932" spans="1:8">
      <c r="A1932" t="s">
        <v>3566</v>
      </c>
      <c r="B1932" t="s">
        <v>1469</v>
      </c>
      <c r="C1932" s="4">
        <v>45268</v>
      </c>
      <c r="D1932" t="s">
        <v>1625</v>
      </c>
      <c r="E1932" t="s">
        <v>1605</v>
      </c>
      <c r="F1932" s="5">
        <v>17.3</v>
      </c>
      <c r="G1932" t="s">
        <v>1630</v>
      </c>
      <c r="H1932">
        <v>2</v>
      </c>
    </row>
    <row r="1933" spans="1:8">
      <c r="A1933" t="s">
        <v>3567</v>
      </c>
      <c r="B1933" t="s">
        <v>1040</v>
      </c>
      <c r="C1933" s="4">
        <v>45816</v>
      </c>
      <c r="D1933" t="s">
        <v>1655</v>
      </c>
      <c r="E1933" t="s">
        <v>1629</v>
      </c>
      <c r="F1933" s="5">
        <v>18.899999999999999</v>
      </c>
      <c r="G1933" t="s">
        <v>1630</v>
      </c>
      <c r="H1933">
        <v>3</v>
      </c>
    </row>
    <row r="1934" spans="1:8">
      <c r="A1934" t="s">
        <v>3568</v>
      </c>
      <c r="B1934" t="s">
        <v>330</v>
      </c>
      <c r="C1934" s="4">
        <v>45031</v>
      </c>
      <c r="D1934" t="s">
        <v>1641</v>
      </c>
      <c r="E1934" t="s">
        <v>1629</v>
      </c>
      <c r="F1934" s="5">
        <v>2</v>
      </c>
      <c r="G1934" t="s">
        <v>1630</v>
      </c>
      <c r="H1934">
        <v>3</v>
      </c>
    </row>
    <row r="1935" spans="1:8">
      <c r="A1935" t="s">
        <v>3569</v>
      </c>
      <c r="B1935" t="s">
        <v>756</v>
      </c>
      <c r="C1935" s="4">
        <v>45526</v>
      </c>
      <c r="D1935" t="s">
        <v>1625</v>
      </c>
      <c r="E1935" t="s">
        <v>1609</v>
      </c>
      <c r="F1935" s="5">
        <v>2.4</v>
      </c>
      <c r="G1935" t="s">
        <v>1630</v>
      </c>
      <c r="H1935">
        <v>1</v>
      </c>
    </row>
    <row r="1936" spans="1:8">
      <c r="A1936" t="s">
        <v>3570</v>
      </c>
      <c r="B1936" t="s">
        <v>1385</v>
      </c>
      <c r="C1936" s="4">
        <v>46163</v>
      </c>
      <c r="D1936" t="s">
        <v>1655</v>
      </c>
      <c r="E1936" t="s">
        <v>1609</v>
      </c>
      <c r="F1936" s="5">
        <v>7</v>
      </c>
      <c r="G1936" t="s">
        <v>1630</v>
      </c>
      <c r="H1936">
        <v>1</v>
      </c>
    </row>
    <row r="1937" spans="1:8">
      <c r="A1937" t="s">
        <v>3571</v>
      </c>
      <c r="B1937" t="s">
        <v>941</v>
      </c>
      <c r="C1937" s="4">
        <v>45550</v>
      </c>
      <c r="D1937" t="s">
        <v>1625</v>
      </c>
      <c r="E1937" t="s">
        <v>1633</v>
      </c>
      <c r="F1937" s="5">
        <v>3</v>
      </c>
      <c r="G1937" t="s">
        <v>1630</v>
      </c>
      <c r="H1937">
        <v>4</v>
      </c>
    </row>
    <row r="1938" spans="1:8">
      <c r="A1938" t="s">
        <v>3572</v>
      </c>
      <c r="B1938" t="s">
        <v>1250</v>
      </c>
      <c r="C1938" s="4">
        <v>44991</v>
      </c>
      <c r="D1938" t="s">
        <v>1667</v>
      </c>
      <c r="E1938" t="s">
        <v>1629</v>
      </c>
      <c r="F1938" s="5">
        <v>1.2</v>
      </c>
      <c r="G1938" t="s">
        <v>1630</v>
      </c>
      <c r="H1938">
        <v>1</v>
      </c>
    </row>
    <row r="1939" spans="1:8">
      <c r="A1939" t="s">
        <v>3573</v>
      </c>
      <c r="B1939" t="s">
        <v>852</v>
      </c>
      <c r="C1939" s="4">
        <v>45860</v>
      </c>
      <c r="D1939" t="s">
        <v>1628</v>
      </c>
      <c r="E1939" t="s">
        <v>1629</v>
      </c>
      <c r="F1939" s="5">
        <v>2.2999999999999998</v>
      </c>
      <c r="G1939" t="s">
        <v>1630</v>
      </c>
      <c r="H1939">
        <v>2</v>
      </c>
    </row>
    <row r="1940" spans="1:8">
      <c r="A1940" t="s">
        <v>3574</v>
      </c>
      <c r="B1940" t="s">
        <v>1441</v>
      </c>
      <c r="C1940" s="4">
        <v>45104</v>
      </c>
      <c r="D1940" t="s">
        <v>1632</v>
      </c>
      <c r="E1940" t="s">
        <v>1629</v>
      </c>
      <c r="F1940" s="5">
        <v>3.8</v>
      </c>
      <c r="G1940" t="s">
        <v>1630</v>
      </c>
      <c r="H1940">
        <v>2</v>
      </c>
    </row>
    <row r="1941" spans="1:8">
      <c r="A1941" t="s">
        <v>3575</v>
      </c>
      <c r="B1941" t="s">
        <v>1336</v>
      </c>
      <c r="C1941" s="4">
        <v>45798</v>
      </c>
      <c r="D1941" t="s">
        <v>1628</v>
      </c>
      <c r="E1941" t="s">
        <v>1609</v>
      </c>
      <c r="F1941" s="5">
        <v>1.5</v>
      </c>
      <c r="G1941" t="s">
        <v>1630</v>
      </c>
      <c r="H1941">
        <v>5</v>
      </c>
    </row>
    <row r="1942" spans="1:8">
      <c r="A1942" t="s">
        <v>3576</v>
      </c>
      <c r="B1942" t="s">
        <v>603</v>
      </c>
      <c r="C1942" s="4">
        <v>46003</v>
      </c>
      <c r="D1942" t="s">
        <v>1628</v>
      </c>
      <c r="E1942" t="s">
        <v>1629</v>
      </c>
      <c r="F1942" s="5">
        <v>4</v>
      </c>
      <c r="G1942" t="s">
        <v>1630</v>
      </c>
      <c r="H1942">
        <v>5</v>
      </c>
    </row>
    <row r="1943" spans="1:8">
      <c r="A1943" t="s">
        <v>3577</v>
      </c>
      <c r="B1943" t="s">
        <v>1548</v>
      </c>
      <c r="C1943" s="4">
        <v>45048</v>
      </c>
      <c r="D1943" t="s">
        <v>1625</v>
      </c>
      <c r="E1943" t="s">
        <v>1605</v>
      </c>
      <c r="F1943" s="5">
        <v>0.7</v>
      </c>
      <c r="G1943" t="s">
        <v>1626</v>
      </c>
      <c r="H1943">
        <v>1</v>
      </c>
    </row>
    <row r="1944" spans="1:8">
      <c r="A1944" t="s">
        <v>3578</v>
      </c>
      <c r="B1944" t="s">
        <v>124</v>
      </c>
      <c r="C1944" s="4">
        <v>45408</v>
      </c>
      <c r="D1944" t="s">
        <v>1667</v>
      </c>
      <c r="E1944" t="s">
        <v>1648</v>
      </c>
      <c r="F1944" s="5">
        <v>3.3</v>
      </c>
      <c r="G1944" t="s">
        <v>1630</v>
      </c>
      <c r="H1944">
        <v>4</v>
      </c>
    </row>
    <row r="1945" spans="1:8">
      <c r="A1945" t="s">
        <v>3579</v>
      </c>
      <c r="B1945" t="s">
        <v>1556</v>
      </c>
      <c r="C1945" s="4">
        <v>45048</v>
      </c>
      <c r="D1945" t="s">
        <v>1625</v>
      </c>
      <c r="E1945" t="s">
        <v>1609</v>
      </c>
      <c r="F1945" s="5">
        <v>10</v>
      </c>
      <c r="G1945" t="s">
        <v>1630</v>
      </c>
      <c r="H1945">
        <v>5</v>
      </c>
    </row>
    <row r="1946" spans="1:8">
      <c r="A1946" t="s">
        <v>3580</v>
      </c>
      <c r="B1946" t="s">
        <v>1025</v>
      </c>
      <c r="C1946" s="4">
        <v>45219</v>
      </c>
      <c r="D1946" t="s">
        <v>1637</v>
      </c>
      <c r="E1946" t="s">
        <v>1605</v>
      </c>
      <c r="F1946" s="5">
        <v>19.7</v>
      </c>
      <c r="G1946" t="s">
        <v>1630</v>
      </c>
      <c r="H1946">
        <v>4</v>
      </c>
    </row>
    <row r="1947" spans="1:8">
      <c r="A1947" t="s">
        <v>3581</v>
      </c>
      <c r="B1947" t="s">
        <v>893</v>
      </c>
      <c r="C1947" s="4">
        <v>45393</v>
      </c>
      <c r="D1947" t="s">
        <v>1632</v>
      </c>
      <c r="E1947" t="s">
        <v>1609</v>
      </c>
      <c r="F1947" s="5">
        <v>23.6</v>
      </c>
      <c r="G1947" t="s">
        <v>1626</v>
      </c>
      <c r="H1947">
        <v>1</v>
      </c>
    </row>
    <row r="1948" spans="1:8">
      <c r="A1948" t="s">
        <v>3582</v>
      </c>
      <c r="B1948" t="s">
        <v>644</v>
      </c>
      <c r="C1948" s="4">
        <v>45396</v>
      </c>
      <c r="D1948" t="s">
        <v>1655</v>
      </c>
      <c r="E1948" t="s">
        <v>1648</v>
      </c>
      <c r="F1948" s="5">
        <v>20.2</v>
      </c>
      <c r="G1948" t="s">
        <v>1630</v>
      </c>
      <c r="H1948">
        <v>1</v>
      </c>
    </row>
    <row r="1949" spans="1:8">
      <c r="A1949" t="s">
        <v>3583</v>
      </c>
      <c r="B1949" t="s">
        <v>690</v>
      </c>
      <c r="C1949" s="4">
        <v>45955</v>
      </c>
      <c r="D1949" t="s">
        <v>1625</v>
      </c>
      <c r="E1949" t="s">
        <v>1609</v>
      </c>
      <c r="F1949" s="5">
        <v>8.6</v>
      </c>
      <c r="G1949" t="s">
        <v>1630</v>
      </c>
      <c r="H1949">
        <v>1</v>
      </c>
    </row>
    <row r="1950" spans="1:8">
      <c r="A1950" t="s">
        <v>3584</v>
      </c>
      <c r="B1950" t="s">
        <v>395</v>
      </c>
      <c r="C1950" s="4">
        <v>45683</v>
      </c>
      <c r="D1950" t="s">
        <v>1641</v>
      </c>
      <c r="E1950" t="s">
        <v>1605</v>
      </c>
      <c r="F1950" s="5">
        <v>4.0999999999999996</v>
      </c>
      <c r="G1950" t="s">
        <v>1630</v>
      </c>
      <c r="H1950">
        <v>2</v>
      </c>
    </row>
    <row r="1951" spans="1:8">
      <c r="A1951" t="s">
        <v>3585</v>
      </c>
      <c r="B1951" t="s">
        <v>1043</v>
      </c>
      <c r="C1951" s="4">
        <v>45286</v>
      </c>
      <c r="D1951" t="s">
        <v>1655</v>
      </c>
      <c r="E1951" t="s">
        <v>1605</v>
      </c>
      <c r="F1951" s="5">
        <v>0.9</v>
      </c>
      <c r="G1951" t="s">
        <v>1630</v>
      </c>
      <c r="H1951">
        <v>4</v>
      </c>
    </row>
    <row r="1952" spans="1:8">
      <c r="A1952" t="s">
        <v>3586</v>
      </c>
      <c r="B1952" t="s">
        <v>774</v>
      </c>
      <c r="C1952" s="4">
        <v>45686</v>
      </c>
      <c r="D1952" t="s">
        <v>1625</v>
      </c>
      <c r="E1952" t="s">
        <v>1629</v>
      </c>
      <c r="F1952" s="5">
        <v>1.6</v>
      </c>
      <c r="G1952" t="s">
        <v>1630</v>
      </c>
      <c r="H1952">
        <v>1</v>
      </c>
    </row>
    <row r="1953" spans="1:8">
      <c r="A1953" t="s">
        <v>3587</v>
      </c>
      <c r="B1953" t="s">
        <v>1278</v>
      </c>
      <c r="C1953" s="4">
        <v>45605</v>
      </c>
      <c r="D1953" t="s">
        <v>1625</v>
      </c>
      <c r="E1953" t="s">
        <v>1609</v>
      </c>
      <c r="F1953" s="5">
        <v>11</v>
      </c>
      <c r="G1953" t="s">
        <v>1630</v>
      </c>
      <c r="H1953">
        <v>2</v>
      </c>
    </row>
    <row r="1954" spans="1:8">
      <c r="A1954" t="s">
        <v>3588</v>
      </c>
      <c r="B1954" t="s">
        <v>1501</v>
      </c>
      <c r="C1954" s="4">
        <v>45101</v>
      </c>
      <c r="D1954" t="s">
        <v>1641</v>
      </c>
      <c r="E1954" t="s">
        <v>1605</v>
      </c>
      <c r="F1954" s="5">
        <v>8.3000000000000007</v>
      </c>
      <c r="G1954" t="s">
        <v>1630</v>
      </c>
      <c r="H1954">
        <v>5</v>
      </c>
    </row>
    <row r="1955" spans="1:8">
      <c r="A1955" t="s">
        <v>3589</v>
      </c>
      <c r="B1955" t="s">
        <v>791</v>
      </c>
      <c r="C1955" s="4">
        <v>45387</v>
      </c>
      <c r="D1955" t="s">
        <v>1637</v>
      </c>
      <c r="E1955" t="s">
        <v>1609</v>
      </c>
      <c r="F1955" s="5">
        <v>17.399999999999999</v>
      </c>
      <c r="G1955" t="s">
        <v>1630</v>
      </c>
      <c r="H1955">
        <v>2</v>
      </c>
    </row>
    <row r="1956" spans="1:8">
      <c r="A1956" t="s">
        <v>3590</v>
      </c>
      <c r="B1956" t="s">
        <v>1206</v>
      </c>
      <c r="C1956" s="4">
        <v>46125</v>
      </c>
      <c r="D1956" t="s">
        <v>1641</v>
      </c>
      <c r="E1956" t="s">
        <v>1609</v>
      </c>
      <c r="F1956" s="5">
        <v>9.1</v>
      </c>
      <c r="G1956" t="s">
        <v>1630</v>
      </c>
      <c r="H1956">
        <v>1</v>
      </c>
    </row>
    <row r="1957" spans="1:8">
      <c r="A1957" t="s">
        <v>3591</v>
      </c>
      <c r="B1957" t="s">
        <v>842</v>
      </c>
      <c r="C1957" s="4">
        <v>45228</v>
      </c>
      <c r="D1957" t="s">
        <v>1632</v>
      </c>
      <c r="E1957" t="s">
        <v>1609</v>
      </c>
      <c r="F1957" s="5">
        <v>23.8</v>
      </c>
      <c r="G1957" t="s">
        <v>1626</v>
      </c>
      <c r="H1957">
        <v>3</v>
      </c>
    </row>
    <row r="1958" spans="1:8">
      <c r="A1958" t="s">
        <v>3592</v>
      </c>
      <c r="B1958" t="s">
        <v>361</v>
      </c>
      <c r="C1958" s="4">
        <v>45725</v>
      </c>
      <c r="D1958" t="s">
        <v>1637</v>
      </c>
      <c r="E1958" t="s">
        <v>1633</v>
      </c>
      <c r="F1958" s="5">
        <v>13.2</v>
      </c>
      <c r="G1958" t="s">
        <v>1626</v>
      </c>
      <c r="H1958">
        <v>1</v>
      </c>
    </row>
    <row r="1959" spans="1:8">
      <c r="A1959" t="s">
        <v>3593</v>
      </c>
      <c r="B1959" t="s">
        <v>1455</v>
      </c>
      <c r="C1959" s="4">
        <v>45258</v>
      </c>
      <c r="D1959" t="s">
        <v>1641</v>
      </c>
      <c r="E1959" t="s">
        <v>1629</v>
      </c>
      <c r="F1959" s="5">
        <v>1.2</v>
      </c>
      <c r="G1959" t="s">
        <v>1630</v>
      </c>
      <c r="H1959">
        <v>1</v>
      </c>
    </row>
    <row r="1960" spans="1:8">
      <c r="A1960" t="s">
        <v>3594</v>
      </c>
      <c r="B1960" t="s">
        <v>1296</v>
      </c>
      <c r="C1960" s="4">
        <v>45958</v>
      </c>
      <c r="D1960" t="s">
        <v>1641</v>
      </c>
      <c r="E1960" t="s">
        <v>1648</v>
      </c>
      <c r="F1960" s="5">
        <v>1.4</v>
      </c>
      <c r="G1960" t="s">
        <v>1630</v>
      </c>
      <c r="H1960">
        <v>5</v>
      </c>
    </row>
    <row r="1961" spans="1:8">
      <c r="A1961" t="s">
        <v>3595</v>
      </c>
      <c r="B1961" t="s">
        <v>585</v>
      </c>
      <c r="C1961" s="4">
        <v>45740</v>
      </c>
      <c r="D1961" t="s">
        <v>1641</v>
      </c>
      <c r="E1961" t="s">
        <v>1609</v>
      </c>
      <c r="F1961" s="5">
        <v>12.4</v>
      </c>
      <c r="G1961" t="s">
        <v>1630</v>
      </c>
      <c r="H1961">
        <v>4</v>
      </c>
    </row>
    <row r="1962" spans="1:8">
      <c r="A1962" t="s">
        <v>3596</v>
      </c>
      <c r="B1962" t="s">
        <v>883</v>
      </c>
      <c r="C1962" s="4">
        <v>45918</v>
      </c>
      <c r="D1962" t="s">
        <v>1628</v>
      </c>
      <c r="E1962" t="s">
        <v>1609</v>
      </c>
      <c r="F1962" s="5">
        <v>3.6</v>
      </c>
      <c r="G1962" t="s">
        <v>1630</v>
      </c>
      <c r="H1962">
        <v>4</v>
      </c>
    </row>
    <row r="1963" spans="1:8">
      <c r="A1963" t="s">
        <v>3597</v>
      </c>
      <c r="B1963" t="s">
        <v>955</v>
      </c>
      <c r="C1963" s="4">
        <v>44929</v>
      </c>
      <c r="D1963" t="s">
        <v>1625</v>
      </c>
      <c r="E1963" t="s">
        <v>1633</v>
      </c>
      <c r="F1963" s="5">
        <v>3.4</v>
      </c>
      <c r="G1963" t="s">
        <v>1630</v>
      </c>
      <c r="H1963">
        <v>5</v>
      </c>
    </row>
    <row r="1964" spans="1:8">
      <c r="A1964" t="s">
        <v>3598</v>
      </c>
      <c r="B1964" t="s">
        <v>1434</v>
      </c>
      <c r="C1964" s="4">
        <v>45092</v>
      </c>
      <c r="D1964" t="s">
        <v>1625</v>
      </c>
      <c r="E1964" t="s">
        <v>1605</v>
      </c>
      <c r="F1964" s="5">
        <v>0.5</v>
      </c>
      <c r="G1964" t="s">
        <v>1630</v>
      </c>
      <c r="H1964">
        <v>1</v>
      </c>
    </row>
    <row r="1965" spans="1:8">
      <c r="A1965" t="s">
        <v>3599</v>
      </c>
      <c r="B1965" t="s">
        <v>88</v>
      </c>
      <c r="C1965" s="4">
        <v>45290</v>
      </c>
      <c r="D1965" t="s">
        <v>1628</v>
      </c>
      <c r="E1965" t="s">
        <v>1629</v>
      </c>
      <c r="F1965" s="5">
        <v>10.9</v>
      </c>
      <c r="G1965" t="s">
        <v>1630</v>
      </c>
      <c r="H1965">
        <v>5</v>
      </c>
    </row>
    <row r="1966" spans="1:8">
      <c r="A1966" t="s">
        <v>3600</v>
      </c>
      <c r="B1966" t="s">
        <v>965</v>
      </c>
      <c r="C1966" s="4">
        <v>46063</v>
      </c>
      <c r="D1966" t="s">
        <v>1641</v>
      </c>
      <c r="E1966" t="s">
        <v>1605</v>
      </c>
      <c r="F1966" s="5">
        <v>10.9</v>
      </c>
      <c r="G1966" t="s">
        <v>1630</v>
      </c>
      <c r="H1966">
        <v>3</v>
      </c>
    </row>
    <row r="1967" spans="1:8">
      <c r="A1967" t="s">
        <v>3601</v>
      </c>
      <c r="B1967" t="s">
        <v>1483</v>
      </c>
      <c r="C1967" s="4">
        <v>45040</v>
      </c>
      <c r="D1967" t="s">
        <v>1628</v>
      </c>
      <c r="E1967" t="s">
        <v>1633</v>
      </c>
      <c r="F1967" s="5">
        <v>5.6</v>
      </c>
      <c r="G1967" t="s">
        <v>1630</v>
      </c>
      <c r="H1967">
        <v>4</v>
      </c>
    </row>
    <row r="1968" spans="1:8">
      <c r="A1968" t="s">
        <v>3602</v>
      </c>
      <c r="B1968" t="s">
        <v>197</v>
      </c>
      <c r="C1968" s="4">
        <v>45413</v>
      </c>
      <c r="D1968" t="s">
        <v>1632</v>
      </c>
      <c r="E1968" t="s">
        <v>1609</v>
      </c>
      <c r="F1968" s="5">
        <v>2.5</v>
      </c>
      <c r="G1968" t="s">
        <v>1630</v>
      </c>
      <c r="H1968">
        <v>2</v>
      </c>
    </row>
    <row r="1969" spans="1:8">
      <c r="A1969" t="s">
        <v>3603</v>
      </c>
      <c r="B1969" t="s">
        <v>630</v>
      </c>
      <c r="C1969" s="4">
        <v>45762</v>
      </c>
      <c r="D1969" t="s">
        <v>1632</v>
      </c>
      <c r="E1969" t="s">
        <v>1629</v>
      </c>
      <c r="F1969" s="5">
        <v>9.1</v>
      </c>
      <c r="G1969" t="s">
        <v>1630</v>
      </c>
      <c r="H1969">
        <v>1</v>
      </c>
    </row>
    <row r="1970" spans="1:8">
      <c r="A1970" t="s">
        <v>3604</v>
      </c>
      <c r="B1970" t="s">
        <v>1022</v>
      </c>
      <c r="C1970" s="4">
        <v>45226</v>
      </c>
      <c r="D1970" t="s">
        <v>1628</v>
      </c>
      <c r="E1970" t="s">
        <v>1629</v>
      </c>
      <c r="F1970" s="5">
        <v>6.2</v>
      </c>
      <c r="G1970" t="s">
        <v>1630</v>
      </c>
      <c r="H1970">
        <v>1</v>
      </c>
    </row>
    <row r="1971" spans="1:8">
      <c r="A1971" t="s">
        <v>3605</v>
      </c>
      <c r="B1971" t="s">
        <v>1493</v>
      </c>
      <c r="C1971" s="4">
        <v>45425</v>
      </c>
      <c r="D1971" t="s">
        <v>1655</v>
      </c>
      <c r="E1971" t="s">
        <v>1605</v>
      </c>
      <c r="F1971" s="5">
        <v>4.7</v>
      </c>
      <c r="G1971" t="s">
        <v>1630</v>
      </c>
      <c r="H1971">
        <v>3</v>
      </c>
    </row>
    <row r="1972" spans="1:8">
      <c r="A1972" t="s">
        <v>3606</v>
      </c>
      <c r="B1972" t="s">
        <v>309</v>
      </c>
      <c r="C1972" s="4">
        <v>45426</v>
      </c>
      <c r="D1972" t="s">
        <v>1628</v>
      </c>
      <c r="E1972" t="s">
        <v>1629</v>
      </c>
      <c r="F1972" s="5">
        <v>0.5</v>
      </c>
      <c r="G1972" t="s">
        <v>1630</v>
      </c>
      <c r="H1972">
        <v>2</v>
      </c>
    </row>
    <row r="1973" spans="1:8">
      <c r="A1973" t="s">
        <v>3607</v>
      </c>
      <c r="B1973" t="s">
        <v>403</v>
      </c>
      <c r="C1973" s="4">
        <v>44932</v>
      </c>
      <c r="D1973" t="s">
        <v>1628</v>
      </c>
      <c r="E1973" t="s">
        <v>1648</v>
      </c>
      <c r="F1973" s="5">
        <v>8.6</v>
      </c>
      <c r="G1973" t="s">
        <v>1630</v>
      </c>
      <c r="H1973">
        <v>2</v>
      </c>
    </row>
    <row r="1974" spans="1:8">
      <c r="A1974" t="s">
        <v>3608</v>
      </c>
      <c r="B1974" t="s">
        <v>450</v>
      </c>
      <c r="C1974" s="4">
        <v>44991</v>
      </c>
      <c r="D1974" t="s">
        <v>1655</v>
      </c>
      <c r="E1974" t="s">
        <v>1605</v>
      </c>
      <c r="F1974" s="5">
        <v>9.1999999999999993</v>
      </c>
      <c r="G1974" t="s">
        <v>1630</v>
      </c>
      <c r="H1974">
        <v>4</v>
      </c>
    </row>
    <row r="1975" spans="1:8">
      <c r="A1975" t="s">
        <v>3609</v>
      </c>
      <c r="B1975" t="s">
        <v>1005</v>
      </c>
      <c r="C1975" s="4">
        <v>45175</v>
      </c>
      <c r="D1975" t="s">
        <v>1632</v>
      </c>
      <c r="E1975" t="s">
        <v>1629</v>
      </c>
      <c r="F1975" s="5">
        <v>2</v>
      </c>
      <c r="G1975" t="s">
        <v>1626</v>
      </c>
      <c r="H1975">
        <v>1</v>
      </c>
    </row>
    <row r="1976" spans="1:8">
      <c r="A1976" t="s">
        <v>3610</v>
      </c>
      <c r="B1976" t="s">
        <v>1023</v>
      </c>
      <c r="C1976" s="4">
        <v>46084</v>
      </c>
      <c r="D1976" t="s">
        <v>1632</v>
      </c>
      <c r="E1976" t="s">
        <v>1609</v>
      </c>
      <c r="F1976" s="5">
        <v>8.4</v>
      </c>
      <c r="G1976" t="s">
        <v>1630</v>
      </c>
      <c r="H1976">
        <v>2</v>
      </c>
    </row>
    <row r="1977" spans="1:8">
      <c r="A1977" t="s">
        <v>3611</v>
      </c>
      <c r="B1977" t="s">
        <v>1306</v>
      </c>
      <c r="C1977" s="4">
        <v>45706</v>
      </c>
      <c r="D1977" t="s">
        <v>1641</v>
      </c>
      <c r="E1977" t="s">
        <v>1629</v>
      </c>
      <c r="F1977" s="5">
        <v>11.1</v>
      </c>
      <c r="G1977" t="s">
        <v>1630</v>
      </c>
      <c r="H1977">
        <v>3</v>
      </c>
    </row>
    <row r="1978" spans="1:8">
      <c r="A1978" t="s">
        <v>3612</v>
      </c>
      <c r="B1978" t="s">
        <v>1181</v>
      </c>
      <c r="C1978" s="4">
        <v>45922</v>
      </c>
      <c r="D1978" t="s">
        <v>1625</v>
      </c>
      <c r="E1978" t="s">
        <v>1605</v>
      </c>
      <c r="F1978" s="5">
        <v>0.4</v>
      </c>
      <c r="G1978" t="s">
        <v>1630</v>
      </c>
      <c r="H1978">
        <v>2</v>
      </c>
    </row>
    <row r="1979" spans="1:8">
      <c r="A1979" t="s">
        <v>3613</v>
      </c>
      <c r="B1979" t="s">
        <v>269</v>
      </c>
      <c r="C1979" s="4">
        <v>45453</v>
      </c>
      <c r="D1979" t="s">
        <v>1632</v>
      </c>
      <c r="E1979" t="s">
        <v>1609</v>
      </c>
      <c r="F1979" s="5">
        <v>12.1</v>
      </c>
      <c r="G1979" t="s">
        <v>1626</v>
      </c>
      <c r="H1979">
        <v>1</v>
      </c>
    </row>
    <row r="1980" spans="1:8">
      <c r="A1980" t="s">
        <v>3614</v>
      </c>
      <c r="B1980" t="s">
        <v>913</v>
      </c>
      <c r="C1980" s="4">
        <v>45160</v>
      </c>
      <c r="D1980" t="s">
        <v>1625</v>
      </c>
      <c r="E1980" t="s">
        <v>1633</v>
      </c>
      <c r="F1980" s="5">
        <v>6.6</v>
      </c>
      <c r="G1980" t="s">
        <v>1626</v>
      </c>
      <c r="H1980">
        <v>1</v>
      </c>
    </row>
    <row r="1981" spans="1:8">
      <c r="A1981" t="s">
        <v>3615</v>
      </c>
      <c r="B1981" t="s">
        <v>1381</v>
      </c>
      <c r="C1981" s="4">
        <v>46018</v>
      </c>
      <c r="D1981" t="s">
        <v>1655</v>
      </c>
      <c r="E1981" t="s">
        <v>1633</v>
      </c>
      <c r="F1981" s="5">
        <v>0.9</v>
      </c>
      <c r="G1981" t="s">
        <v>1630</v>
      </c>
      <c r="H1981">
        <v>1</v>
      </c>
    </row>
    <row r="1982" spans="1:8">
      <c r="A1982" t="s">
        <v>3616</v>
      </c>
      <c r="B1982" t="s">
        <v>1012</v>
      </c>
      <c r="C1982" s="4">
        <v>45687</v>
      </c>
      <c r="D1982" t="s">
        <v>1628</v>
      </c>
      <c r="E1982" t="s">
        <v>1609</v>
      </c>
      <c r="F1982" s="5">
        <v>17.100000000000001</v>
      </c>
      <c r="G1982" t="s">
        <v>1630</v>
      </c>
      <c r="H1982">
        <v>1</v>
      </c>
    </row>
    <row r="1983" spans="1:8">
      <c r="A1983" t="s">
        <v>3617</v>
      </c>
      <c r="B1983" t="s">
        <v>1149</v>
      </c>
      <c r="C1983" s="4">
        <v>45469</v>
      </c>
      <c r="D1983" t="s">
        <v>1655</v>
      </c>
      <c r="E1983" t="s">
        <v>1633</v>
      </c>
      <c r="F1983" s="5">
        <v>3.6</v>
      </c>
      <c r="G1983" t="s">
        <v>1626</v>
      </c>
      <c r="H1983">
        <v>2</v>
      </c>
    </row>
    <row r="1984" spans="1:8">
      <c r="A1984" t="s">
        <v>3618</v>
      </c>
      <c r="B1984" t="s">
        <v>1124</v>
      </c>
      <c r="C1984" s="4">
        <v>45894</v>
      </c>
      <c r="D1984" t="s">
        <v>1628</v>
      </c>
      <c r="E1984" t="s">
        <v>1629</v>
      </c>
      <c r="F1984" s="5">
        <v>3.4</v>
      </c>
      <c r="G1984" t="s">
        <v>1630</v>
      </c>
      <c r="H1984">
        <v>1</v>
      </c>
    </row>
    <row r="1985" spans="1:8">
      <c r="A1985" t="s">
        <v>3619</v>
      </c>
      <c r="B1985" t="s">
        <v>1115</v>
      </c>
      <c r="C1985" s="4">
        <v>45308</v>
      </c>
      <c r="D1985" t="s">
        <v>1625</v>
      </c>
      <c r="E1985" t="s">
        <v>1629</v>
      </c>
      <c r="F1985" s="5">
        <v>0.7</v>
      </c>
      <c r="G1985" t="s">
        <v>1630</v>
      </c>
      <c r="H1985">
        <v>1</v>
      </c>
    </row>
    <row r="1986" spans="1:8">
      <c r="A1986" t="s">
        <v>3620</v>
      </c>
      <c r="B1986" t="s">
        <v>1239</v>
      </c>
      <c r="C1986" s="4">
        <v>45953</v>
      </c>
      <c r="D1986" t="s">
        <v>1641</v>
      </c>
      <c r="E1986" t="s">
        <v>1605</v>
      </c>
      <c r="F1986" s="5">
        <v>15</v>
      </c>
      <c r="G1986" t="s">
        <v>1630</v>
      </c>
      <c r="H1986">
        <v>3</v>
      </c>
    </row>
    <row r="1987" spans="1:8">
      <c r="A1987" t="s">
        <v>3621</v>
      </c>
      <c r="B1987" t="s">
        <v>832</v>
      </c>
      <c r="C1987" s="4">
        <v>45145</v>
      </c>
      <c r="D1987" t="s">
        <v>1628</v>
      </c>
      <c r="E1987" t="s">
        <v>1629</v>
      </c>
      <c r="F1987" s="5">
        <v>11.6</v>
      </c>
      <c r="G1987" t="s">
        <v>1630</v>
      </c>
      <c r="H1987">
        <v>4</v>
      </c>
    </row>
    <row r="1988" spans="1:8">
      <c r="A1988" t="s">
        <v>3622</v>
      </c>
      <c r="B1988" t="s">
        <v>1029</v>
      </c>
      <c r="C1988" s="4">
        <v>45375</v>
      </c>
      <c r="D1988" t="s">
        <v>1667</v>
      </c>
      <c r="E1988" t="s">
        <v>1633</v>
      </c>
      <c r="F1988" s="5">
        <v>3.6</v>
      </c>
      <c r="G1988" t="s">
        <v>1630</v>
      </c>
      <c r="H1988">
        <v>1</v>
      </c>
    </row>
    <row r="1989" spans="1:8">
      <c r="A1989" t="s">
        <v>3623</v>
      </c>
      <c r="B1989" t="s">
        <v>492</v>
      </c>
      <c r="C1989" s="4">
        <v>46042</v>
      </c>
      <c r="D1989" t="s">
        <v>1655</v>
      </c>
      <c r="E1989" t="s">
        <v>1648</v>
      </c>
      <c r="F1989" s="5">
        <v>5.2</v>
      </c>
      <c r="G1989" t="s">
        <v>1630</v>
      </c>
      <c r="H1989">
        <v>1</v>
      </c>
    </row>
    <row r="1990" spans="1:8">
      <c r="A1990" t="s">
        <v>3624</v>
      </c>
      <c r="B1990" t="s">
        <v>435</v>
      </c>
      <c r="C1990" s="4">
        <v>45213</v>
      </c>
      <c r="D1990" t="s">
        <v>1628</v>
      </c>
      <c r="E1990" t="s">
        <v>1633</v>
      </c>
      <c r="F1990" s="5">
        <v>8.8000000000000007</v>
      </c>
      <c r="G1990" t="s">
        <v>1626</v>
      </c>
      <c r="H1990">
        <v>2</v>
      </c>
    </row>
    <row r="1991" spans="1:8">
      <c r="A1991" t="s">
        <v>3625</v>
      </c>
      <c r="B1991" t="s">
        <v>671</v>
      </c>
      <c r="C1991" s="4">
        <v>45727</v>
      </c>
      <c r="D1991" t="s">
        <v>1637</v>
      </c>
      <c r="E1991" t="s">
        <v>1605</v>
      </c>
      <c r="F1991" s="5">
        <v>5.5</v>
      </c>
      <c r="G1991" t="s">
        <v>1630</v>
      </c>
      <c r="H1991">
        <v>2</v>
      </c>
    </row>
    <row r="1992" spans="1:8">
      <c r="A1992" t="s">
        <v>3626</v>
      </c>
      <c r="B1992" t="s">
        <v>26</v>
      </c>
      <c r="C1992" s="4">
        <v>45534</v>
      </c>
      <c r="D1992" t="s">
        <v>1667</v>
      </c>
      <c r="E1992" t="s">
        <v>1609</v>
      </c>
      <c r="F1992" s="5">
        <v>0.6</v>
      </c>
      <c r="G1992" t="s">
        <v>1630</v>
      </c>
      <c r="H1992">
        <v>1</v>
      </c>
    </row>
    <row r="1993" spans="1:8">
      <c r="A1993" t="s">
        <v>3627</v>
      </c>
      <c r="B1993" t="s">
        <v>1235</v>
      </c>
      <c r="C1993" s="4">
        <v>45537</v>
      </c>
      <c r="D1993" t="s">
        <v>1628</v>
      </c>
      <c r="E1993" t="s">
        <v>1609</v>
      </c>
      <c r="F1993" s="5">
        <v>3.8</v>
      </c>
      <c r="G1993" t="s">
        <v>1630</v>
      </c>
      <c r="H1993">
        <v>2</v>
      </c>
    </row>
    <row r="1994" spans="1:8">
      <c r="A1994" t="s">
        <v>3628</v>
      </c>
      <c r="B1994" t="s">
        <v>334</v>
      </c>
      <c r="C1994" s="4">
        <v>46157</v>
      </c>
      <c r="D1994" t="s">
        <v>1625</v>
      </c>
      <c r="E1994" t="s">
        <v>1648</v>
      </c>
      <c r="F1994" s="5">
        <v>10.7</v>
      </c>
      <c r="G1994" t="s">
        <v>1630</v>
      </c>
      <c r="H1994">
        <v>4</v>
      </c>
    </row>
    <row r="1995" spans="1:8">
      <c r="A1995" t="s">
        <v>3629</v>
      </c>
      <c r="B1995" t="s">
        <v>612</v>
      </c>
      <c r="C1995" s="4">
        <v>45908</v>
      </c>
      <c r="D1995" t="s">
        <v>1628</v>
      </c>
      <c r="E1995" t="s">
        <v>1633</v>
      </c>
      <c r="F1995" s="5">
        <v>3.9</v>
      </c>
      <c r="G1995" t="s">
        <v>1630</v>
      </c>
      <c r="H1995">
        <v>5</v>
      </c>
    </row>
    <row r="1996" spans="1:8">
      <c r="A1996" t="s">
        <v>3630</v>
      </c>
      <c r="B1996" t="s">
        <v>811</v>
      </c>
      <c r="C1996" s="4">
        <v>46141</v>
      </c>
      <c r="D1996" t="s">
        <v>1641</v>
      </c>
      <c r="E1996" t="s">
        <v>1629</v>
      </c>
      <c r="F1996" s="5">
        <v>20.9</v>
      </c>
      <c r="G1996" t="s">
        <v>1630</v>
      </c>
      <c r="H1996">
        <v>5</v>
      </c>
    </row>
    <row r="1997" spans="1:8">
      <c r="A1997" t="s">
        <v>3631</v>
      </c>
      <c r="B1997" t="s">
        <v>1052</v>
      </c>
      <c r="C1997" s="4">
        <v>45400</v>
      </c>
      <c r="D1997" t="s">
        <v>1628</v>
      </c>
      <c r="E1997" t="s">
        <v>1633</v>
      </c>
      <c r="F1997" s="5">
        <v>6.2</v>
      </c>
      <c r="G1997" t="s">
        <v>1630</v>
      </c>
      <c r="H1997">
        <v>5</v>
      </c>
    </row>
    <row r="1998" spans="1:8">
      <c r="A1998" t="s">
        <v>3632</v>
      </c>
      <c r="B1998" t="s">
        <v>1534</v>
      </c>
      <c r="C1998" s="4">
        <v>45393</v>
      </c>
      <c r="D1998" t="s">
        <v>1625</v>
      </c>
      <c r="E1998" t="s">
        <v>1605</v>
      </c>
      <c r="F1998" s="5">
        <v>9.4</v>
      </c>
      <c r="G1998" t="s">
        <v>1630</v>
      </c>
      <c r="H1998">
        <v>3</v>
      </c>
    </row>
    <row r="1999" spans="1:8">
      <c r="A1999" t="s">
        <v>3633</v>
      </c>
      <c r="B1999" t="s">
        <v>1079</v>
      </c>
      <c r="C1999" s="4">
        <v>45297</v>
      </c>
      <c r="D1999" t="s">
        <v>1632</v>
      </c>
      <c r="E1999" t="s">
        <v>1605</v>
      </c>
      <c r="F1999" s="5">
        <v>12.1</v>
      </c>
      <c r="G1999" t="s">
        <v>1630</v>
      </c>
      <c r="H1999">
        <v>5</v>
      </c>
    </row>
    <row r="2000" spans="1:8">
      <c r="A2000" t="s">
        <v>3634</v>
      </c>
      <c r="B2000" t="s">
        <v>336</v>
      </c>
      <c r="C2000" s="4">
        <v>45270</v>
      </c>
      <c r="D2000" t="s">
        <v>1641</v>
      </c>
      <c r="E2000" t="s">
        <v>1609</v>
      </c>
      <c r="F2000" s="5">
        <v>3.9</v>
      </c>
      <c r="G2000" t="s">
        <v>1630</v>
      </c>
      <c r="H2000">
        <v>3</v>
      </c>
    </row>
    <row r="2001" spans="1:8">
      <c r="A2001" t="s">
        <v>3635</v>
      </c>
      <c r="B2001" t="s">
        <v>235</v>
      </c>
      <c r="C2001" s="4">
        <v>45016</v>
      </c>
      <c r="D2001" t="s">
        <v>1637</v>
      </c>
      <c r="E2001" t="s">
        <v>1609</v>
      </c>
      <c r="F2001" s="5">
        <v>3.8</v>
      </c>
      <c r="G2001" t="s">
        <v>1626</v>
      </c>
      <c r="H200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3"/>
  <sheetViews>
    <sheetView zoomScaleNormal="100" zoomScaleSheetLayoutView="100" workbookViewId="0"/>
  </sheetViews>
  <sheetFormatPr defaultRowHeight="15"/>
  <cols>
    <col min="1" max="1" width="17.125" customWidth="1"/>
    <col min="2" max="2" width="11" customWidth="1"/>
    <col min="3" max="3" width="19.125" customWidth="1"/>
    <col min="4" max="4" width="21.25" customWidth="1"/>
    <col min="5" max="5" width="18.875" customWidth="1"/>
    <col min="6" max="6" width="22.625" customWidth="1"/>
    <col min="7" max="7" width="13.875" customWidth="1"/>
    <col min="8" max="8" width="27.75" customWidth="1"/>
  </cols>
  <sheetData>
    <row r="1" spans="1:8">
      <c r="A1" s="1" t="s">
        <v>3636</v>
      </c>
      <c r="B1" s="1" t="s">
        <v>0</v>
      </c>
      <c r="C1" s="1" t="s">
        <v>13</v>
      </c>
      <c r="D1" s="1" t="s">
        <v>3637</v>
      </c>
      <c r="E1" s="1" t="s">
        <v>3638</v>
      </c>
      <c r="F1" s="1" t="s">
        <v>3639</v>
      </c>
      <c r="G1" s="1" t="s">
        <v>3640</v>
      </c>
      <c r="H1" s="1" t="s">
        <v>3641</v>
      </c>
    </row>
    <row r="2" spans="1:8">
      <c r="A2" t="s">
        <v>3642</v>
      </c>
      <c r="B2" t="s">
        <v>26</v>
      </c>
      <c r="C2" s="4">
        <v>45261</v>
      </c>
      <c r="D2" t="s">
        <v>3643</v>
      </c>
      <c r="E2" t="s">
        <v>62</v>
      </c>
      <c r="F2" t="e">
        <f ca="1">_xludf.XLOOKUP(B2,Base_Clientes!$A:$A,Base_Clientes!$G:$G,"Não encontrado")</f>
        <v>#NAME?</v>
      </c>
      <c r="G2" t="e">
        <f ca="1">_xludf.XLOOKUP(B2,Base_Clientes!$A:$A,Base_Clientes!$I:$I,"Não encontrado")</f>
        <v>#NAME?</v>
      </c>
      <c r="H2" t="str">
        <f>VLOOKUP(B2,Base_Clientes!$A:$Z,21,FALSE)</f>
        <v>Alto risco</v>
      </c>
    </row>
    <row r="3" spans="1:8">
      <c r="A3" t="s">
        <v>3644</v>
      </c>
      <c r="B3" t="s">
        <v>46</v>
      </c>
      <c r="C3" s="4">
        <v>46133</v>
      </c>
      <c r="D3" t="s">
        <v>3645</v>
      </c>
      <c r="E3" t="s">
        <v>43</v>
      </c>
      <c r="F3" t="e">
        <f ca="1">_xludf.XLOOKUP(B3,Base_Clientes!$A:$A,Base_Clientes!$G:$G,"Não encontrado")</f>
        <v>#NAME?</v>
      </c>
      <c r="G3" t="e">
        <f ca="1">_xludf.XLOOKUP(B3,Base_Clientes!$A:$A,Base_Clientes!$I:$I,"Não encontrado")</f>
        <v>#NAME?</v>
      </c>
      <c r="H3" t="str">
        <f>VLOOKUP(B3,Base_Clientes!$A:$Z,21,FALSE)</f>
        <v>Alto risco</v>
      </c>
    </row>
    <row r="4" spans="1:8">
      <c r="A4" t="s">
        <v>3646</v>
      </c>
      <c r="B4" t="s">
        <v>51</v>
      </c>
      <c r="C4" s="4">
        <v>45887</v>
      </c>
      <c r="D4" t="s">
        <v>3647</v>
      </c>
      <c r="E4" t="s">
        <v>159</v>
      </c>
      <c r="F4" t="e">
        <f ca="1">_xludf.XLOOKUP(B4,Base_Clientes!$A:$A,Base_Clientes!$G:$G,"Não encontrado")</f>
        <v>#NAME?</v>
      </c>
      <c r="G4" t="e">
        <f ca="1">_xludf.XLOOKUP(B4,Base_Clientes!$A:$A,Base_Clientes!$I:$I,"Não encontrado")</f>
        <v>#NAME?</v>
      </c>
      <c r="H4" t="str">
        <f>VLOOKUP(B4,Base_Clientes!$A:$Z,21,FALSE)</f>
        <v>Alto risco</v>
      </c>
    </row>
    <row r="5" spans="1:8">
      <c r="A5" t="s">
        <v>3648</v>
      </c>
      <c r="B5" t="s">
        <v>88</v>
      </c>
      <c r="C5" s="4">
        <v>46083</v>
      </c>
      <c r="D5" t="s">
        <v>3649</v>
      </c>
      <c r="E5" t="s">
        <v>292</v>
      </c>
      <c r="F5" t="e">
        <f ca="1">_xludf.XLOOKUP(B5,Base_Clientes!$A:$A,Base_Clientes!$G:$G,"Não encontrado")</f>
        <v>#NAME?</v>
      </c>
      <c r="G5" t="e">
        <f ca="1">_xludf.XLOOKUP(B5,Base_Clientes!$A:$A,Base_Clientes!$I:$I,"Não encontrado")</f>
        <v>#NAME?</v>
      </c>
      <c r="H5" t="str">
        <f>VLOOKUP(B5,Base_Clientes!$A:$Z,21,FALSE)</f>
        <v>Alto risco</v>
      </c>
    </row>
    <row r="6" spans="1:8">
      <c r="A6" t="s">
        <v>3650</v>
      </c>
      <c r="B6" t="s">
        <v>98</v>
      </c>
      <c r="C6" s="4">
        <v>45709</v>
      </c>
      <c r="D6" t="s">
        <v>3651</v>
      </c>
      <c r="E6" t="s">
        <v>289</v>
      </c>
      <c r="F6" t="e">
        <f ca="1">_xludf.XLOOKUP(B6,Base_Clientes!$A:$A,Base_Clientes!$G:$G,"Não encontrado")</f>
        <v>#NAME?</v>
      </c>
      <c r="G6" t="e">
        <f ca="1">_xludf.XLOOKUP(B6,Base_Clientes!$A:$A,Base_Clientes!$I:$I,"Não encontrado")</f>
        <v>#NAME?</v>
      </c>
      <c r="H6" t="str">
        <f>VLOOKUP(B6,Base_Clientes!$A:$Z,21,FALSE)</f>
        <v>Alto risco</v>
      </c>
    </row>
    <row r="7" spans="1:8">
      <c r="A7" t="s">
        <v>3652</v>
      </c>
      <c r="B7" t="s">
        <v>106</v>
      </c>
      <c r="C7" s="4">
        <v>45352</v>
      </c>
      <c r="D7" t="s">
        <v>3643</v>
      </c>
      <c r="E7" t="s">
        <v>126</v>
      </c>
      <c r="F7" t="e">
        <f ca="1">_xludf.XLOOKUP(B7,Base_Clientes!$A:$A,Base_Clientes!$G:$G,"Não encontrado")</f>
        <v>#NAME?</v>
      </c>
      <c r="G7" t="e">
        <f ca="1">_xludf.XLOOKUP(B7,Base_Clientes!$A:$A,Base_Clientes!$I:$I,"Não encontrado")</f>
        <v>#NAME?</v>
      </c>
      <c r="H7" t="str">
        <f>VLOOKUP(B7,Base_Clientes!$A:$Z,21,FALSE)</f>
        <v>Alto risco</v>
      </c>
    </row>
    <row r="8" spans="1:8">
      <c r="A8" t="s">
        <v>3653</v>
      </c>
      <c r="B8" t="s">
        <v>116</v>
      </c>
      <c r="C8" s="4">
        <v>46052</v>
      </c>
      <c r="D8" t="s">
        <v>3651</v>
      </c>
      <c r="E8" t="s">
        <v>148</v>
      </c>
      <c r="F8" t="e">
        <f ca="1">_xludf.XLOOKUP(B8,Base_Clientes!$A:$A,Base_Clientes!$G:$G,"Não encontrado")</f>
        <v>#NAME?</v>
      </c>
      <c r="G8" t="e">
        <f ca="1">_xludf.XLOOKUP(B8,Base_Clientes!$A:$A,Base_Clientes!$I:$I,"Não encontrado")</f>
        <v>#NAME?</v>
      </c>
      <c r="H8" t="str">
        <f>VLOOKUP(B8,Base_Clientes!$A:$Z,21,FALSE)</f>
        <v>Alto risco</v>
      </c>
    </row>
    <row r="9" spans="1:8">
      <c r="A9" t="s">
        <v>3654</v>
      </c>
      <c r="B9" t="s">
        <v>127</v>
      </c>
      <c r="C9" s="4">
        <v>46105</v>
      </c>
      <c r="D9" t="s">
        <v>3647</v>
      </c>
      <c r="E9" t="s">
        <v>292</v>
      </c>
      <c r="F9" t="e">
        <f ca="1">_xludf.XLOOKUP(B9,Base_Clientes!$A:$A,Base_Clientes!$G:$G,"Não encontrado")</f>
        <v>#NAME?</v>
      </c>
      <c r="G9" t="e">
        <f ca="1">_xludf.XLOOKUP(B9,Base_Clientes!$A:$A,Base_Clientes!$I:$I,"Não encontrado")</f>
        <v>#NAME?</v>
      </c>
      <c r="H9" t="str">
        <f>VLOOKUP(B9,Base_Clientes!$A:$Z,21,FALSE)</f>
        <v>Alto risco</v>
      </c>
    </row>
    <row r="10" spans="1:8">
      <c r="A10" t="s">
        <v>3655</v>
      </c>
      <c r="B10" t="s">
        <v>129</v>
      </c>
      <c r="C10" s="4">
        <v>45604</v>
      </c>
      <c r="D10" t="s">
        <v>3647</v>
      </c>
      <c r="E10" t="s">
        <v>83</v>
      </c>
      <c r="F10" t="e">
        <f ca="1">_xludf.XLOOKUP(B10,Base_Clientes!$A:$A,Base_Clientes!$G:$G,"Não encontrado")</f>
        <v>#NAME?</v>
      </c>
      <c r="G10" t="e">
        <f ca="1">_xludf.XLOOKUP(B10,Base_Clientes!$A:$A,Base_Clientes!$I:$I,"Não encontrado")</f>
        <v>#NAME?</v>
      </c>
      <c r="H10" t="str">
        <f>VLOOKUP(B10,Base_Clientes!$A:$Z,21,FALSE)</f>
        <v>Alto risco</v>
      </c>
    </row>
    <row r="11" spans="1:8">
      <c r="A11" t="s">
        <v>3656</v>
      </c>
      <c r="B11" t="s">
        <v>133</v>
      </c>
      <c r="C11" s="4">
        <v>46123</v>
      </c>
      <c r="D11" t="s">
        <v>3651</v>
      </c>
      <c r="E11" t="s">
        <v>43</v>
      </c>
      <c r="F11" t="e">
        <f ca="1">_xludf.XLOOKUP(B11,Base_Clientes!$A:$A,Base_Clientes!$G:$G,"Não encontrado")</f>
        <v>#NAME?</v>
      </c>
      <c r="G11" t="e">
        <f ca="1">_xludf.XLOOKUP(B11,Base_Clientes!$A:$A,Base_Clientes!$I:$I,"Não encontrado")</f>
        <v>#NAME?</v>
      </c>
      <c r="H11" t="str">
        <f>VLOOKUP(B11,Base_Clientes!$A:$Z,21,FALSE)</f>
        <v>Alto risco</v>
      </c>
    </row>
    <row r="12" spans="1:8">
      <c r="A12" t="s">
        <v>3657</v>
      </c>
      <c r="B12" t="s">
        <v>135</v>
      </c>
      <c r="C12" s="4">
        <v>45946</v>
      </c>
      <c r="D12" t="s">
        <v>3651</v>
      </c>
      <c r="E12" t="s">
        <v>196</v>
      </c>
      <c r="F12" t="e">
        <f ca="1">_xludf.XLOOKUP(B12,Base_Clientes!$A:$A,Base_Clientes!$G:$G,"Não encontrado")</f>
        <v>#NAME?</v>
      </c>
      <c r="G12" t="e">
        <f ca="1">_xludf.XLOOKUP(B12,Base_Clientes!$A:$A,Base_Clientes!$I:$I,"Não encontrado")</f>
        <v>#NAME?</v>
      </c>
      <c r="H12" t="str">
        <f>VLOOKUP(B12,Base_Clientes!$A:$Z,21,FALSE)</f>
        <v>Alto risco</v>
      </c>
    </row>
    <row r="13" spans="1:8">
      <c r="A13" t="s">
        <v>3658</v>
      </c>
      <c r="B13" t="s">
        <v>143</v>
      </c>
      <c r="C13" s="4">
        <v>46120</v>
      </c>
      <c r="D13" t="s">
        <v>3659</v>
      </c>
      <c r="E13" t="s">
        <v>43</v>
      </c>
      <c r="F13" t="e">
        <f ca="1">_xludf.XLOOKUP(B13,Base_Clientes!$A:$A,Base_Clientes!$G:$G,"Não encontrado")</f>
        <v>#NAME?</v>
      </c>
      <c r="G13" t="e">
        <f ca="1">_xludf.XLOOKUP(B13,Base_Clientes!$A:$A,Base_Clientes!$I:$I,"Não encontrado")</f>
        <v>#NAME?</v>
      </c>
      <c r="H13" t="str">
        <f>VLOOKUP(B13,Base_Clientes!$A:$Z,21,FALSE)</f>
        <v>Alto risco</v>
      </c>
    </row>
    <row r="14" spans="1:8">
      <c r="A14" t="s">
        <v>3660</v>
      </c>
      <c r="B14" t="s">
        <v>171</v>
      </c>
      <c r="C14" s="4">
        <v>45825</v>
      </c>
      <c r="D14" t="s">
        <v>3651</v>
      </c>
      <c r="E14" t="s">
        <v>167</v>
      </c>
      <c r="F14" t="e">
        <f ca="1">_xludf.XLOOKUP(B14,Base_Clientes!$A:$A,Base_Clientes!$G:$G,"Não encontrado")</f>
        <v>#NAME?</v>
      </c>
      <c r="G14" t="e">
        <f ca="1">_xludf.XLOOKUP(B14,Base_Clientes!$A:$A,Base_Clientes!$I:$I,"Não encontrado")</f>
        <v>#NAME?</v>
      </c>
      <c r="H14" t="str">
        <f>VLOOKUP(B14,Base_Clientes!$A:$Z,21,FALSE)</f>
        <v>Alto risco</v>
      </c>
    </row>
    <row r="15" spans="1:8">
      <c r="A15" t="s">
        <v>3661</v>
      </c>
      <c r="B15" t="s">
        <v>177</v>
      </c>
      <c r="C15" s="4">
        <v>46066</v>
      </c>
      <c r="D15" t="s">
        <v>3651</v>
      </c>
      <c r="E15" t="s">
        <v>74</v>
      </c>
      <c r="F15" t="e">
        <f ca="1">_xludf.XLOOKUP(B15,Base_Clientes!$A:$A,Base_Clientes!$G:$G,"Não encontrado")</f>
        <v>#NAME?</v>
      </c>
      <c r="G15" t="e">
        <f ca="1">_xludf.XLOOKUP(B15,Base_Clientes!$A:$A,Base_Clientes!$I:$I,"Não encontrado")</f>
        <v>#NAME?</v>
      </c>
      <c r="H15" t="str">
        <f>VLOOKUP(B15,Base_Clientes!$A:$Z,21,FALSE)</f>
        <v>Alto risco</v>
      </c>
    </row>
    <row r="16" spans="1:8">
      <c r="A16" t="s">
        <v>3662</v>
      </c>
      <c r="B16" t="s">
        <v>192</v>
      </c>
      <c r="C16" s="4">
        <v>45904</v>
      </c>
      <c r="D16" t="s">
        <v>3643</v>
      </c>
      <c r="E16" t="s">
        <v>189</v>
      </c>
      <c r="F16" t="e">
        <f ca="1">_xludf.XLOOKUP(B16,Base_Clientes!$A:$A,Base_Clientes!$G:$G,"Não encontrado")</f>
        <v>#NAME?</v>
      </c>
      <c r="G16" t="e">
        <f ca="1">_xludf.XLOOKUP(B16,Base_Clientes!$A:$A,Base_Clientes!$I:$I,"Não encontrado")</f>
        <v>#NAME?</v>
      </c>
      <c r="H16" t="str">
        <f>VLOOKUP(B16,Base_Clientes!$A:$Z,21,FALSE)</f>
        <v>Alto risco</v>
      </c>
    </row>
    <row r="17" spans="1:8">
      <c r="A17" t="s">
        <v>3663</v>
      </c>
      <c r="B17" t="s">
        <v>199</v>
      </c>
      <c r="C17" s="4">
        <v>45973</v>
      </c>
      <c r="D17" t="s">
        <v>3649</v>
      </c>
      <c r="E17" t="s">
        <v>87</v>
      </c>
      <c r="F17" t="e">
        <f ca="1">_xludf.XLOOKUP(B17,Base_Clientes!$A:$A,Base_Clientes!$G:$G,"Não encontrado")</f>
        <v>#NAME?</v>
      </c>
      <c r="G17" t="e">
        <f ca="1">_xludf.XLOOKUP(B17,Base_Clientes!$A:$A,Base_Clientes!$I:$I,"Não encontrado")</f>
        <v>#NAME?</v>
      </c>
      <c r="H17" t="str">
        <f>VLOOKUP(B17,Base_Clientes!$A:$Z,21,FALSE)</f>
        <v>Alto risco</v>
      </c>
    </row>
    <row r="18" spans="1:8">
      <c r="A18" t="s">
        <v>3664</v>
      </c>
      <c r="B18" t="s">
        <v>204</v>
      </c>
      <c r="C18" s="4">
        <v>45213</v>
      </c>
      <c r="D18" t="s">
        <v>3643</v>
      </c>
      <c r="E18" t="s">
        <v>215</v>
      </c>
      <c r="F18" t="e">
        <f ca="1">_xludf.XLOOKUP(B18,Base_Clientes!$A:$A,Base_Clientes!$G:$G,"Não encontrado")</f>
        <v>#NAME?</v>
      </c>
      <c r="G18" t="e">
        <f ca="1">_xludf.XLOOKUP(B18,Base_Clientes!$A:$A,Base_Clientes!$I:$I,"Não encontrado")</f>
        <v>#NAME?</v>
      </c>
      <c r="H18" t="str">
        <f>VLOOKUP(B18,Base_Clientes!$A:$Z,21,FALSE)</f>
        <v>Alto risco</v>
      </c>
    </row>
    <row r="19" spans="1:8">
      <c r="A19" t="s">
        <v>3665</v>
      </c>
      <c r="B19" t="s">
        <v>206</v>
      </c>
      <c r="C19" s="4">
        <v>45734</v>
      </c>
      <c r="D19" t="s">
        <v>3666</v>
      </c>
      <c r="E19" t="s">
        <v>454</v>
      </c>
      <c r="F19" t="e">
        <f ca="1">_xludf.XLOOKUP(B19,Base_Clientes!$A:$A,Base_Clientes!$G:$G,"Não encontrado")</f>
        <v>#NAME?</v>
      </c>
      <c r="G19" t="e">
        <f ca="1">_xludf.XLOOKUP(B19,Base_Clientes!$A:$A,Base_Clientes!$I:$I,"Não encontrado")</f>
        <v>#NAME?</v>
      </c>
      <c r="H19" t="str">
        <f>VLOOKUP(B19,Base_Clientes!$A:$Z,21,FALSE)</f>
        <v>Alto risco</v>
      </c>
    </row>
    <row r="20" spans="1:8">
      <c r="A20" t="s">
        <v>3667</v>
      </c>
      <c r="B20" t="s">
        <v>208</v>
      </c>
      <c r="C20" s="4">
        <v>45725</v>
      </c>
      <c r="D20" t="s">
        <v>3668</v>
      </c>
      <c r="E20" t="s">
        <v>454</v>
      </c>
      <c r="F20" t="e">
        <f ca="1">_xludf.XLOOKUP(B20,Base_Clientes!$A:$A,Base_Clientes!$G:$G,"Não encontrado")</f>
        <v>#NAME?</v>
      </c>
      <c r="G20" t="e">
        <f ca="1">_xludf.XLOOKUP(B20,Base_Clientes!$A:$A,Base_Clientes!$I:$I,"Não encontrado")</f>
        <v>#NAME?</v>
      </c>
      <c r="H20" t="str">
        <f>VLOOKUP(B20,Base_Clientes!$A:$Z,21,FALSE)</f>
        <v>Alto risco</v>
      </c>
    </row>
    <row r="21" spans="1:8">
      <c r="A21" t="s">
        <v>3669</v>
      </c>
      <c r="B21" t="s">
        <v>241</v>
      </c>
      <c r="C21" s="4">
        <v>45719</v>
      </c>
      <c r="D21" t="s">
        <v>3651</v>
      </c>
      <c r="E21" t="s">
        <v>454</v>
      </c>
      <c r="F21" t="e">
        <f ca="1">_xludf.XLOOKUP(B21,Base_Clientes!$A:$A,Base_Clientes!$G:$G,"Não encontrado")</f>
        <v>#NAME?</v>
      </c>
      <c r="G21" t="e">
        <f ca="1">_xludf.XLOOKUP(B21,Base_Clientes!$A:$A,Base_Clientes!$I:$I,"Não encontrado")</f>
        <v>#NAME?</v>
      </c>
      <c r="H21" t="str">
        <f>VLOOKUP(B21,Base_Clientes!$A:$Z,21,FALSE)</f>
        <v>Alto risco</v>
      </c>
    </row>
    <row r="22" spans="1:8">
      <c r="A22" t="s">
        <v>3670</v>
      </c>
      <c r="B22" t="s">
        <v>251</v>
      </c>
      <c r="C22" s="4">
        <v>46071</v>
      </c>
      <c r="D22" t="s">
        <v>3666</v>
      </c>
      <c r="E22" t="s">
        <v>74</v>
      </c>
      <c r="F22" t="e">
        <f ca="1">_xludf.XLOOKUP(B22,Base_Clientes!$A:$A,Base_Clientes!$G:$G,"Não encontrado")</f>
        <v>#NAME?</v>
      </c>
      <c r="G22" t="e">
        <f ca="1">_xludf.XLOOKUP(B22,Base_Clientes!$A:$A,Base_Clientes!$I:$I,"Não encontrado")</f>
        <v>#NAME?</v>
      </c>
      <c r="H22" t="str">
        <f>VLOOKUP(B22,Base_Clientes!$A:$Z,21,FALSE)</f>
        <v>Alto risco</v>
      </c>
    </row>
    <row r="23" spans="1:8">
      <c r="A23" t="s">
        <v>3671</v>
      </c>
      <c r="B23" t="s">
        <v>257</v>
      </c>
      <c r="C23" s="4">
        <v>45828</v>
      </c>
      <c r="D23" t="s">
        <v>3666</v>
      </c>
      <c r="E23" t="s">
        <v>167</v>
      </c>
      <c r="F23" t="e">
        <f ca="1">_xludf.XLOOKUP(B23,Base_Clientes!$A:$A,Base_Clientes!$G:$G,"Não encontrado")</f>
        <v>#NAME?</v>
      </c>
      <c r="G23" t="e">
        <f ca="1">_xludf.XLOOKUP(B23,Base_Clientes!$A:$A,Base_Clientes!$I:$I,"Não encontrado")</f>
        <v>#NAME?</v>
      </c>
      <c r="H23" t="str">
        <f>VLOOKUP(B23,Base_Clientes!$A:$Z,21,FALSE)</f>
        <v>Alto risco</v>
      </c>
    </row>
    <row r="24" spans="1:8">
      <c r="A24" t="s">
        <v>3672</v>
      </c>
      <c r="B24" t="s">
        <v>262</v>
      </c>
      <c r="C24" s="4">
        <v>45900</v>
      </c>
      <c r="D24" t="s">
        <v>3668</v>
      </c>
      <c r="E24" t="s">
        <v>159</v>
      </c>
      <c r="F24" t="e">
        <f ca="1">_xludf.XLOOKUP(B24,Base_Clientes!$A:$A,Base_Clientes!$G:$G,"Não encontrado")</f>
        <v>#NAME?</v>
      </c>
      <c r="G24" t="e">
        <f ca="1">_xludf.XLOOKUP(B24,Base_Clientes!$A:$A,Base_Clientes!$I:$I,"Não encontrado")</f>
        <v>#NAME?</v>
      </c>
      <c r="H24" t="str">
        <f>VLOOKUP(B24,Base_Clientes!$A:$Z,21,FALSE)</f>
        <v>Alto risco</v>
      </c>
    </row>
    <row r="25" spans="1:8">
      <c r="A25" t="s">
        <v>3673</v>
      </c>
      <c r="B25" t="s">
        <v>264</v>
      </c>
      <c r="C25" s="4">
        <v>46058</v>
      </c>
      <c r="D25" t="s">
        <v>3651</v>
      </c>
      <c r="E25" t="s">
        <v>74</v>
      </c>
      <c r="F25" t="e">
        <f ca="1">_xludf.XLOOKUP(B25,Base_Clientes!$A:$A,Base_Clientes!$G:$G,"Não encontrado")</f>
        <v>#NAME?</v>
      </c>
      <c r="G25" t="e">
        <f ca="1">_xludf.XLOOKUP(B25,Base_Clientes!$A:$A,Base_Clientes!$I:$I,"Não encontrado")</f>
        <v>#NAME?</v>
      </c>
      <c r="H25" t="str">
        <f>VLOOKUP(B25,Base_Clientes!$A:$Z,21,FALSE)</f>
        <v>Alto risco</v>
      </c>
    </row>
    <row r="26" spans="1:8">
      <c r="A26" t="s">
        <v>3674</v>
      </c>
      <c r="B26" t="s">
        <v>265</v>
      </c>
      <c r="C26" s="4">
        <v>45582</v>
      </c>
      <c r="D26" t="s">
        <v>3659</v>
      </c>
      <c r="E26" t="s">
        <v>123</v>
      </c>
      <c r="F26" t="e">
        <f ca="1">_xludf.XLOOKUP(B26,Base_Clientes!$A:$A,Base_Clientes!$G:$G,"Não encontrado")</f>
        <v>#NAME?</v>
      </c>
      <c r="G26" t="e">
        <f ca="1">_xludf.XLOOKUP(B26,Base_Clientes!$A:$A,Base_Clientes!$I:$I,"Não encontrado")</f>
        <v>#NAME?</v>
      </c>
      <c r="H26" t="str">
        <f>VLOOKUP(B26,Base_Clientes!$A:$Z,21,FALSE)</f>
        <v>Alto risco</v>
      </c>
    </row>
    <row r="27" spans="1:8">
      <c r="A27" t="s">
        <v>3675</v>
      </c>
      <c r="B27" t="s">
        <v>270</v>
      </c>
      <c r="C27" s="4">
        <v>46164</v>
      </c>
      <c r="D27" t="s">
        <v>3643</v>
      </c>
      <c r="E27" t="s">
        <v>3676</v>
      </c>
      <c r="F27" t="e">
        <f ca="1">_xludf.XLOOKUP(B27,Base_Clientes!$A:$A,Base_Clientes!$G:$G,"Não encontrado")</f>
        <v>#NAME?</v>
      </c>
      <c r="G27" t="e">
        <f ca="1">_xludf.XLOOKUP(B27,Base_Clientes!$A:$A,Base_Clientes!$I:$I,"Não encontrado")</f>
        <v>#NAME?</v>
      </c>
      <c r="H27" t="str">
        <f>VLOOKUP(B27,Base_Clientes!$A:$Z,21,FALSE)</f>
        <v>Alto risco</v>
      </c>
    </row>
    <row r="28" spans="1:8">
      <c r="A28" t="s">
        <v>3677</v>
      </c>
      <c r="B28" t="s">
        <v>272</v>
      </c>
      <c r="C28" s="4">
        <v>45653</v>
      </c>
      <c r="D28" t="s">
        <v>3649</v>
      </c>
      <c r="E28" t="s">
        <v>49</v>
      </c>
      <c r="F28" t="e">
        <f ca="1">_xludf.XLOOKUP(B28,Base_Clientes!$A:$A,Base_Clientes!$G:$G,"Não encontrado")</f>
        <v>#NAME?</v>
      </c>
      <c r="G28" t="e">
        <f ca="1">_xludf.XLOOKUP(B28,Base_Clientes!$A:$A,Base_Clientes!$I:$I,"Não encontrado")</f>
        <v>#NAME?</v>
      </c>
      <c r="H28" t="str">
        <f>VLOOKUP(B28,Base_Clientes!$A:$Z,21,FALSE)</f>
        <v>Alto risco</v>
      </c>
    </row>
    <row r="29" spans="1:8">
      <c r="A29" t="s">
        <v>3678</v>
      </c>
      <c r="B29" t="s">
        <v>274</v>
      </c>
      <c r="C29" s="4">
        <v>45566</v>
      </c>
      <c r="D29" t="s">
        <v>3666</v>
      </c>
      <c r="E29" t="s">
        <v>123</v>
      </c>
      <c r="F29" t="e">
        <f ca="1">_xludf.XLOOKUP(B29,Base_Clientes!$A:$A,Base_Clientes!$G:$G,"Não encontrado")</f>
        <v>#NAME?</v>
      </c>
      <c r="G29" t="e">
        <f ca="1">_xludf.XLOOKUP(B29,Base_Clientes!$A:$A,Base_Clientes!$I:$I,"Não encontrado")</f>
        <v>#NAME?</v>
      </c>
      <c r="H29" t="str">
        <f>VLOOKUP(B29,Base_Clientes!$A:$Z,21,FALSE)</f>
        <v>Alto risco</v>
      </c>
    </row>
    <row r="30" spans="1:8">
      <c r="A30" t="s">
        <v>3679</v>
      </c>
      <c r="B30" t="s">
        <v>278</v>
      </c>
      <c r="C30" s="4">
        <v>46015</v>
      </c>
      <c r="D30" t="s">
        <v>3643</v>
      </c>
      <c r="E30" t="s">
        <v>170</v>
      </c>
      <c r="F30" t="e">
        <f ca="1">_xludf.XLOOKUP(B30,Base_Clientes!$A:$A,Base_Clientes!$G:$G,"Não encontrado")</f>
        <v>#NAME?</v>
      </c>
      <c r="G30" t="e">
        <f ca="1">_xludf.XLOOKUP(B30,Base_Clientes!$A:$A,Base_Clientes!$I:$I,"Não encontrado")</f>
        <v>#NAME?</v>
      </c>
      <c r="H30" t="str">
        <f>VLOOKUP(B30,Base_Clientes!$A:$Z,21,FALSE)</f>
        <v>Alto risco</v>
      </c>
    </row>
    <row r="31" spans="1:8">
      <c r="A31" t="s">
        <v>3680</v>
      </c>
      <c r="B31" t="s">
        <v>281</v>
      </c>
      <c r="C31" s="4">
        <v>45776</v>
      </c>
      <c r="D31" t="s">
        <v>3651</v>
      </c>
      <c r="E31" t="s">
        <v>222</v>
      </c>
      <c r="F31" t="e">
        <f ca="1">_xludf.XLOOKUP(B31,Base_Clientes!$A:$A,Base_Clientes!$G:$G,"Não encontrado")</f>
        <v>#NAME?</v>
      </c>
      <c r="G31" t="e">
        <f ca="1">_xludf.XLOOKUP(B31,Base_Clientes!$A:$A,Base_Clientes!$I:$I,"Não encontrado")</f>
        <v>#NAME?</v>
      </c>
      <c r="H31" t="str">
        <f>VLOOKUP(B31,Base_Clientes!$A:$Z,21,FALSE)</f>
        <v>Alto risco</v>
      </c>
    </row>
    <row r="32" spans="1:8">
      <c r="A32" t="s">
        <v>3681</v>
      </c>
      <c r="B32" t="s">
        <v>285</v>
      </c>
      <c r="C32" s="4">
        <v>45804</v>
      </c>
      <c r="D32" t="s">
        <v>3649</v>
      </c>
      <c r="E32" t="s">
        <v>97</v>
      </c>
      <c r="F32" t="e">
        <f ca="1">_xludf.XLOOKUP(B32,Base_Clientes!$A:$A,Base_Clientes!$G:$G,"Não encontrado")</f>
        <v>#NAME?</v>
      </c>
      <c r="G32" t="e">
        <f ca="1">_xludf.XLOOKUP(B32,Base_Clientes!$A:$A,Base_Clientes!$I:$I,"Não encontrado")</f>
        <v>#NAME?</v>
      </c>
      <c r="H32" t="str">
        <f>VLOOKUP(B32,Base_Clientes!$A:$Z,21,FALSE)</f>
        <v>Alto risco</v>
      </c>
    </row>
    <row r="33" spans="1:8">
      <c r="A33" t="s">
        <v>3682</v>
      </c>
      <c r="B33" t="s">
        <v>290</v>
      </c>
      <c r="C33" s="4">
        <v>46137</v>
      </c>
      <c r="D33" t="s">
        <v>3649</v>
      </c>
      <c r="E33" t="s">
        <v>43</v>
      </c>
      <c r="F33" t="e">
        <f ca="1">_xludf.XLOOKUP(B33,Base_Clientes!$A:$A,Base_Clientes!$G:$G,"Não encontrado")</f>
        <v>#NAME?</v>
      </c>
      <c r="G33" t="e">
        <f ca="1">_xludf.XLOOKUP(B33,Base_Clientes!$A:$A,Base_Clientes!$I:$I,"Não encontrado")</f>
        <v>#NAME?</v>
      </c>
      <c r="H33" t="str">
        <f>VLOOKUP(B33,Base_Clientes!$A:$Z,21,FALSE)</f>
        <v>Alto risco</v>
      </c>
    </row>
    <row r="34" spans="1:8">
      <c r="A34" t="s">
        <v>3683</v>
      </c>
      <c r="B34" t="s">
        <v>295</v>
      </c>
      <c r="C34" s="4">
        <v>45459</v>
      </c>
      <c r="D34" t="s">
        <v>3651</v>
      </c>
      <c r="E34" t="s">
        <v>145</v>
      </c>
      <c r="F34" t="e">
        <f ca="1">_xludf.XLOOKUP(B34,Base_Clientes!$A:$A,Base_Clientes!$G:$G,"Não encontrado")</f>
        <v>#NAME?</v>
      </c>
      <c r="G34" t="e">
        <f ca="1">_xludf.XLOOKUP(B34,Base_Clientes!$A:$A,Base_Clientes!$I:$I,"Não encontrado")</f>
        <v>#NAME?</v>
      </c>
      <c r="H34" t="str">
        <f>VLOOKUP(B34,Base_Clientes!$A:$Z,21,FALSE)</f>
        <v>Alto risco</v>
      </c>
    </row>
    <row r="35" spans="1:8">
      <c r="A35" t="s">
        <v>3684</v>
      </c>
      <c r="B35" t="s">
        <v>307</v>
      </c>
      <c r="C35" s="4">
        <v>45935</v>
      </c>
      <c r="D35" t="s">
        <v>3645</v>
      </c>
      <c r="E35" t="s">
        <v>196</v>
      </c>
      <c r="F35" t="e">
        <f ca="1">_xludf.XLOOKUP(B35,Base_Clientes!$A:$A,Base_Clientes!$G:$G,"Não encontrado")</f>
        <v>#NAME?</v>
      </c>
      <c r="G35" t="e">
        <f ca="1">_xludf.XLOOKUP(B35,Base_Clientes!$A:$A,Base_Clientes!$I:$I,"Não encontrado")</f>
        <v>#NAME?</v>
      </c>
      <c r="H35" t="str">
        <f>VLOOKUP(B35,Base_Clientes!$A:$Z,21,FALSE)</f>
        <v>Alto risco</v>
      </c>
    </row>
    <row r="36" spans="1:8">
      <c r="A36" t="s">
        <v>3685</v>
      </c>
      <c r="B36" t="s">
        <v>309</v>
      </c>
      <c r="C36" s="4">
        <v>46081</v>
      </c>
      <c r="D36" t="s">
        <v>3645</v>
      </c>
      <c r="E36" t="s">
        <v>74</v>
      </c>
      <c r="F36" t="e">
        <f ca="1">_xludf.XLOOKUP(B36,Base_Clientes!$A:$A,Base_Clientes!$G:$G,"Não encontrado")</f>
        <v>#NAME?</v>
      </c>
      <c r="G36" t="e">
        <f ca="1">_xludf.XLOOKUP(B36,Base_Clientes!$A:$A,Base_Clientes!$I:$I,"Não encontrado")</f>
        <v>#NAME?</v>
      </c>
      <c r="H36" t="str">
        <f>VLOOKUP(B36,Base_Clientes!$A:$Z,21,FALSE)</f>
        <v>Alto risco</v>
      </c>
    </row>
    <row r="37" spans="1:8">
      <c r="A37" t="s">
        <v>3686</v>
      </c>
      <c r="B37" t="s">
        <v>311</v>
      </c>
      <c r="C37" s="4">
        <v>45508</v>
      </c>
      <c r="D37" t="s">
        <v>3647</v>
      </c>
      <c r="E37" t="s">
        <v>156</v>
      </c>
      <c r="F37" t="e">
        <f ca="1">_xludf.XLOOKUP(B37,Base_Clientes!$A:$A,Base_Clientes!$G:$G,"Não encontrado")</f>
        <v>#NAME?</v>
      </c>
      <c r="G37" t="e">
        <f ca="1">_xludf.XLOOKUP(B37,Base_Clientes!$A:$A,Base_Clientes!$I:$I,"Não encontrado")</f>
        <v>#NAME?</v>
      </c>
      <c r="H37" t="str">
        <f>VLOOKUP(B37,Base_Clientes!$A:$Z,21,FALSE)</f>
        <v>Alto risco</v>
      </c>
    </row>
    <row r="38" spans="1:8">
      <c r="A38" t="s">
        <v>3687</v>
      </c>
      <c r="B38" t="s">
        <v>319</v>
      </c>
      <c r="C38" s="4">
        <v>45955</v>
      </c>
      <c r="D38" t="s">
        <v>3643</v>
      </c>
      <c r="E38" t="s">
        <v>196</v>
      </c>
      <c r="F38" t="e">
        <f ca="1">_xludf.XLOOKUP(B38,Base_Clientes!$A:$A,Base_Clientes!$G:$G,"Não encontrado")</f>
        <v>#NAME?</v>
      </c>
      <c r="G38" t="e">
        <f ca="1">_xludf.XLOOKUP(B38,Base_Clientes!$A:$A,Base_Clientes!$I:$I,"Não encontrado")</f>
        <v>#NAME?</v>
      </c>
      <c r="H38" t="str">
        <f>VLOOKUP(B38,Base_Clientes!$A:$Z,21,FALSE)</f>
        <v>Alto risco</v>
      </c>
    </row>
    <row r="39" spans="1:8">
      <c r="A39" t="s">
        <v>3688</v>
      </c>
      <c r="B39" t="s">
        <v>323</v>
      </c>
      <c r="C39" s="4">
        <v>45693</v>
      </c>
      <c r="D39" t="s">
        <v>3651</v>
      </c>
      <c r="E39" t="s">
        <v>289</v>
      </c>
      <c r="F39" t="e">
        <f ca="1">_xludf.XLOOKUP(B39,Base_Clientes!$A:$A,Base_Clientes!$G:$G,"Não encontrado")</f>
        <v>#NAME?</v>
      </c>
      <c r="G39" t="e">
        <f ca="1">_xludf.XLOOKUP(B39,Base_Clientes!$A:$A,Base_Clientes!$I:$I,"Não encontrado")</f>
        <v>#NAME?</v>
      </c>
      <c r="H39" t="str">
        <f>VLOOKUP(B39,Base_Clientes!$A:$Z,21,FALSE)</f>
        <v>Alto risco</v>
      </c>
    </row>
    <row r="40" spans="1:8">
      <c r="A40" t="s">
        <v>3689</v>
      </c>
      <c r="B40" t="s">
        <v>332</v>
      </c>
      <c r="C40" s="4">
        <v>45798</v>
      </c>
      <c r="D40" t="s">
        <v>3651</v>
      </c>
      <c r="E40" t="s">
        <v>97</v>
      </c>
      <c r="F40" t="e">
        <f ca="1">_xludf.XLOOKUP(B40,Base_Clientes!$A:$A,Base_Clientes!$G:$G,"Não encontrado")</f>
        <v>#NAME?</v>
      </c>
      <c r="G40" t="e">
        <f ca="1">_xludf.XLOOKUP(B40,Base_Clientes!$A:$A,Base_Clientes!$I:$I,"Não encontrado")</f>
        <v>#NAME?</v>
      </c>
      <c r="H40" t="str">
        <f>VLOOKUP(B40,Base_Clientes!$A:$Z,21,FALSE)</f>
        <v>Alto risco</v>
      </c>
    </row>
    <row r="41" spans="1:8">
      <c r="A41" t="s">
        <v>3690</v>
      </c>
      <c r="B41" t="s">
        <v>341</v>
      </c>
      <c r="C41" s="4">
        <v>46088</v>
      </c>
      <c r="D41" t="s">
        <v>3659</v>
      </c>
      <c r="E41" t="s">
        <v>292</v>
      </c>
      <c r="F41" t="e">
        <f ca="1">_xludf.XLOOKUP(B41,Base_Clientes!$A:$A,Base_Clientes!$G:$G,"Não encontrado")</f>
        <v>#NAME?</v>
      </c>
      <c r="G41" t="e">
        <f ca="1">_xludf.XLOOKUP(B41,Base_Clientes!$A:$A,Base_Clientes!$I:$I,"Não encontrado")</f>
        <v>#NAME?</v>
      </c>
      <c r="H41" t="str">
        <f>VLOOKUP(B41,Base_Clientes!$A:$Z,21,FALSE)</f>
        <v>Alto risco</v>
      </c>
    </row>
    <row r="42" spans="1:8">
      <c r="A42" t="s">
        <v>3691</v>
      </c>
      <c r="B42" t="s">
        <v>349</v>
      </c>
      <c r="C42" s="4">
        <v>45792</v>
      </c>
      <c r="D42" t="s">
        <v>3651</v>
      </c>
      <c r="E42" t="s">
        <v>97</v>
      </c>
      <c r="F42" t="e">
        <f ca="1">_xludf.XLOOKUP(B42,Base_Clientes!$A:$A,Base_Clientes!$G:$G,"Não encontrado")</f>
        <v>#NAME?</v>
      </c>
      <c r="G42" t="e">
        <f ca="1">_xludf.XLOOKUP(B42,Base_Clientes!$A:$A,Base_Clientes!$I:$I,"Não encontrado")</f>
        <v>#NAME?</v>
      </c>
      <c r="H42" t="str">
        <f>VLOOKUP(B42,Base_Clientes!$A:$Z,21,FALSE)</f>
        <v>Alto risco</v>
      </c>
    </row>
    <row r="43" spans="1:8">
      <c r="A43" t="s">
        <v>3692</v>
      </c>
      <c r="B43" t="s">
        <v>367</v>
      </c>
      <c r="C43" s="4">
        <v>45965</v>
      </c>
      <c r="D43" t="s">
        <v>3651</v>
      </c>
      <c r="E43" t="s">
        <v>87</v>
      </c>
      <c r="F43" t="e">
        <f ca="1">_xludf.XLOOKUP(B43,Base_Clientes!$A:$A,Base_Clientes!$G:$G,"Não encontrado")</f>
        <v>#NAME?</v>
      </c>
      <c r="G43" t="e">
        <f ca="1">_xludf.XLOOKUP(B43,Base_Clientes!$A:$A,Base_Clientes!$I:$I,"Não encontrado")</f>
        <v>#NAME?</v>
      </c>
      <c r="H43" t="str">
        <f>VLOOKUP(B43,Base_Clientes!$A:$Z,21,FALSE)</f>
        <v>Alto risco</v>
      </c>
    </row>
    <row r="44" spans="1:8">
      <c r="A44" t="s">
        <v>3693</v>
      </c>
      <c r="B44" t="s">
        <v>384</v>
      </c>
      <c r="C44" s="4">
        <v>45946</v>
      </c>
      <c r="D44" t="s">
        <v>3649</v>
      </c>
      <c r="E44" t="s">
        <v>196</v>
      </c>
      <c r="F44" t="e">
        <f ca="1">_xludf.XLOOKUP(B44,Base_Clientes!$A:$A,Base_Clientes!$G:$G,"Não encontrado")</f>
        <v>#NAME?</v>
      </c>
      <c r="G44" t="e">
        <f ca="1">_xludf.XLOOKUP(B44,Base_Clientes!$A:$A,Base_Clientes!$I:$I,"Não encontrado")</f>
        <v>#NAME?</v>
      </c>
      <c r="H44" t="str">
        <f>VLOOKUP(B44,Base_Clientes!$A:$Z,21,FALSE)</f>
        <v>Alto risco</v>
      </c>
    </row>
    <row r="45" spans="1:8">
      <c r="A45" t="s">
        <v>3694</v>
      </c>
      <c r="B45" t="s">
        <v>391</v>
      </c>
      <c r="C45" s="4">
        <v>46094</v>
      </c>
      <c r="D45" t="s">
        <v>3643</v>
      </c>
      <c r="E45" t="s">
        <v>292</v>
      </c>
      <c r="F45" t="e">
        <f ca="1">_xludf.XLOOKUP(B45,Base_Clientes!$A:$A,Base_Clientes!$G:$G,"Não encontrado")</f>
        <v>#NAME?</v>
      </c>
      <c r="G45" t="e">
        <f ca="1">_xludf.XLOOKUP(B45,Base_Clientes!$A:$A,Base_Clientes!$I:$I,"Não encontrado")</f>
        <v>#NAME?</v>
      </c>
      <c r="H45" t="str">
        <f>VLOOKUP(B45,Base_Clientes!$A:$Z,21,FALSE)</f>
        <v>Alto risco</v>
      </c>
    </row>
    <row r="46" spans="1:8">
      <c r="A46" t="s">
        <v>3695</v>
      </c>
      <c r="B46" t="s">
        <v>399</v>
      </c>
      <c r="C46" s="4">
        <v>45860</v>
      </c>
      <c r="D46" t="s">
        <v>3643</v>
      </c>
      <c r="E46" t="s">
        <v>212</v>
      </c>
      <c r="F46" t="e">
        <f ca="1">_xludf.XLOOKUP(B46,Base_Clientes!$A:$A,Base_Clientes!$G:$G,"Não encontrado")</f>
        <v>#NAME?</v>
      </c>
      <c r="G46" t="e">
        <f ca="1">_xludf.XLOOKUP(B46,Base_Clientes!$A:$A,Base_Clientes!$I:$I,"Não encontrado")</f>
        <v>#NAME?</v>
      </c>
      <c r="H46" t="str">
        <f>VLOOKUP(B46,Base_Clientes!$A:$Z,21,FALSE)</f>
        <v>Alto risco</v>
      </c>
    </row>
    <row r="47" spans="1:8">
      <c r="A47" t="s">
        <v>3696</v>
      </c>
      <c r="B47" t="s">
        <v>403</v>
      </c>
      <c r="C47" s="4">
        <v>45357</v>
      </c>
      <c r="D47" t="s">
        <v>3649</v>
      </c>
      <c r="E47" t="s">
        <v>126</v>
      </c>
      <c r="F47" t="e">
        <f ca="1">_xludf.XLOOKUP(B47,Base_Clientes!$A:$A,Base_Clientes!$G:$G,"Não encontrado")</f>
        <v>#NAME?</v>
      </c>
      <c r="G47" t="e">
        <f ca="1">_xludf.XLOOKUP(B47,Base_Clientes!$A:$A,Base_Clientes!$I:$I,"Não encontrado")</f>
        <v>#NAME?</v>
      </c>
      <c r="H47" t="str">
        <f>VLOOKUP(B47,Base_Clientes!$A:$Z,21,FALSE)</f>
        <v>Alto risco</v>
      </c>
    </row>
    <row r="48" spans="1:8">
      <c r="A48" t="s">
        <v>3697</v>
      </c>
      <c r="B48" t="s">
        <v>412</v>
      </c>
      <c r="C48" s="4">
        <v>45957</v>
      </c>
      <c r="D48" t="s">
        <v>3643</v>
      </c>
      <c r="E48" t="s">
        <v>196</v>
      </c>
      <c r="F48" t="e">
        <f ca="1">_xludf.XLOOKUP(B48,Base_Clientes!$A:$A,Base_Clientes!$G:$G,"Não encontrado")</f>
        <v>#NAME?</v>
      </c>
      <c r="G48" t="e">
        <f ca="1">_xludf.XLOOKUP(B48,Base_Clientes!$A:$A,Base_Clientes!$I:$I,"Não encontrado")</f>
        <v>#NAME?</v>
      </c>
      <c r="H48" t="str">
        <f>VLOOKUP(B48,Base_Clientes!$A:$Z,21,FALSE)</f>
        <v>Alto risco</v>
      </c>
    </row>
    <row r="49" spans="1:8">
      <c r="A49" t="s">
        <v>3698</v>
      </c>
      <c r="B49" t="s">
        <v>423</v>
      </c>
      <c r="C49" s="4">
        <v>45391</v>
      </c>
      <c r="D49" t="s">
        <v>3651</v>
      </c>
      <c r="E49" t="s">
        <v>56</v>
      </c>
      <c r="F49" t="e">
        <f ca="1">_xludf.XLOOKUP(B49,Base_Clientes!$A:$A,Base_Clientes!$G:$G,"Não encontrado")</f>
        <v>#NAME?</v>
      </c>
      <c r="G49" t="e">
        <f ca="1">_xludf.XLOOKUP(B49,Base_Clientes!$A:$A,Base_Clientes!$I:$I,"Não encontrado")</f>
        <v>#NAME?</v>
      </c>
      <c r="H49" t="str">
        <f>VLOOKUP(B49,Base_Clientes!$A:$Z,21,FALSE)</f>
        <v>Alto risco</v>
      </c>
    </row>
    <row r="50" spans="1:8">
      <c r="A50" t="s">
        <v>3699</v>
      </c>
      <c r="B50" t="s">
        <v>430</v>
      </c>
      <c r="C50" s="4">
        <v>46081</v>
      </c>
      <c r="D50" t="s">
        <v>3647</v>
      </c>
      <c r="E50" t="s">
        <v>74</v>
      </c>
      <c r="F50" t="e">
        <f ca="1">_xludf.XLOOKUP(B50,Base_Clientes!$A:$A,Base_Clientes!$G:$G,"Não encontrado")</f>
        <v>#NAME?</v>
      </c>
      <c r="G50" t="e">
        <f ca="1">_xludf.XLOOKUP(B50,Base_Clientes!$A:$A,Base_Clientes!$I:$I,"Não encontrado")</f>
        <v>#NAME?</v>
      </c>
      <c r="H50" t="str">
        <f>VLOOKUP(B50,Base_Clientes!$A:$Z,21,FALSE)</f>
        <v>Alto risco</v>
      </c>
    </row>
    <row r="51" spans="1:8">
      <c r="A51" t="s">
        <v>3700</v>
      </c>
      <c r="B51" t="s">
        <v>437</v>
      </c>
      <c r="C51" s="4">
        <v>45753</v>
      </c>
      <c r="D51" t="s">
        <v>3668</v>
      </c>
      <c r="E51" t="s">
        <v>222</v>
      </c>
      <c r="F51" t="e">
        <f ca="1">_xludf.XLOOKUP(B51,Base_Clientes!$A:$A,Base_Clientes!$G:$G,"Não encontrado")</f>
        <v>#NAME?</v>
      </c>
      <c r="G51" t="e">
        <f ca="1">_xludf.XLOOKUP(B51,Base_Clientes!$A:$A,Base_Clientes!$I:$I,"Não encontrado")</f>
        <v>#NAME?</v>
      </c>
      <c r="H51" t="str">
        <f>VLOOKUP(B51,Base_Clientes!$A:$Z,21,FALSE)</f>
        <v>Alto risco</v>
      </c>
    </row>
    <row r="52" spans="1:8">
      <c r="A52" t="s">
        <v>3701</v>
      </c>
      <c r="B52" t="s">
        <v>445</v>
      </c>
      <c r="C52" s="4">
        <v>45892</v>
      </c>
      <c r="D52" t="s">
        <v>3659</v>
      </c>
      <c r="E52" t="s">
        <v>159</v>
      </c>
      <c r="F52" t="e">
        <f ca="1">_xludf.XLOOKUP(B52,Base_Clientes!$A:$A,Base_Clientes!$G:$G,"Não encontrado")</f>
        <v>#NAME?</v>
      </c>
      <c r="G52" t="e">
        <f ca="1">_xludf.XLOOKUP(B52,Base_Clientes!$A:$A,Base_Clientes!$I:$I,"Não encontrado")</f>
        <v>#NAME?</v>
      </c>
      <c r="H52" t="str">
        <f>VLOOKUP(B52,Base_Clientes!$A:$Z,21,FALSE)</f>
        <v>Alto risco</v>
      </c>
    </row>
    <row r="53" spans="1:8">
      <c r="A53" t="s">
        <v>3702</v>
      </c>
      <c r="B53" t="s">
        <v>448</v>
      </c>
      <c r="C53" s="4">
        <v>46140</v>
      </c>
      <c r="D53" t="s">
        <v>3651</v>
      </c>
      <c r="E53" t="s">
        <v>43</v>
      </c>
      <c r="F53" t="e">
        <f ca="1">_xludf.XLOOKUP(B53,Base_Clientes!$A:$A,Base_Clientes!$G:$G,"Não encontrado")</f>
        <v>#NAME?</v>
      </c>
      <c r="G53" t="e">
        <f ca="1">_xludf.XLOOKUP(B53,Base_Clientes!$A:$A,Base_Clientes!$I:$I,"Não encontrado")</f>
        <v>#NAME?</v>
      </c>
      <c r="H53" t="str">
        <f>VLOOKUP(B53,Base_Clientes!$A:$Z,21,FALSE)</f>
        <v>Alto risco</v>
      </c>
    </row>
    <row r="54" spans="1:8">
      <c r="A54" t="s">
        <v>3703</v>
      </c>
      <c r="B54" t="s">
        <v>450</v>
      </c>
      <c r="C54" s="4">
        <v>45468</v>
      </c>
      <c r="D54" t="s">
        <v>3645</v>
      </c>
      <c r="E54" t="s">
        <v>145</v>
      </c>
      <c r="F54" t="e">
        <f ca="1">_xludf.XLOOKUP(B54,Base_Clientes!$A:$A,Base_Clientes!$G:$G,"Não encontrado")</f>
        <v>#NAME?</v>
      </c>
      <c r="G54" t="e">
        <f ca="1">_xludf.XLOOKUP(B54,Base_Clientes!$A:$A,Base_Clientes!$I:$I,"Não encontrado")</f>
        <v>#NAME?</v>
      </c>
      <c r="H54" t="str">
        <f>VLOOKUP(B54,Base_Clientes!$A:$Z,21,FALSE)</f>
        <v>Alto risco</v>
      </c>
    </row>
    <row r="55" spans="1:8">
      <c r="A55" t="s">
        <v>3704</v>
      </c>
      <c r="B55" t="s">
        <v>452</v>
      </c>
      <c r="C55" s="4">
        <v>45642</v>
      </c>
      <c r="D55" t="s">
        <v>3645</v>
      </c>
      <c r="E55" t="s">
        <v>49</v>
      </c>
      <c r="F55" t="e">
        <f ca="1">_xludf.XLOOKUP(B55,Base_Clientes!$A:$A,Base_Clientes!$G:$G,"Não encontrado")</f>
        <v>#NAME?</v>
      </c>
      <c r="G55" t="e">
        <f ca="1">_xludf.XLOOKUP(B55,Base_Clientes!$A:$A,Base_Clientes!$I:$I,"Não encontrado")</f>
        <v>#NAME?</v>
      </c>
      <c r="H55" t="str">
        <f>VLOOKUP(B55,Base_Clientes!$A:$Z,21,FALSE)</f>
        <v>Alto risco</v>
      </c>
    </row>
    <row r="56" spans="1:8">
      <c r="A56" t="s">
        <v>3705</v>
      </c>
      <c r="B56" t="s">
        <v>455</v>
      </c>
      <c r="C56" s="4">
        <v>45863</v>
      </c>
      <c r="D56" t="s">
        <v>3651</v>
      </c>
      <c r="E56" t="s">
        <v>212</v>
      </c>
      <c r="F56" t="e">
        <f ca="1">_xludf.XLOOKUP(B56,Base_Clientes!$A:$A,Base_Clientes!$G:$G,"Não encontrado")</f>
        <v>#NAME?</v>
      </c>
      <c r="G56" t="e">
        <f ca="1">_xludf.XLOOKUP(B56,Base_Clientes!$A:$A,Base_Clientes!$I:$I,"Não encontrado")</f>
        <v>#NAME?</v>
      </c>
      <c r="H56" t="str">
        <f>VLOOKUP(B56,Base_Clientes!$A:$Z,21,FALSE)</f>
        <v>Alto risco</v>
      </c>
    </row>
    <row r="57" spans="1:8">
      <c r="A57" t="s">
        <v>3706</v>
      </c>
      <c r="B57" t="s">
        <v>456</v>
      </c>
      <c r="C57" s="4">
        <v>46097</v>
      </c>
      <c r="D57" t="s">
        <v>3666</v>
      </c>
      <c r="E57" t="s">
        <v>292</v>
      </c>
      <c r="F57" t="e">
        <f ca="1">_xludf.XLOOKUP(B57,Base_Clientes!$A:$A,Base_Clientes!$G:$G,"Não encontrado")</f>
        <v>#NAME?</v>
      </c>
      <c r="G57" t="e">
        <f ca="1">_xludf.XLOOKUP(B57,Base_Clientes!$A:$A,Base_Clientes!$I:$I,"Não encontrado")</f>
        <v>#NAME?</v>
      </c>
      <c r="H57" t="str">
        <f>VLOOKUP(B57,Base_Clientes!$A:$Z,21,FALSE)</f>
        <v>Alto risco</v>
      </c>
    </row>
    <row r="58" spans="1:8">
      <c r="A58" t="s">
        <v>3707</v>
      </c>
      <c r="B58" t="s">
        <v>470</v>
      </c>
      <c r="C58" s="4">
        <v>45447</v>
      </c>
      <c r="D58" t="s">
        <v>3649</v>
      </c>
      <c r="E58" t="s">
        <v>145</v>
      </c>
      <c r="F58" t="e">
        <f ca="1">_xludf.XLOOKUP(B58,Base_Clientes!$A:$A,Base_Clientes!$G:$G,"Não encontrado")</f>
        <v>#NAME?</v>
      </c>
      <c r="G58" t="e">
        <f ca="1">_xludf.XLOOKUP(B58,Base_Clientes!$A:$A,Base_Clientes!$I:$I,"Não encontrado")</f>
        <v>#NAME?</v>
      </c>
      <c r="H58" t="str">
        <f>VLOOKUP(B58,Base_Clientes!$A:$Z,21,FALSE)</f>
        <v>Alto risco</v>
      </c>
    </row>
    <row r="59" spans="1:8">
      <c r="A59" t="s">
        <v>3708</v>
      </c>
      <c r="B59" t="s">
        <v>488</v>
      </c>
      <c r="C59" s="4">
        <v>45916</v>
      </c>
      <c r="D59" t="s">
        <v>3651</v>
      </c>
      <c r="E59" t="s">
        <v>189</v>
      </c>
      <c r="F59" t="e">
        <f ca="1">_xludf.XLOOKUP(B59,Base_Clientes!$A:$A,Base_Clientes!$G:$G,"Não encontrado")</f>
        <v>#NAME?</v>
      </c>
      <c r="G59" t="e">
        <f ca="1">_xludf.XLOOKUP(B59,Base_Clientes!$A:$A,Base_Clientes!$I:$I,"Não encontrado")</f>
        <v>#NAME?</v>
      </c>
      <c r="H59" t="str">
        <f>VLOOKUP(B59,Base_Clientes!$A:$Z,21,FALSE)</f>
        <v>Alto risco</v>
      </c>
    </row>
    <row r="60" spans="1:8">
      <c r="A60" t="s">
        <v>3709</v>
      </c>
      <c r="B60" t="s">
        <v>490</v>
      </c>
      <c r="C60" s="4">
        <v>46117</v>
      </c>
      <c r="D60" t="s">
        <v>3651</v>
      </c>
      <c r="E60" t="s">
        <v>43</v>
      </c>
      <c r="F60" t="e">
        <f ca="1">_xludf.XLOOKUP(B60,Base_Clientes!$A:$A,Base_Clientes!$G:$G,"Não encontrado")</f>
        <v>#NAME?</v>
      </c>
      <c r="G60" t="e">
        <f ca="1">_xludf.XLOOKUP(B60,Base_Clientes!$A:$A,Base_Clientes!$I:$I,"Não encontrado")</f>
        <v>#NAME?</v>
      </c>
      <c r="H60" t="str">
        <f>VLOOKUP(B60,Base_Clientes!$A:$Z,21,FALSE)</f>
        <v>Alto risco</v>
      </c>
    </row>
    <row r="61" spans="1:8">
      <c r="A61" t="s">
        <v>3710</v>
      </c>
      <c r="B61" t="s">
        <v>493</v>
      </c>
      <c r="C61" s="4">
        <v>45819</v>
      </c>
      <c r="D61" t="s">
        <v>3649</v>
      </c>
      <c r="E61" t="s">
        <v>167</v>
      </c>
      <c r="F61" t="e">
        <f ca="1">_xludf.XLOOKUP(B61,Base_Clientes!$A:$A,Base_Clientes!$G:$G,"Não encontrado")</f>
        <v>#NAME?</v>
      </c>
      <c r="G61" t="e">
        <f ca="1">_xludf.XLOOKUP(B61,Base_Clientes!$A:$A,Base_Clientes!$I:$I,"Não encontrado")</f>
        <v>#NAME?</v>
      </c>
      <c r="H61" t="str">
        <f>VLOOKUP(B61,Base_Clientes!$A:$Z,21,FALSE)</f>
        <v>Alto risco</v>
      </c>
    </row>
    <row r="62" spans="1:8">
      <c r="A62" t="s">
        <v>3711</v>
      </c>
      <c r="B62" t="s">
        <v>525</v>
      </c>
      <c r="C62" s="4">
        <v>45257</v>
      </c>
      <c r="D62" t="s">
        <v>3645</v>
      </c>
      <c r="E62" t="s">
        <v>79</v>
      </c>
      <c r="F62" t="e">
        <f ca="1">_xludf.XLOOKUP(B62,Base_Clientes!$A:$A,Base_Clientes!$G:$G,"Não encontrado")</f>
        <v>#NAME?</v>
      </c>
      <c r="G62" t="e">
        <f ca="1">_xludf.XLOOKUP(B62,Base_Clientes!$A:$A,Base_Clientes!$I:$I,"Não encontrado")</f>
        <v>#NAME?</v>
      </c>
      <c r="H62" t="str">
        <f>VLOOKUP(B62,Base_Clientes!$A:$Z,21,FALSE)</f>
        <v>Alto risco</v>
      </c>
    </row>
    <row r="63" spans="1:8">
      <c r="A63" t="s">
        <v>3712</v>
      </c>
      <c r="B63" t="s">
        <v>527</v>
      </c>
      <c r="C63" s="4">
        <v>45736</v>
      </c>
      <c r="D63" t="s">
        <v>3651</v>
      </c>
      <c r="E63" t="s">
        <v>454</v>
      </c>
      <c r="F63" t="e">
        <f ca="1">_xludf.XLOOKUP(B63,Base_Clientes!$A:$A,Base_Clientes!$G:$G,"Não encontrado")</f>
        <v>#NAME?</v>
      </c>
      <c r="G63" t="e">
        <f ca="1">_xludf.XLOOKUP(B63,Base_Clientes!$A:$A,Base_Clientes!$I:$I,"Não encontrado")</f>
        <v>#NAME?</v>
      </c>
      <c r="H63" t="str">
        <f>VLOOKUP(B63,Base_Clientes!$A:$Z,21,FALSE)</f>
        <v>Alto risco</v>
      </c>
    </row>
    <row r="64" spans="1:8">
      <c r="A64" t="s">
        <v>3713</v>
      </c>
      <c r="B64" t="s">
        <v>533</v>
      </c>
      <c r="C64" s="4">
        <v>46086</v>
      </c>
      <c r="D64" t="s">
        <v>3651</v>
      </c>
      <c r="E64" t="s">
        <v>292</v>
      </c>
      <c r="F64" t="e">
        <f ca="1">_xludf.XLOOKUP(B64,Base_Clientes!$A:$A,Base_Clientes!$G:$G,"Não encontrado")</f>
        <v>#NAME?</v>
      </c>
      <c r="G64" t="e">
        <f ca="1">_xludf.XLOOKUP(B64,Base_Clientes!$A:$A,Base_Clientes!$I:$I,"Não encontrado")</f>
        <v>#NAME?</v>
      </c>
      <c r="H64" t="str">
        <f>VLOOKUP(B64,Base_Clientes!$A:$Z,21,FALSE)</f>
        <v>Alto risco</v>
      </c>
    </row>
    <row r="65" spans="1:8">
      <c r="A65" t="s">
        <v>3714</v>
      </c>
      <c r="B65" t="s">
        <v>537</v>
      </c>
      <c r="C65" s="4">
        <v>45860</v>
      </c>
      <c r="D65" t="s">
        <v>3647</v>
      </c>
      <c r="E65" t="s">
        <v>212</v>
      </c>
      <c r="F65" t="e">
        <f ca="1">_xludf.XLOOKUP(B65,Base_Clientes!$A:$A,Base_Clientes!$G:$G,"Não encontrado")</f>
        <v>#NAME?</v>
      </c>
      <c r="G65" t="e">
        <f ca="1">_xludf.XLOOKUP(B65,Base_Clientes!$A:$A,Base_Clientes!$I:$I,"Não encontrado")</f>
        <v>#NAME?</v>
      </c>
      <c r="H65" t="str">
        <f>VLOOKUP(B65,Base_Clientes!$A:$Z,21,FALSE)</f>
        <v>Alto risco</v>
      </c>
    </row>
    <row r="66" spans="1:8">
      <c r="A66" t="s">
        <v>3715</v>
      </c>
      <c r="B66" t="s">
        <v>540</v>
      </c>
      <c r="C66" s="4">
        <v>45986</v>
      </c>
      <c r="D66" t="s">
        <v>3643</v>
      </c>
      <c r="E66" t="s">
        <v>87</v>
      </c>
      <c r="F66" t="e">
        <f ca="1">_xludf.XLOOKUP(B66,Base_Clientes!$A:$A,Base_Clientes!$G:$G,"Não encontrado")</f>
        <v>#NAME?</v>
      </c>
      <c r="G66" t="e">
        <f ca="1">_xludf.XLOOKUP(B66,Base_Clientes!$A:$A,Base_Clientes!$I:$I,"Não encontrado")</f>
        <v>#NAME?</v>
      </c>
      <c r="H66" t="str">
        <f>VLOOKUP(B66,Base_Clientes!$A:$Z,21,FALSE)</f>
        <v>Alto risco</v>
      </c>
    </row>
    <row r="67" spans="1:8">
      <c r="A67" t="s">
        <v>3716</v>
      </c>
      <c r="B67" t="s">
        <v>542</v>
      </c>
      <c r="C67" s="4">
        <v>45917</v>
      </c>
      <c r="D67" t="s">
        <v>3668</v>
      </c>
      <c r="E67" t="s">
        <v>189</v>
      </c>
      <c r="F67" t="e">
        <f ca="1">_xludf.XLOOKUP(B67,Base_Clientes!$A:$A,Base_Clientes!$G:$G,"Não encontrado")</f>
        <v>#NAME?</v>
      </c>
      <c r="G67" t="e">
        <f ca="1">_xludf.XLOOKUP(B67,Base_Clientes!$A:$A,Base_Clientes!$I:$I,"Não encontrado")</f>
        <v>#NAME?</v>
      </c>
      <c r="H67" t="str">
        <f>VLOOKUP(B67,Base_Clientes!$A:$Z,21,FALSE)</f>
        <v>Alto risco</v>
      </c>
    </row>
    <row r="68" spans="1:8">
      <c r="A68" t="s">
        <v>3717</v>
      </c>
      <c r="B68" t="s">
        <v>544</v>
      </c>
      <c r="C68" s="4">
        <v>45805</v>
      </c>
      <c r="D68" t="s">
        <v>3668</v>
      </c>
      <c r="E68" t="s">
        <v>97</v>
      </c>
      <c r="F68" t="e">
        <f ca="1">_xludf.XLOOKUP(B68,Base_Clientes!$A:$A,Base_Clientes!$G:$G,"Não encontrado")</f>
        <v>#NAME?</v>
      </c>
      <c r="G68" t="e">
        <f ca="1">_xludf.XLOOKUP(B68,Base_Clientes!$A:$A,Base_Clientes!$I:$I,"Não encontrado")</f>
        <v>#NAME?</v>
      </c>
      <c r="H68" t="str">
        <f>VLOOKUP(B68,Base_Clientes!$A:$Z,21,FALSE)</f>
        <v>Alto risco</v>
      </c>
    </row>
    <row r="69" spans="1:8">
      <c r="A69" t="s">
        <v>3718</v>
      </c>
      <c r="B69" t="s">
        <v>550</v>
      </c>
      <c r="C69" s="4">
        <v>46163</v>
      </c>
      <c r="D69" t="s">
        <v>3645</v>
      </c>
      <c r="E69" t="s">
        <v>3676</v>
      </c>
      <c r="F69" t="e">
        <f ca="1">_xludf.XLOOKUP(B69,Base_Clientes!$A:$A,Base_Clientes!$G:$G,"Não encontrado")</f>
        <v>#NAME?</v>
      </c>
      <c r="G69" t="e">
        <f ca="1">_xludf.XLOOKUP(B69,Base_Clientes!$A:$A,Base_Clientes!$I:$I,"Não encontrado")</f>
        <v>#NAME?</v>
      </c>
      <c r="H69" t="str">
        <f>VLOOKUP(B69,Base_Clientes!$A:$Z,21,FALSE)</f>
        <v>Alto risco</v>
      </c>
    </row>
    <row r="70" spans="1:8">
      <c r="A70" t="s">
        <v>3719</v>
      </c>
      <c r="B70" t="s">
        <v>553</v>
      </c>
      <c r="C70" s="4">
        <v>45501</v>
      </c>
      <c r="D70" t="s">
        <v>3668</v>
      </c>
      <c r="E70" t="s">
        <v>142</v>
      </c>
      <c r="F70" t="e">
        <f ca="1">_xludf.XLOOKUP(B70,Base_Clientes!$A:$A,Base_Clientes!$G:$G,"Não encontrado")</f>
        <v>#NAME?</v>
      </c>
      <c r="G70" t="e">
        <f ca="1">_xludf.XLOOKUP(B70,Base_Clientes!$A:$A,Base_Clientes!$I:$I,"Não encontrado")</f>
        <v>#NAME?</v>
      </c>
      <c r="H70" t="str">
        <f>VLOOKUP(B70,Base_Clientes!$A:$Z,21,FALSE)</f>
        <v>Alto risco</v>
      </c>
    </row>
    <row r="71" spans="1:8">
      <c r="A71" t="s">
        <v>3720</v>
      </c>
      <c r="B71" t="s">
        <v>559</v>
      </c>
      <c r="C71" s="4">
        <v>46129</v>
      </c>
      <c r="D71" t="s">
        <v>3647</v>
      </c>
      <c r="E71" t="s">
        <v>43</v>
      </c>
      <c r="F71" t="e">
        <f ca="1">_xludf.XLOOKUP(B71,Base_Clientes!$A:$A,Base_Clientes!$G:$G,"Não encontrado")</f>
        <v>#NAME?</v>
      </c>
      <c r="G71" t="e">
        <f ca="1">_xludf.XLOOKUP(B71,Base_Clientes!$A:$A,Base_Clientes!$I:$I,"Não encontrado")</f>
        <v>#NAME?</v>
      </c>
      <c r="H71" t="str">
        <f>VLOOKUP(B71,Base_Clientes!$A:$Z,21,FALSE)</f>
        <v>Alto risco</v>
      </c>
    </row>
    <row r="72" spans="1:8">
      <c r="A72" t="s">
        <v>3721</v>
      </c>
      <c r="B72" t="s">
        <v>566</v>
      </c>
      <c r="C72" s="4">
        <v>46168</v>
      </c>
      <c r="D72" t="s">
        <v>3647</v>
      </c>
      <c r="E72" t="s">
        <v>3676</v>
      </c>
      <c r="F72" t="e">
        <f ca="1">_xludf.XLOOKUP(B72,Base_Clientes!$A:$A,Base_Clientes!$G:$G,"Não encontrado")</f>
        <v>#NAME?</v>
      </c>
      <c r="G72" t="e">
        <f ca="1">_xludf.XLOOKUP(B72,Base_Clientes!$A:$A,Base_Clientes!$I:$I,"Não encontrado")</f>
        <v>#NAME?</v>
      </c>
      <c r="H72" t="str">
        <f>VLOOKUP(B72,Base_Clientes!$A:$Z,21,FALSE)</f>
        <v>Alto risco</v>
      </c>
    </row>
    <row r="73" spans="1:8">
      <c r="A73" t="s">
        <v>3722</v>
      </c>
      <c r="B73" t="s">
        <v>569</v>
      </c>
      <c r="C73" s="4">
        <v>45882</v>
      </c>
      <c r="D73" t="s">
        <v>3668</v>
      </c>
      <c r="E73" t="s">
        <v>159</v>
      </c>
      <c r="F73" t="e">
        <f ca="1">_xludf.XLOOKUP(B73,Base_Clientes!$A:$A,Base_Clientes!$G:$G,"Não encontrado")</f>
        <v>#NAME?</v>
      </c>
      <c r="G73" t="e">
        <f ca="1">_xludf.XLOOKUP(B73,Base_Clientes!$A:$A,Base_Clientes!$I:$I,"Não encontrado")</f>
        <v>#NAME?</v>
      </c>
      <c r="H73" t="str">
        <f>VLOOKUP(B73,Base_Clientes!$A:$Z,21,FALSE)</f>
        <v>Alto risco</v>
      </c>
    </row>
    <row r="74" spans="1:8">
      <c r="A74" t="s">
        <v>3723</v>
      </c>
      <c r="B74" t="s">
        <v>574</v>
      </c>
      <c r="C74" s="4">
        <v>45980</v>
      </c>
      <c r="D74" t="s">
        <v>3649</v>
      </c>
      <c r="E74" t="s">
        <v>87</v>
      </c>
      <c r="F74" t="e">
        <f ca="1">_xludf.XLOOKUP(B74,Base_Clientes!$A:$A,Base_Clientes!$G:$G,"Não encontrado")</f>
        <v>#NAME?</v>
      </c>
      <c r="G74" t="e">
        <f ca="1">_xludf.XLOOKUP(B74,Base_Clientes!$A:$A,Base_Clientes!$I:$I,"Não encontrado")</f>
        <v>#NAME?</v>
      </c>
      <c r="H74" t="str">
        <f>VLOOKUP(B74,Base_Clientes!$A:$Z,21,FALSE)</f>
        <v>Alto risco</v>
      </c>
    </row>
    <row r="75" spans="1:8">
      <c r="A75" t="s">
        <v>3724</v>
      </c>
      <c r="B75" t="s">
        <v>579</v>
      </c>
      <c r="C75" s="4">
        <v>45942</v>
      </c>
      <c r="D75" t="s">
        <v>3643</v>
      </c>
      <c r="E75" t="s">
        <v>196</v>
      </c>
      <c r="F75" t="e">
        <f ca="1">_xludf.XLOOKUP(B75,Base_Clientes!$A:$A,Base_Clientes!$G:$G,"Não encontrado")</f>
        <v>#NAME?</v>
      </c>
      <c r="G75" t="e">
        <f ca="1">_xludf.XLOOKUP(B75,Base_Clientes!$A:$A,Base_Clientes!$I:$I,"Não encontrado")</f>
        <v>#NAME?</v>
      </c>
      <c r="H75" t="str">
        <f>VLOOKUP(B75,Base_Clientes!$A:$Z,21,FALSE)</f>
        <v>Alto risco</v>
      </c>
    </row>
    <row r="76" spans="1:8">
      <c r="A76" t="s">
        <v>3725</v>
      </c>
      <c r="B76" t="s">
        <v>581</v>
      </c>
      <c r="C76" s="4">
        <v>46140</v>
      </c>
      <c r="D76" t="s">
        <v>3666</v>
      </c>
      <c r="E76" t="s">
        <v>43</v>
      </c>
      <c r="F76" t="e">
        <f ca="1">_xludf.XLOOKUP(B76,Base_Clientes!$A:$A,Base_Clientes!$G:$G,"Não encontrado")</f>
        <v>#NAME?</v>
      </c>
      <c r="G76" t="e">
        <f ca="1">_xludf.XLOOKUP(B76,Base_Clientes!$A:$A,Base_Clientes!$I:$I,"Não encontrado")</f>
        <v>#NAME?</v>
      </c>
      <c r="H76" t="str">
        <f>VLOOKUP(B76,Base_Clientes!$A:$Z,21,FALSE)</f>
        <v>Alto risco</v>
      </c>
    </row>
    <row r="77" spans="1:8">
      <c r="A77" t="s">
        <v>3726</v>
      </c>
      <c r="B77" t="s">
        <v>587</v>
      </c>
      <c r="C77" s="4">
        <v>45755</v>
      </c>
      <c r="D77" t="s">
        <v>3649</v>
      </c>
      <c r="E77" t="s">
        <v>222</v>
      </c>
      <c r="F77" t="e">
        <f ca="1">_xludf.XLOOKUP(B77,Base_Clientes!$A:$A,Base_Clientes!$G:$G,"Não encontrado")</f>
        <v>#NAME?</v>
      </c>
      <c r="G77" t="e">
        <f ca="1">_xludf.XLOOKUP(B77,Base_Clientes!$A:$A,Base_Clientes!$I:$I,"Não encontrado")</f>
        <v>#NAME?</v>
      </c>
      <c r="H77" t="str">
        <f>VLOOKUP(B77,Base_Clientes!$A:$Z,21,FALSE)</f>
        <v>Alto risco</v>
      </c>
    </row>
    <row r="78" spans="1:8">
      <c r="A78" t="s">
        <v>3727</v>
      </c>
      <c r="B78" t="s">
        <v>601</v>
      </c>
      <c r="C78" s="4">
        <v>46083</v>
      </c>
      <c r="D78" t="s">
        <v>3668</v>
      </c>
      <c r="E78" t="s">
        <v>292</v>
      </c>
      <c r="F78" t="e">
        <f ca="1">_xludf.XLOOKUP(B78,Base_Clientes!$A:$A,Base_Clientes!$G:$G,"Não encontrado")</f>
        <v>#NAME?</v>
      </c>
      <c r="G78" t="e">
        <f ca="1">_xludf.XLOOKUP(B78,Base_Clientes!$A:$A,Base_Clientes!$I:$I,"Não encontrado")</f>
        <v>#NAME?</v>
      </c>
      <c r="H78" t="str">
        <f>VLOOKUP(B78,Base_Clientes!$A:$Z,21,FALSE)</f>
        <v>Alto risco</v>
      </c>
    </row>
    <row r="79" spans="1:8">
      <c r="A79" t="s">
        <v>3728</v>
      </c>
      <c r="B79" t="s">
        <v>605</v>
      </c>
      <c r="C79" s="4">
        <v>45131</v>
      </c>
      <c r="D79" t="s">
        <v>3666</v>
      </c>
      <c r="E79" t="s">
        <v>33</v>
      </c>
      <c r="F79" t="e">
        <f ca="1">_xludf.XLOOKUP(B79,Base_Clientes!$A:$A,Base_Clientes!$G:$G,"Não encontrado")</f>
        <v>#NAME?</v>
      </c>
      <c r="G79" t="e">
        <f ca="1">_xludf.XLOOKUP(B79,Base_Clientes!$A:$A,Base_Clientes!$I:$I,"Não encontrado")</f>
        <v>#NAME?</v>
      </c>
      <c r="H79" t="str">
        <f>VLOOKUP(B79,Base_Clientes!$A:$Z,21,FALSE)</f>
        <v>Alto risco</v>
      </c>
    </row>
    <row r="80" spans="1:8">
      <c r="A80" t="s">
        <v>3729</v>
      </c>
      <c r="B80" t="s">
        <v>607</v>
      </c>
      <c r="C80" s="4">
        <v>45904</v>
      </c>
      <c r="D80" t="s">
        <v>3666</v>
      </c>
      <c r="E80" t="s">
        <v>189</v>
      </c>
      <c r="F80" t="e">
        <f ca="1">_xludf.XLOOKUP(B80,Base_Clientes!$A:$A,Base_Clientes!$G:$G,"Não encontrado")</f>
        <v>#NAME?</v>
      </c>
      <c r="G80" t="e">
        <f ca="1">_xludf.XLOOKUP(B80,Base_Clientes!$A:$A,Base_Clientes!$I:$I,"Não encontrado")</f>
        <v>#NAME?</v>
      </c>
      <c r="H80" t="str">
        <f>VLOOKUP(B80,Base_Clientes!$A:$Z,21,FALSE)</f>
        <v>Alto risco</v>
      </c>
    </row>
    <row r="81" spans="1:8">
      <c r="A81" t="s">
        <v>3730</v>
      </c>
      <c r="B81" t="s">
        <v>608</v>
      </c>
      <c r="C81" s="4">
        <v>45467</v>
      </c>
      <c r="D81" t="s">
        <v>3649</v>
      </c>
      <c r="E81" t="s">
        <v>145</v>
      </c>
      <c r="F81" t="e">
        <f ca="1">_xludf.XLOOKUP(B81,Base_Clientes!$A:$A,Base_Clientes!$G:$G,"Não encontrado")</f>
        <v>#NAME?</v>
      </c>
      <c r="G81" t="e">
        <f ca="1">_xludf.XLOOKUP(B81,Base_Clientes!$A:$A,Base_Clientes!$I:$I,"Não encontrado")</f>
        <v>#NAME?</v>
      </c>
      <c r="H81" t="str">
        <f>VLOOKUP(B81,Base_Clientes!$A:$Z,21,FALSE)</f>
        <v>Alto risco</v>
      </c>
    </row>
    <row r="82" spans="1:8">
      <c r="A82" t="s">
        <v>3731</v>
      </c>
      <c r="B82" t="s">
        <v>610</v>
      </c>
      <c r="C82" s="4">
        <v>46087</v>
      </c>
      <c r="D82" t="s">
        <v>3659</v>
      </c>
      <c r="E82" t="s">
        <v>292</v>
      </c>
      <c r="F82" t="e">
        <f ca="1">_xludf.XLOOKUP(B82,Base_Clientes!$A:$A,Base_Clientes!$G:$G,"Não encontrado")</f>
        <v>#NAME?</v>
      </c>
      <c r="G82" t="e">
        <f ca="1">_xludf.XLOOKUP(B82,Base_Clientes!$A:$A,Base_Clientes!$I:$I,"Não encontrado")</f>
        <v>#NAME?</v>
      </c>
      <c r="H82" t="str">
        <f>VLOOKUP(B82,Base_Clientes!$A:$Z,21,FALSE)</f>
        <v>Alto risco</v>
      </c>
    </row>
    <row r="83" spans="1:8">
      <c r="A83" t="s">
        <v>3732</v>
      </c>
      <c r="B83" t="s">
        <v>623</v>
      </c>
      <c r="C83" s="4">
        <v>45814</v>
      </c>
      <c r="D83" t="s">
        <v>3651</v>
      </c>
      <c r="E83" t="s">
        <v>167</v>
      </c>
      <c r="F83" t="e">
        <f ca="1">_xludf.XLOOKUP(B83,Base_Clientes!$A:$A,Base_Clientes!$G:$G,"Não encontrado")</f>
        <v>#NAME?</v>
      </c>
      <c r="G83" t="e">
        <f ca="1">_xludf.XLOOKUP(B83,Base_Clientes!$A:$A,Base_Clientes!$I:$I,"Não encontrado")</f>
        <v>#NAME?</v>
      </c>
      <c r="H83" t="str">
        <f>VLOOKUP(B83,Base_Clientes!$A:$Z,21,FALSE)</f>
        <v>Alto risco</v>
      </c>
    </row>
    <row r="84" spans="1:8">
      <c r="A84" t="s">
        <v>3733</v>
      </c>
      <c r="B84" t="s">
        <v>625</v>
      </c>
      <c r="C84" s="4">
        <v>46080</v>
      </c>
      <c r="D84" t="s">
        <v>3645</v>
      </c>
      <c r="E84" t="s">
        <v>74</v>
      </c>
      <c r="F84" t="e">
        <f ca="1">_xludf.XLOOKUP(B84,Base_Clientes!$A:$A,Base_Clientes!$G:$G,"Não encontrado")</f>
        <v>#NAME?</v>
      </c>
      <c r="G84" t="e">
        <f ca="1">_xludf.XLOOKUP(B84,Base_Clientes!$A:$A,Base_Clientes!$I:$I,"Não encontrado")</f>
        <v>#NAME?</v>
      </c>
      <c r="H84" t="str">
        <f>VLOOKUP(B84,Base_Clientes!$A:$Z,21,FALSE)</f>
        <v>Alto risco</v>
      </c>
    </row>
    <row r="85" spans="1:8">
      <c r="A85" t="s">
        <v>3734</v>
      </c>
      <c r="B85" t="s">
        <v>628</v>
      </c>
      <c r="C85" s="4">
        <v>45918</v>
      </c>
      <c r="D85" t="s">
        <v>3643</v>
      </c>
      <c r="E85" t="s">
        <v>189</v>
      </c>
      <c r="F85" t="e">
        <f ca="1">_xludf.XLOOKUP(B85,Base_Clientes!$A:$A,Base_Clientes!$G:$G,"Não encontrado")</f>
        <v>#NAME?</v>
      </c>
      <c r="G85" t="e">
        <f ca="1">_xludf.XLOOKUP(B85,Base_Clientes!$A:$A,Base_Clientes!$I:$I,"Não encontrado")</f>
        <v>#NAME?</v>
      </c>
      <c r="H85" t="str">
        <f>VLOOKUP(B85,Base_Clientes!$A:$Z,21,FALSE)</f>
        <v>Alto risco</v>
      </c>
    </row>
    <row r="86" spans="1:8">
      <c r="A86" t="s">
        <v>3735</v>
      </c>
      <c r="B86" t="s">
        <v>630</v>
      </c>
      <c r="C86" s="4">
        <v>46090</v>
      </c>
      <c r="D86" t="s">
        <v>3659</v>
      </c>
      <c r="E86" t="s">
        <v>292</v>
      </c>
      <c r="F86" t="e">
        <f ca="1">_xludf.XLOOKUP(B86,Base_Clientes!$A:$A,Base_Clientes!$G:$G,"Não encontrado")</f>
        <v>#NAME?</v>
      </c>
      <c r="G86" t="e">
        <f ca="1">_xludf.XLOOKUP(B86,Base_Clientes!$A:$A,Base_Clientes!$I:$I,"Não encontrado")</f>
        <v>#NAME?</v>
      </c>
      <c r="H86" t="str">
        <f>VLOOKUP(B86,Base_Clientes!$A:$Z,21,FALSE)</f>
        <v>Alto risco</v>
      </c>
    </row>
    <row r="87" spans="1:8">
      <c r="A87" t="s">
        <v>3736</v>
      </c>
      <c r="B87" t="s">
        <v>632</v>
      </c>
      <c r="C87" s="4">
        <v>46139</v>
      </c>
      <c r="D87" t="s">
        <v>3651</v>
      </c>
      <c r="E87" t="s">
        <v>43</v>
      </c>
      <c r="F87" t="e">
        <f ca="1">_xludf.XLOOKUP(B87,Base_Clientes!$A:$A,Base_Clientes!$G:$G,"Não encontrado")</f>
        <v>#NAME?</v>
      </c>
      <c r="G87" t="e">
        <f ca="1">_xludf.XLOOKUP(B87,Base_Clientes!$A:$A,Base_Clientes!$I:$I,"Não encontrado")</f>
        <v>#NAME?</v>
      </c>
      <c r="H87" t="str">
        <f>VLOOKUP(B87,Base_Clientes!$A:$Z,21,FALSE)</f>
        <v>Alto risco</v>
      </c>
    </row>
    <row r="88" spans="1:8">
      <c r="A88" t="s">
        <v>3737</v>
      </c>
      <c r="B88" t="s">
        <v>636</v>
      </c>
      <c r="C88" s="4">
        <v>46157</v>
      </c>
      <c r="D88" t="s">
        <v>3643</v>
      </c>
      <c r="E88" t="s">
        <v>3676</v>
      </c>
      <c r="F88" t="e">
        <f ca="1">_xludf.XLOOKUP(B88,Base_Clientes!$A:$A,Base_Clientes!$G:$G,"Não encontrado")</f>
        <v>#NAME?</v>
      </c>
      <c r="G88" t="e">
        <f ca="1">_xludf.XLOOKUP(B88,Base_Clientes!$A:$A,Base_Clientes!$I:$I,"Não encontrado")</f>
        <v>#NAME?</v>
      </c>
      <c r="H88" t="str">
        <f>VLOOKUP(B88,Base_Clientes!$A:$Z,21,FALSE)</f>
        <v>Alto risco</v>
      </c>
    </row>
    <row r="89" spans="1:8">
      <c r="A89" t="s">
        <v>3738</v>
      </c>
      <c r="B89" t="s">
        <v>640</v>
      </c>
      <c r="C89" s="4">
        <v>45547</v>
      </c>
      <c r="D89" t="s">
        <v>3647</v>
      </c>
      <c r="E89" t="s">
        <v>91</v>
      </c>
      <c r="F89" t="e">
        <f ca="1">_xludf.XLOOKUP(B89,Base_Clientes!$A:$A,Base_Clientes!$G:$G,"Não encontrado")</f>
        <v>#NAME?</v>
      </c>
      <c r="G89" t="e">
        <f ca="1">_xludf.XLOOKUP(B89,Base_Clientes!$A:$A,Base_Clientes!$I:$I,"Não encontrado")</f>
        <v>#NAME?</v>
      </c>
      <c r="H89" t="str">
        <f>VLOOKUP(B89,Base_Clientes!$A:$Z,21,FALSE)</f>
        <v>Alto risco</v>
      </c>
    </row>
    <row r="90" spans="1:8">
      <c r="A90" t="s">
        <v>3739</v>
      </c>
      <c r="B90" t="s">
        <v>645</v>
      </c>
      <c r="C90" s="4">
        <v>46163</v>
      </c>
      <c r="D90" t="s">
        <v>3643</v>
      </c>
      <c r="E90" t="s">
        <v>3676</v>
      </c>
      <c r="F90" t="e">
        <f ca="1">_xludf.XLOOKUP(B90,Base_Clientes!$A:$A,Base_Clientes!$G:$G,"Não encontrado")</f>
        <v>#NAME?</v>
      </c>
      <c r="G90" t="e">
        <f ca="1">_xludf.XLOOKUP(B90,Base_Clientes!$A:$A,Base_Clientes!$I:$I,"Não encontrado")</f>
        <v>#NAME?</v>
      </c>
      <c r="H90" t="str">
        <f>VLOOKUP(B90,Base_Clientes!$A:$Z,21,FALSE)</f>
        <v>Alto risco</v>
      </c>
    </row>
    <row r="91" spans="1:8">
      <c r="A91" t="s">
        <v>3740</v>
      </c>
      <c r="B91" t="s">
        <v>665</v>
      </c>
      <c r="C91" s="4">
        <v>46157</v>
      </c>
      <c r="D91" t="s">
        <v>3647</v>
      </c>
      <c r="E91" t="s">
        <v>3676</v>
      </c>
      <c r="F91" t="e">
        <f ca="1">_xludf.XLOOKUP(B91,Base_Clientes!$A:$A,Base_Clientes!$G:$G,"Não encontrado")</f>
        <v>#NAME?</v>
      </c>
      <c r="G91" t="e">
        <f ca="1">_xludf.XLOOKUP(B91,Base_Clientes!$A:$A,Base_Clientes!$I:$I,"Não encontrado")</f>
        <v>#NAME?</v>
      </c>
      <c r="H91" t="str">
        <f>VLOOKUP(B91,Base_Clientes!$A:$Z,21,FALSE)</f>
        <v>Alto risco</v>
      </c>
    </row>
    <row r="92" spans="1:8">
      <c r="A92" t="s">
        <v>3741</v>
      </c>
      <c r="B92" t="s">
        <v>671</v>
      </c>
      <c r="C92" s="4">
        <v>45544</v>
      </c>
      <c r="D92" t="s">
        <v>3651</v>
      </c>
      <c r="E92" t="s">
        <v>91</v>
      </c>
      <c r="F92" t="e">
        <f ca="1">_xludf.XLOOKUP(B92,Base_Clientes!$A:$A,Base_Clientes!$G:$G,"Não encontrado")</f>
        <v>#NAME?</v>
      </c>
      <c r="G92" t="e">
        <f ca="1">_xludf.XLOOKUP(B92,Base_Clientes!$A:$A,Base_Clientes!$I:$I,"Não encontrado")</f>
        <v>#NAME?</v>
      </c>
      <c r="H92" t="str">
        <f>VLOOKUP(B92,Base_Clientes!$A:$Z,21,FALSE)</f>
        <v>Alto risco</v>
      </c>
    </row>
    <row r="93" spans="1:8">
      <c r="A93" t="s">
        <v>3742</v>
      </c>
      <c r="B93" t="s">
        <v>672</v>
      </c>
      <c r="C93" s="4">
        <v>46027</v>
      </c>
      <c r="D93" t="s">
        <v>3647</v>
      </c>
      <c r="E93" t="s">
        <v>148</v>
      </c>
      <c r="F93" t="e">
        <f ca="1">_xludf.XLOOKUP(B93,Base_Clientes!$A:$A,Base_Clientes!$G:$G,"Não encontrado")</f>
        <v>#NAME?</v>
      </c>
      <c r="G93" t="e">
        <f ca="1">_xludf.XLOOKUP(B93,Base_Clientes!$A:$A,Base_Clientes!$I:$I,"Não encontrado")</f>
        <v>#NAME?</v>
      </c>
      <c r="H93" t="str">
        <f>VLOOKUP(B93,Base_Clientes!$A:$Z,21,FALSE)</f>
        <v>Alto risco</v>
      </c>
    </row>
    <row r="94" spans="1:8">
      <c r="A94" t="s">
        <v>3743</v>
      </c>
      <c r="B94" t="s">
        <v>674</v>
      </c>
      <c r="C94" s="4">
        <v>46006</v>
      </c>
      <c r="D94" t="s">
        <v>3668</v>
      </c>
      <c r="E94" t="s">
        <v>170</v>
      </c>
      <c r="F94" t="e">
        <f ca="1">_xludf.XLOOKUP(B94,Base_Clientes!$A:$A,Base_Clientes!$G:$G,"Não encontrado")</f>
        <v>#NAME?</v>
      </c>
      <c r="G94" t="e">
        <f ca="1">_xludf.XLOOKUP(B94,Base_Clientes!$A:$A,Base_Clientes!$I:$I,"Não encontrado")</f>
        <v>#NAME?</v>
      </c>
      <c r="H94" t="str">
        <f>VLOOKUP(B94,Base_Clientes!$A:$Z,21,FALSE)</f>
        <v>Alto risco</v>
      </c>
    </row>
    <row r="95" spans="1:8">
      <c r="A95" t="s">
        <v>3744</v>
      </c>
      <c r="B95" t="s">
        <v>686</v>
      </c>
      <c r="C95" s="4">
        <v>45674</v>
      </c>
      <c r="D95" t="s">
        <v>3643</v>
      </c>
      <c r="E95" t="s">
        <v>261</v>
      </c>
      <c r="F95" t="e">
        <f ca="1">_xludf.XLOOKUP(B95,Base_Clientes!$A:$A,Base_Clientes!$G:$G,"Não encontrado")</f>
        <v>#NAME?</v>
      </c>
      <c r="G95" t="e">
        <f ca="1">_xludf.XLOOKUP(B95,Base_Clientes!$A:$A,Base_Clientes!$I:$I,"Não encontrado")</f>
        <v>#NAME?</v>
      </c>
      <c r="H95" t="str">
        <f>VLOOKUP(B95,Base_Clientes!$A:$Z,21,FALSE)</f>
        <v>Alto risco</v>
      </c>
    </row>
    <row r="96" spans="1:8">
      <c r="A96" t="s">
        <v>3745</v>
      </c>
      <c r="B96" t="s">
        <v>688</v>
      </c>
      <c r="C96" s="4">
        <v>46140</v>
      </c>
      <c r="D96" t="s">
        <v>3668</v>
      </c>
      <c r="E96" t="s">
        <v>43</v>
      </c>
      <c r="F96" t="e">
        <f ca="1">_xludf.XLOOKUP(B96,Base_Clientes!$A:$A,Base_Clientes!$G:$G,"Não encontrado")</f>
        <v>#NAME?</v>
      </c>
      <c r="G96" t="e">
        <f ca="1">_xludf.XLOOKUP(B96,Base_Clientes!$A:$A,Base_Clientes!$I:$I,"Não encontrado")</f>
        <v>#NAME?</v>
      </c>
      <c r="H96" t="str">
        <f>VLOOKUP(B96,Base_Clientes!$A:$Z,21,FALSE)</f>
        <v>Alto risco</v>
      </c>
    </row>
    <row r="97" spans="1:8">
      <c r="A97" t="s">
        <v>3746</v>
      </c>
      <c r="B97" t="s">
        <v>690</v>
      </c>
      <c r="C97" s="4">
        <v>46129</v>
      </c>
      <c r="D97" t="s">
        <v>3668</v>
      </c>
      <c r="E97" t="s">
        <v>43</v>
      </c>
      <c r="F97" t="e">
        <f ca="1">_xludf.XLOOKUP(B97,Base_Clientes!$A:$A,Base_Clientes!$G:$G,"Não encontrado")</f>
        <v>#NAME?</v>
      </c>
      <c r="G97" t="e">
        <f ca="1">_xludf.XLOOKUP(B97,Base_Clientes!$A:$A,Base_Clientes!$I:$I,"Não encontrado")</f>
        <v>#NAME?</v>
      </c>
      <c r="H97" t="str">
        <f>VLOOKUP(B97,Base_Clientes!$A:$Z,21,FALSE)</f>
        <v>Alto risco</v>
      </c>
    </row>
    <row r="98" spans="1:8">
      <c r="A98" t="s">
        <v>3747</v>
      </c>
      <c r="B98" t="s">
        <v>697</v>
      </c>
      <c r="C98" s="4">
        <v>45976</v>
      </c>
      <c r="D98" t="s">
        <v>3668</v>
      </c>
      <c r="E98" t="s">
        <v>87</v>
      </c>
      <c r="F98" t="e">
        <f ca="1">_xludf.XLOOKUP(B98,Base_Clientes!$A:$A,Base_Clientes!$G:$G,"Não encontrado")</f>
        <v>#NAME?</v>
      </c>
      <c r="G98" t="e">
        <f ca="1">_xludf.XLOOKUP(B98,Base_Clientes!$A:$A,Base_Clientes!$I:$I,"Não encontrado")</f>
        <v>#NAME?</v>
      </c>
      <c r="H98" t="str">
        <f>VLOOKUP(B98,Base_Clientes!$A:$Z,21,FALSE)</f>
        <v>Alto risco</v>
      </c>
    </row>
    <row r="99" spans="1:8">
      <c r="A99" t="s">
        <v>3748</v>
      </c>
      <c r="B99" t="s">
        <v>698</v>
      </c>
      <c r="C99" s="4">
        <v>46051</v>
      </c>
      <c r="D99" t="s">
        <v>3643</v>
      </c>
      <c r="E99" t="s">
        <v>148</v>
      </c>
      <c r="F99" t="e">
        <f ca="1">_xludf.XLOOKUP(B99,Base_Clientes!$A:$A,Base_Clientes!$G:$G,"Não encontrado")</f>
        <v>#NAME?</v>
      </c>
      <c r="G99" t="e">
        <f ca="1">_xludf.XLOOKUP(B99,Base_Clientes!$A:$A,Base_Clientes!$I:$I,"Não encontrado")</f>
        <v>#NAME?</v>
      </c>
      <c r="H99" t="str">
        <f>VLOOKUP(B99,Base_Clientes!$A:$Z,21,FALSE)</f>
        <v>Alto risco</v>
      </c>
    </row>
    <row r="100" spans="1:8">
      <c r="A100" t="s">
        <v>3749</v>
      </c>
      <c r="B100" t="s">
        <v>724</v>
      </c>
      <c r="C100" s="4">
        <v>45812</v>
      </c>
      <c r="D100" t="s">
        <v>3649</v>
      </c>
      <c r="E100" t="s">
        <v>167</v>
      </c>
      <c r="F100" t="e">
        <f ca="1">_xludf.XLOOKUP(B100,Base_Clientes!$A:$A,Base_Clientes!$G:$G,"Não encontrado")</f>
        <v>#NAME?</v>
      </c>
      <c r="G100" t="e">
        <f ca="1">_xludf.XLOOKUP(B100,Base_Clientes!$A:$A,Base_Clientes!$I:$I,"Não encontrado")</f>
        <v>#NAME?</v>
      </c>
      <c r="H100" t="str">
        <f>VLOOKUP(B100,Base_Clientes!$A:$Z,21,FALSE)</f>
        <v>Alto risco</v>
      </c>
    </row>
    <row r="101" spans="1:8">
      <c r="A101" t="s">
        <v>3750</v>
      </c>
      <c r="B101" t="s">
        <v>727</v>
      </c>
      <c r="C101" s="4">
        <v>46164</v>
      </c>
      <c r="D101" t="s">
        <v>3651</v>
      </c>
      <c r="E101" t="s">
        <v>3676</v>
      </c>
      <c r="F101" t="e">
        <f ca="1">_xludf.XLOOKUP(B101,Base_Clientes!$A:$A,Base_Clientes!$G:$G,"Não encontrado")</f>
        <v>#NAME?</v>
      </c>
      <c r="G101" t="e">
        <f ca="1">_xludf.XLOOKUP(B101,Base_Clientes!$A:$A,Base_Clientes!$I:$I,"Não encontrado")</f>
        <v>#NAME?</v>
      </c>
      <c r="H101" t="str">
        <f>VLOOKUP(B101,Base_Clientes!$A:$Z,21,FALSE)</f>
        <v>Alto risco</v>
      </c>
    </row>
    <row r="102" spans="1:8">
      <c r="A102" t="s">
        <v>3751</v>
      </c>
      <c r="B102" t="s">
        <v>728</v>
      </c>
      <c r="C102" s="4">
        <v>45498</v>
      </c>
      <c r="D102" t="s">
        <v>3647</v>
      </c>
      <c r="E102" t="s">
        <v>142</v>
      </c>
      <c r="F102" t="e">
        <f ca="1">_xludf.XLOOKUP(B102,Base_Clientes!$A:$A,Base_Clientes!$G:$G,"Não encontrado")</f>
        <v>#NAME?</v>
      </c>
      <c r="G102" t="e">
        <f ca="1">_xludf.XLOOKUP(B102,Base_Clientes!$A:$A,Base_Clientes!$I:$I,"Não encontrado")</f>
        <v>#NAME?</v>
      </c>
      <c r="H102" t="str">
        <f>VLOOKUP(B102,Base_Clientes!$A:$Z,21,FALSE)</f>
        <v>Alto risco</v>
      </c>
    </row>
    <row r="103" spans="1:8">
      <c r="A103" t="s">
        <v>3752</v>
      </c>
      <c r="B103" t="s">
        <v>731</v>
      </c>
      <c r="C103" s="4">
        <v>45930</v>
      </c>
      <c r="D103" t="s">
        <v>3651</v>
      </c>
      <c r="E103" t="s">
        <v>189</v>
      </c>
      <c r="F103" t="e">
        <f ca="1">_xludf.XLOOKUP(B103,Base_Clientes!$A:$A,Base_Clientes!$G:$G,"Não encontrado")</f>
        <v>#NAME?</v>
      </c>
      <c r="G103" t="e">
        <f ca="1">_xludf.XLOOKUP(B103,Base_Clientes!$A:$A,Base_Clientes!$I:$I,"Não encontrado")</f>
        <v>#NAME?</v>
      </c>
      <c r="H103" t="str">
        <f>VLOOKUP(B103,Base_Clientes!$A:$Z,21,FALSE)</f>
        <v>Alto risco</v>
      </c>
    </row>
    <row r="104" spans="1:8">
      <c r="A104" t="s">
        <v>3753</v>
      </c>
      <c r="B104" t="s">
        <v>732</v>
      </c>
      <c r="C104" s="4">
        <v>45685</v>
      </c>
      <c r="D104" t="s">
        <v>3666</v>
      </c>
      <c r="E104" t="s">
        <v>261</v>
      </c>
      <c r="F104" t="e">
        <f ca="1">_xludf.XLOOKUP(B104,Base_Clientes!$A:$A,Base_Clientes!$G:$G,"Não encontrado")</f>
        <v>#NAME?</v>
      </c>
      <c r="G104" t="e">
        <f ca="1">_xludf.XLOOKUP(B104,Base_Clientes!$A:$A,Base_Clientes!$I:$I,"Não encontrado")</f>
        <v>#NAME?</v>
      </c>
      <c r="H104" t="str">
        <f>VLOOKUP(B104,Base_Clientes!$A:$Z,21,FALSE)</f>
        <v>Alto risco</v>
      </c>
    </row>
    <row r="105" spans="1:8">
      <c r="A105" t="s">
        <v>3754</v>
      </c>
      <c r="B105" t="s">
        <v>734</v>
      </c>
      <c r="C105" s="4">
        <v>45583</v>
      </c>
      <c r="D105" t="s">
        <v>3666</v>
      </c>
      <c r="E105" t="s">
        <v>123</v>
      </c>
      <c r="F105" t="e">
        <f ca="1">_xludf.XLOOKUP(B105,Base_Clientes!$A:$A,Base_Clientes!$G:$G,"Não encontrado")</f>
        <v>#NAME?</v>
      </c>
      <c r="G105" t="e">
        <f ca="1">_xludf.XLOOKUP(B105,Base_Clientes!$A:$A,Base_Clientes!$I:$I,"Não encontrado")</f>
        <v>#NAME?</v>
      </c>
      <c r="H105" t="str">
        <f>VLOOKUP(B105,Base_Clientes!$A:$Z,21,FALSE)</f>
        <v>Alto risco</v>
      </c>
    </row>
    <row r="106" spans="1:8">
      <c r="A106" t="s">
        <v>3755</v>
      </c>
      <c r="B106" t="s">
        <v>736</v>
      </c>
      <c r="C106" s="4">
        <v>45547</v>
      </c>
      <c r="D106" t="s">
        <v>3666</v>
      </c>
      <c r="E106" t="s">
        <v>91</v>
      </c>
      <c r="F106" t="e">
        <f ca="1">_xludf.XLOOKUP(B106,Base_Clientes!$A:$A,Base_Clientes!$G:$G,"Não encontrado")</f>
        <v>#NAME?</v>
      </c>
      <c r="G106" t="e">
        <f ca="1">_xludf.XLOOKUP(B106,Base_Clientes!$A:$A,Base_Clientes!$I:$I,"Não encontrado")</f>
        <v>#NAME?</v>
      </c>
      <c r="H106" t="str">
        <f>VLOOKUP(B106,Base_Clientes!$A:$Z,21,FALSE)</f>
        <v>Alto risco</v>
      </c>
    </row>
    <row r="107" spans="1:8">
      <c r="A107" t="s">
        <v>3756</v>
      </c>
      <c r="B107" t="s">
        <v>742</v>
      </c>
      <c r="C107" s="4">
        <v>46128</v>
      </c>
      <c r="D107" t="s">
        <v>3668</v>
      </c>
      <c r="E107" t="s">
        <v>43</v>
      </c>
      <c r="F107" t="e">
        <f ca="1">_xludf.XLOOKUP(B107,Base_Clientes!$A:$A,Base_Clientes!$G:$G,"Não encontrado")</f>
        <v>#NAME?</v>
      </c>
      <c r="G107" t="e">
        <f ca="1">_xludf.XLOOKUP(B107,Base_Clientes!$A:$A,Base_Clientes!$I:$I,"Não encontrado")</f>
        <v>#NAME?</v>
      </c>
      <c r="H107" t="str">
        <f>VLOOKUP(B107,Base_Clientes!$A:$Z,21,FALSE)</f>
        <v>Alto risco</v>
      </c>
    </row>
    <row r="108" spans="1:8">
      <c r="A108" t="s">
        <v>3757</v>
      </c>
      <c r="B108" t="s">
        <v>749</v>
      </c>
      <c r="C108" s="4">
        <v>45945</v>
      </c>
      <c r="D108" t="s">
        <v>3643</v>
      </c>
      <c r="E108" t="s">
        <v>196</v>
      </c>
      <c r="F108" t="e">
        <f ca="1">_xludf.XLOOKUP(B108,Base_Clientes!$A:$A,Base_Clientes!$G:$G,"Não encontrado")</f>
        <v>#NAME?</v>
      </c>
      <c r="G108" t="e">
        <f ca="1">_xludf.XLOOKUP(B108,Base_Clientes!$A:$A,Base_Clientes!$I:$I,"Não encontrado")</f>
        <v>#NAME?</v>
      </c>
      <c r="H108" t="str">
        <f>VLOOKUP(B108,Base_Clientes!$A:$Z,21,FALSE)</f>
        <v>Alto risco</v>
      </c>
    </row>
    <row r="109" spans="1:8">
      <c r="A109" t="s">
        <v>3758</v>
      </c>
      <c r="B109" t="s">
        <v>750</v>
      </c>
      <c r="C109" s="4">
        <v>45927</v>
      </c>
      <c r="D109" t="s">
        <v>3645</v>
      </c>
      <c r="E109" t="s">
        <v>189</v>
      </c>
      <c r="F109" t="e">
        <f ca="1">_xludf.XLOOKUP(B109,Base_Clientes!$A:$A,Base_Clientes!$G:$G,"Não encontrado")</f>
        <v>#NAME?</v>
      </c>
      <c r="G109" t="e">
        <f ca="1">_xludf.XLOOKUP(B109,Base_Clientes!$A:$A,Base_Clientes!$I:$I,"Não encontrado")</f>
        <v>#NAME?</v>
      </c>
      <c r="H109" t="str">
        <f>VLOOKUP(B109,Base_Clientes!$A:$Z,21,FALSE)</f>
        <v>Alto risco</v>
      </c>
    </row>
    <row r="110" spans="1:8">
      <c r="A110" t="s">
        <v>3759</v>
      </c>
      <c r="B110" t="s">
        <v>758</v>
      </c>
      <c r="C110" s="4">
        <v>46148</v>
      </c>
      <c r="D110" t="s">
        <v>3651</v>
      </c>
      <c r="E110" t="s">
        <v>3676</v>
      </c>
      <c r="F110" t="e">
        <f ca="1">_xludf.XLOOKUP(B110,Base_Clientes!$A:$A,Base_Clientes!$G:$G,"Não encontrado")</f>
        <v>#NAME?</v>
      </c>
      <c r="G110" t="e">
        <f ca="1">_xludf.XLOOKUP(B110,Base_Clientes!$A:$A,Base_Clientes!$I:$I,"Não encontrado")</f>
        <v>#NAME?</v>
      </c>
      <c r="H110" t="str">
        <f>VLOOKUP(B110,Base_Clientes!$A:$Z,21,FALSE)</f>
        <v>Alto risco</v>
      </c>
    </row>
    <row r="111" spans="1:8">
      <c r="A111" t="s">
        <v>3760</v>
      </c>
      <c r="B111" t="s">
        <v>764</v>
      </c>
      <c r="C111" s="4">
        <v>45904</v>
      </c>
      <c r="D111" t="s">
        <v>3649</v>
      </c>
      <c r="E111" t="s">
        <v>189</v>
      </c>
      <c r="F111" t="e">
        <f ca="1">_xludf.XLOOKUP(B111,Base_Clientes!$A:$A,Base_Clientes!$G:$G,"Não encontrado")</f>
        <v>#NAME?</v>
      </c>
      <c r="G111" t="e">
        <f ca="1">_xludf.XLOOKUP(B111,Base_Clientes!$A:$A,Base_Clientes!$I:$I,"Não encontrado")</f>
        <v>#NAME?</v>
      </c>
      <c r="H111" t="str">
        <f>VLOOKUP(B111,Base_Clientes!$A:$Z,21,FALSE)</f>
        <v>Alto risco</v>
      </c>
    </row>
    <row r="112" spans="1:8">
      <c r="A112" t="s">
        <v>3761</v>
      </c>
      <c r="B112" t="s">
        <v>766</v>
      </c>
      <c r="C112" s="4">
        <v>45997</v>
      </c>
      <c r="D112" t="s">
        <v>3647</v>
      </c>
      <c r="E112" t="s">
        <v>170</v>
      </c>
      <c r="F112" t="e">
        <f ca="1">_xludf.XLOOKUP(B112,Base_Clientes!$A:$A,Base_Clientes!$G:$G,"Não encontrado")</f>
        <v>#NAME?</v>
      </c>
      <c r="G112" t="e">
        <f ca="1">_xludf.XLOOKUP(B112,Base_Clientes!$A:$A,Base_Clientes!$I:$I,"Não encontrado")</f>
        <v>#NAME?</v>
      </c>
      <c r="H112" t="str">
        <f>VLOOKUP(B112,Base_Clientes!$A:$Z,21,FALSE)</f>
        <v>Alto risco</v>
      </c>
    </row>
    <row r="113" spans="1:8">
      <c r="A113" t="s">
        <v>3762</v>
      </c>
      <c r="B113" t="s">
        <v>770</v>
      </c>
      <c r="C113" s="4">
        <v>46158</v>
      </c>
      <c r="D113" t="s">
        <v>3643</v>
      </c>
      <c r="E113" t="s">
        <v>3676</v>
      </c>
      <c r="F113" t="e">
        <f ca="1">_xludf.XLOOKUP(B113,Base_Clientes!$A:$A,Base_Clientes!$G:$G,"Não encontrado")</f>
        <v>#NAME?</v>
      </c>
      <c r="G113" t="e">
        <f ca="1">_xludf.XLOOKUP(B113,Base_Clientes!$A:$A,Base_Clientes!$I:$I,"Não encontrado")</f>
        <v>#NAME?</v>
      </c>
      <c r="H113" t="str">
        <f>VLOOKUP(B113,Base_Clientes!$A:$Z,21,FALSE)</f>
        <v>Alto risco</v>
      </c>
    </row>
    <row r="114" spans="1:8">
      <c r="A114" t="s">
        <v>3763</v>
      </c>
      <c r="B114" t="s">
        <v>771</v>
      </c>
      <c r="C114" s="4">
        <v>45902</v>
      </c>
      <c r="D114" t="s">
        <v>3668</v>
      </c>
      <c r="E114" t="s">
        <v>189</v>
      </c>
      <c r="F114" t="e">
        <f ca="1">_xludf.XLOOKUP(B114,Base_Clientes!$A:$A,Base_Clientes!$G:$G,"Não encontrado")</f>
        <v>#NAME?</v>
      </c>
      <c r="G114" t="e">
        <f ca="1">_xludf.XLOOKUP(B114,Base_Clientes!$A:$A,Base_Clientes!$I:$I,"Não encontrado")</f>
        <v>#NAME?</v>
      </c>
      <c r="H114" t="str">
        <f>VLOOKUP(B114,Base_Clientes!$A:$Z,21,FALSE)</f>
        <v>Alto risco</v>
      </c>
    </row>
    <row r="115" spans="1:8">
      <c r="A115" t="s">
        <v>3764</v>
      </c>
      <c r="B115" t="s">
        <v>783</v>
      </c>
      <c r="C115" s="4">
        <v>45367</v>
      </c>
      <c r="D115" t="s">
        <v>3651</v>
      </c>
      <c r="E115" t="s">
        <v>126</v>
      </c>
      <c r="F115" t="e">
        <f ca="1">_xludf.XLOOKUP(B115,Base_Clientes!$A:$A,Base_Clientes!$G:$G,"Não encontrado")</f>
        <v>#NAME?</v>
      </c>
      <c r="G115" t="e">
        <f ca="1">_xludf.XLOOKUP(B115,Base_Clientes!$A:$A,Base_Clientes!$I:$I,"Não encontrado")</f>
        <v>#NAME?</v>
      </c>
      <c r="H115" t="str">
        <f>VLOOKUP(B115,Base_Clientes!$A:$Z,21,FALSE)</f>
        <v>Alto risco</v>
      </c>
    </row>
    <row r="116" spans="1:8">
      <c r="A116" t="s">
        <v>3765</v>
      </c>
      <c r="B116" t="s">
        <v>788</v>
      </c>
      <c r="C116" s="4">
        <v>45405</v>
      </c>
      <c r="D116" t="s">
        <v>3668</v>
      </c>
      <c r="E116" t="s">
        <v>56</v>
      </c>
      <c r="F116" t="e">
        <f ca="1">_xludf.XLOOKUP(B116,Base_Clientes!$A:$A,Base_Clientes!$G:$G,"Não encontrado")</f>
        <v>#NAME?</v>
      </c>
      <c r="G116" t="e">
        <f ca="1">_xludf.XLOOKUP(B116,Base_Clientes!$A:$A,Base_Clientes!$I:$I,"Não encontrado")</f>
        <v>#NAME?</v>
      </c>
      <c r="H116" t="str">
        <f>VLOOKUP(B116,Base_Clientes!$A:$Z,21,FALSE)</f>
        <v>Alto risco</v>
      </c>
    </row>
    <row r="117" spans="1:8">
      <c r="A117" t="s">
        <v>3766</v>
      </c>
      <c r="B117" t="s">
        <v>792</v>
      </c>
      <c r="C117" s="4">
        <v>46007</v>
      </c>
      <c r="D117" t="s">
        <v>3668</v>
      </c>
      <c r="E117" t="s">
        <v>170</v>
      </c>
      <c r="F117" t="e">
        <f ca="1">_xludf.XLOOKUP(B117,Base_Clientes!$A:$A,Base_Clientes!$G:$G,"Não encontrado")</f>
        <v>#NAME?</v>
      </c>
      <c r="G117" t="e">
        <f ca="1">_xludf.XLOOKUP(B117,Base_Clientes!$A:$A,Base_Clientes!$I:$I,"Não encontrado")</f>
        <v>#NAME?</v>
      </c>
      <c r="H117" t="str">
        <f>VLOOKUP(B117,Base_Clientes!$A:$Z,21,FALSE)</f>
        <v>Alto risco</v>
      </c>
    </row>
    <row r="118" spans="1:8">
      <c r="A118" t="s">
        <v>3767</v>
      </c>
      <c r="B118" t="s">
        <v>802</v>
      </c>
      <c r="C118" s="4">
        <v>45795</v>
      </c>
      <c r="D118" t="s">
        <v>3647</v>
      </c>
      <c r="E118" t="s">
        <v>97</v>
      </c>
      <c r="F118" t="e">
        <f ca="1">_xludf.XLOOKUP(B118,Base_Clientes!$A:$A,Base_Clientes!$G:$G,"Não encontrado")</f>
        <v>#NAME?</v>
      </c>
      <c r="G118" t="e">
        <f ca="1">_xludf.XLOOKUP(B118,Base_Clientes!$A:$A,Base_Clientes!$I:$I,"Não encontrado")</f>
        <v>#NAME?</v>
      </c>
      <c r="H118" t="str">
        <f>VLOOKUP(B118,Base_Clientes!$A:$Z,21,FALSE)</f>
        <v>Alto risco</v>
      </c>
    </row>
    <row r="119" spans="1:8">
      <c r="A119" t="s">
        <v>3768</v>
      </c>
      <c r="B119" t="s">
        <v>806</v>
      </c>
      <c r="C119" s="4">
        <v>45771</v>
      </c>
      <c r="D119" t="s">
        <v>3649</v>
      </c>
      <c r="E119" t="s">
        <v>222</v>
      </c>
      <c r="F119" t="e">
        <f ca="1">_xludf.XLOOKUP(B119,Base_Clientes!$A:$A,Base_Clientes!$G:$G,"Não encontrado")</f>
        <v>#NAME?</v>
      </c>
      <c r="G119" t="e">
        <f ca="1">_xludf.XLOOKUP(B119,Base_Clientes!$A:$A,Base_Clientes!$I:$I,"Não encontrado")</f>
        <v>#NAME?</v>
      </c>
      <c r="H119" t="str">
        <f>VLOOKUP(B119,Base_Clientes!$A:$Z,21,FALSE)</f>
        <v>Alto risco</v>
      </c>
    </row>
    <row r="120" spans="1:8">
      <c r="A120" t="s">
        <v>3769</v>
      </c>
      <c r="B120" t="s">
        <v>818</v>
      </c>
      <c r="C120" s="4">
        <v>45793</v>
      </c>
      <c r="D120" t="s">
        <v>3651</v>
      </c>
      <c r="E120" t="s">
        <v>97</v>
      </c>
      <c r="F120" t="e">
        <f ca="1">_xludf.XLOOKUP(B120,Base_Clientes!$A:$A,Base_Clientes!$G:$G,"Não encontrado")</f>
        <v>#NAME?</v>
      </c>
      <c r="G120" t="e">
        <f ca="1">_xludf.XLOOKUP(B120,Base_Clientes!$A:$A,Base_Clientes!$I:$I,"Não encontrado")</f>
        <v>#NAME?</v>
      </c>
      <c r="H120" t="str">
        <f>VLOOKUP(B120,Base_Clientes!$A:$Z,21,FALSE)</f>
        <v>Alto risco</v>
      </c>
    </row>
    <row r="121" spans="1:8">
      <c r="A121" t="s">
        <v>3770</v>
      </c>
      <c r="B121" t="s">
        <v>832</v>
      </c>
      <c r="C121" s="4">
        <v>45393</v>
      </c>
      <c r="D121" t="s">
        <v>3659</v>
      </c>
      <c r="E121" t="s">
        <v>56</v>
      </c>
      <c r="F121" t="e">
        <f ca="1">_xludf.XLOOKUP(B121,Base_Clientes!$A:$A,Base_Clientes!$G:$G,"Não encontrado")</f>
        <v>#NAME?</v>
      </c>
      <c r="G121" t="e">
        <f ca="1">_xludf.XLOOKUP(B121,Base_Clientes!$A:$A,Base_Clientes!$I:$I,"Não encontrado")</f>
        <v>#NAME?</v>
      </c>
      <c r="H121" t="str">
        <f>VLOOKUP(B121,Base_Clientes!$A:$Z,21,FALSE)</f>
        <v>Alto risco</v>
      </c>
    </row>
    <row r="122" spans="1:8">
      <c r="A122" t="s">
        <v>3771</v>
      </c>
      <c r="B122" t="s">
        <v>835</v>
      </c>
      <c r="C122" s="4">
        <v>46117</v>
      </c>
      <c r="D122" t="s">
        <v>3649</v>
      </c>
      <c r="E122" t="s">
        <v>43</v>
      </c>
      <c r="F122" t="e">
        <f ca="1">_xludf.XLOOKUP(B122,Base_Clientes!$A:$A,Base_Clientes!$G:$G,"Não encontrado")</f>
        <v>#NAME?</v>
      </c>
      <c r="G122" t="e">
        <f ca="1">_xludf.XLOOKUP(B122,Base_Clientes!$A:$A,Base_Clientes!$I:$I,"Não encontrado")</f>
        <v>#NAME?</v>
      </c>
      <c r="H122" t="str">
        <f>VLOOKUP(B122,Base_Clientes!$A:$Z,21,FALSE)</f>
        <v>Alto risco</v>
      </c>
    </row>
    <row r="123" spans="1:8">
      <c r="A123" t="s">
        <v>3772</v>
      </c>
      <c r="B123" t="s">
        <v>845</v>
      </c>
      <c r="C123" s="4">
        <v>46129</v>
      </c>
      <c r="D123" t="s">
        <v>3649</v>
      </c>
      <c r="E123" t="s">
        <v>43</v>
      </c>
      <c r="F123" t="e">
        <f ca="1">_xludf.XLOOKUP(B123,Base_Clientes!$A:$A,Base_Clientes!$G:$G,"Não encontrado")</f>
        <v>#NAME?</v>
      </c>
      <c r="G123" t="e">
        <f ca="1">_xludf.XLOOKUP(B123,Base_Clientes!$A:$A,Base_Clientes!$I:$I,"Não encontrado")</f>
        <v>#NAME?</v>
      </c>
      <c r="H123" t="str">
        <f>VLOOKUP(B123,Base_Clientes!$A:$Z,21,FALSE)</f>
        <v>Alto risco</v>
      </c>
    </row>
    <row r="124" spans="1:8">
      <c r="A124" t="s">
        <v>3773</v>
      </c>
      <c r="B124" t="s">
        <v>846</v>
      </c>
      <c r="C124" s="4">
        <v>46137</v>
      </c>
      <c r="D124" t="s">
        <v>3647</v>
      </c>
      <c r="E124" t="s">
        <v>43</v>
      </c>
      <c r="F124" t="e">
        <f ca="1">_xludf.XLOOKUP(B124,Base_Clientes!$A:$A,Base_Clientes!$G:$G,"Não encontrado")</f>
        <v>#NAME?</v>
      </c>
      <c r="G124" t="e">
        <f ca="1">_xludf.XLOOKUP(B124,Base_Clientes!$A:$A,Base_Clientes!$I:$I,"Não encontrado")</f>
        <v>#NAME?</v>
      </c>
      <c r="H124" t="str">
        <f>VLOOKUP(B124,Base_Clientes!$A:$Z,21,FALSE)</f>
        <v>Alto risco</v>
      </c>
    </row>
    <row r="125" spans="1:8">
      <c r="A125" t="s">
        <v>3774</v>
      </c>
      <c r="B125" t="s">
        <v>848</v>
      </c>
      <c r="C125" s="4">
        <v>46138</v>
      </c>
      <c r="D125" t="s">
        <v>3668</v>
      </c>
      <c r="E125" t="s">
        <v>43</v>
      </c>
      <c r="F125" t="e">
        <f ca="1">_xludf.XLOOKUP(B125,Base_Clientes!$A:$A,Base_Clientes!$G:$G,"Não encontrado")</f>
        <v>#NAME?</v>
      </c>
      <c r="G125" t="e">
        <f ca="1">_xludf.XLOOKUP(B125,Base_Clientes!$A:$A,Base_Clientes!$I:$I,"Não encontrado")</f>
        <v>#NAME?</v>
      </c>
      <c r="H125" t="str">
        <f>VLOOKUP(B125,Base_Clientes!$A:$Z,21,FALSE)</f>
        <v>Alto risco</v>
      </c>
    </row>
    <row r="126" spans="1:8">
      <c r="A126" t="s">
        <v>3775</v>
      </c>
      <c r="B126" t="s">
        <v>852</v>
      </c>
      <c r="C126" s="4">
        <v>46162</v>
      </c>
      <c r="D126" t="s">
        <v>3647</v>
      </c>
      <c r="E126" t="s">
        <v>3676</v>
      </c>
      <c r="F126" t="e">
        <f ca="1">_xludf.XLOOKUP(B126,Base_Clientes!$A:$A,Base_Clientes!$G:$G,"Não encontrado")</f>
        <v>#NAME?</v>
      </c>
      <c r="G126" t="e">
        <f ca="1">_xludf.XLOOKUP(B126,Base_Clientes!$A:$A,Base_Clientes!$I:$I,"Não encontrado")</f>
        <v>#NAME?</v>
      </c>
      <c r="H126" t="str">
        <f>VLOOKUP(B126,Base_Clientes!$A:$Z,21,FALSE)</f>
        <v>Alto risco</v>
      </c>
    </row>
    <row r="127" spans="1:8">
      <c r="A127" t="s">
        <v>3776</v>
      </c>
      <c r="B127" t="s">
        <v>857</v>
      </c>
      <c r="C127" s="4">
        <v>45598</v>
      </c>
      <c r="D127" t="s">
        <v>3666</v>
      </c>
      <c r="E127" t="s">
        <v>83</v>
      </c>
      <c r="F127" t="e">
        <f ca="1">_xludf.XLOOKUP(B127,Base_Clientes!$A:$A,Base_Clientes!$G:$G,"Não encontrado")</f>
        <v>#NAME?</v>
      </c>
      <c r="G127" t="e">
        <f ca="1">_xludf.XLOOKUP(B127,Base_Clientes!$A:$A,Base_Clientes!$I:$I,"Não encontrado")</f>
        <v>#NAME?</v>
      </c>
      <c r="H127" t="str">
        <f>VLOOKUP(B127,Base_Clientes!$A:$Z,21,FALSE)</f>
        <v>Alto risco</v>
      </c>
    </row>
    <row r="128" spans="1:8">
      <c r="A128" t="s">
        <v>3777</v>
      </c>
      <c r="B128" t="s">
        <v>859</v>
      </c>
      <c r="C128" s="4">
        <v>46086</v>
      </c>
      <c r="D128" t="s">
        <v>3643</v>
      </c>
      <c r="E128" t="s">
        <v>292</v>
      </c>
      <c r="F128" t="e">
        <f ca="1">_xludf.XLOOKUP(B128,Base_Clientes!$A:$A,Base_Clientes!$G:$G,"Não encontrado")</f>
        <v>#NAME?</v>
      </c>
      <c r="G128" t="e">
        <f ca="1">_xludf.XLOOKUP(B128,Base_Clientes!$A:$A,Base_Clientes!$I:$I,"Não encontrado")</f>
        <v>#NAME?</v>
      </c>
      <c r="H128" t="str">
        <f>VLOOKUP(B128,Base_Clientes!$A:$Z,21,FALSE)</f>
        <v>Alto risco</v>
      </c>
    </row>
    <row r="129" spans="1:8">
      <c r="A129" t="s">
        <v>3778</v>
      </c>
      <c r="B129" t="s">
        <v>875</v>
      </c>
      <c r="C129" s="4">
        <v>45945</v>
      </c>
      <c r="D129" t="s">
        <v>3647</v>
      </c>
      <c r="E129" t="s">
        <v>196</v>
      </c>
      <c r="F129" t="e">
        <f ca="1">_xludf.XLOOKUP(B129,Base_Clientes!$A:$A,Base_Clientes!$G:$G,"Não encontrado")</f>
        <v>#NAME?</v>
      </c>
      <c r="G129" t="e">
        <f ca="1">_xludf.XLOOKUP(B129,Base_Clientes!$A:$A,Base_Clientes!$I:$I,"Não encontrado")</f>
        <v>#NAME?</v>
      </c>
      <c r="H129" t="str">
        <f>VLOOKUP(B129,Base_Clientes!$A:$Z,21,FALSE)</f>
        <v>Alto risco</v>
      </c>
    </row>
    <row r="130" spans="1:8">
      <c r="A130" t="s">
        <v>3779</v>
      </c>
      <c r="B130" t="s">
        <v>881</v>
      </c>
      <c r="C130" s="4">
        <v>45545</v>
      </c>
      <c r="D130" t="s">
        <v>3659</v>
      </c>
      <c r="E130" t="s">
        <v>91</v>
      </c>
      <c r="F130" t="e">
        <f ca="1">_xludf.XLOOKUP(B130,Base_Clientes!$A:$A,Base_Clientes!$G:$G,"Não encontrado")</f>
        <v>#NAME?</v>
      </c>
      <c r="G130" t="e">
        <f ca="1">_xludf.XLOOKUP(B130,Base_Clientes!$A:$A,Base_Clientes!$I:$I,"Não encontrado")</f>
        <v>#NAME?</v>
      </c>
      <c r="H130" t="str">
        <f>VLOOKUP(B130,Base_Clientes!$A:$Z,21,FALSE)</f>
        <v>Alto risco</v>
      </c>
    </row>
    <row r="131" spans="1:8">
      <c r="A131" t="s">
        <v>3780</v>
      </c>
      <c r="B131" t="s">
        <v>890</v>
      </c>
      <c r="C131" s="4">
        <v>46169</v>
      </c>
      <c r="D131" t="s">
        <v>3647</v>
      </c>
      <c r="E131" t="s">
        <v>3676</v>
      </c>
      <c r="F131" t="e">
        <f ca="1">_xludf.XLOOKUP(B131,Base_Clientes!$A:$A,Base_Clientes!$G:$G,"Não encontrado")</f>
        <v>#NAME?</v>
      </c>
      <c r="G131" t="e">
        <f ca="1">_xludf.XLOOKUP(B131,Base_Clientes!$A:$A,Base_Clientes!$I:$I,"Não encontrado")</f>
        <v>#NAME?</v>
      </c>
      <c r="H131" t="str">
        <f>VLOOKUP(B131,Base_Clientes!$A:$Z,21,FALSE)</f>
        <v>Alto risco</v>
      </c>
    </row>
    <row r="132" spans="1:8">
      <c r="A132" t="s">
        <v>3781</v>
      </c>
      <c r="B132" t="s">
        <v>895</v>
      </c>
      <c r="C132" s="4">
        <v>46036</v>
      </c>
      <c r="D132" t="s">
        <v>3651</v>
      </c>
      <c r="E132" t="s">
        <v>148</v>
      </c>
      <c r="F132" t="e">
        <f ca="1">_xludf.XLOOKUP(B132,Base_Clientes!$A:$A,Base_Clientes!$G:$G,"Não encontrado")</f>
        <v>#NAME?</v>
      </c>
      <c r="G132" t="e">
        <f ca="1">_xludf.XLOOKUP(B132,Base_Clientes!$A:$A,Base_Clientes!$I:$I,"Não encontrado")</f>
        <v>#NAME?</v>
      </c>
      <c r="H132" t="str">
        <f>VLOOKUP(B132,Base_Clientes!$A:$Z,21,FALSE)</f>
        <v>Alto risco</v>
      </c>
    </row>
    <row r="133" spans="1:8">
      <c r="A133" t="s">
        <v>3782</v>
      </c>
      <c r="B133" t="s">
        <v>898</v>
      </c>
      <c r="C133" s="4">
        <v>46166</v>
      </c>
      <c r="D133" t="s">
        <v>3659</v>
      </c>
      <c r="E133" t="s">
        <v>3676</v>
      </c>
      <c r="F133" t="e">
        <f ca="1">_xludf.XLOOKUP(B133,Base_Clientes!$A:$A,Base_Clientes!$G:$G,"Não encontrado")</f>
        <v>#NAME?</v>
      </c>
      <c r="G133" t="e">
        <f ca="1">_xludf.XLOOKUP(B133,Base_Clientes!$A:$A,Base_Clientes!$I:$I,"Não encontrado")</f>
        <v>#NAME?</v>
      </c>
      <c r="H133" t="str">
        <f>VLOOKUP(B133,Base_Clientes!$A:$Z,21,FALSE)</f>
        <v>Alto risco</v>
      </c>
    </row>
    <row r="134" spans="1:8">
      <c r="A134" t="s">
        <v>3783</v>
      </c>
      <c r="B134" t="s">
        <v>900</v>
      </c>
      <c r="C134" s="4">
        <v>45686</v>
      </c>
      <c r="D134" t="s">
        <v>3651</v>
      </c>
      <c r="E134" t="s">
        <v>261</v>
      </c>
      <c r="F134" t="e">
        <f ca="1">_xludf.XLOOKUP(B134,Base_Clientes!$A:$A,Base_Clientes!$G:$G,"Não encontrado")</f>
        <v>#NAME?</v>
      </c>
      <c r="G134" t="e">
        <f ca="1">_xludf.XLOOKUP(B134,Base_Clientes!$A:$A,Base_Clientes!$I:$I,"Não encontrado")</f>
        <v>#NAME?</v>
      </c>
      <c r="H134" t="str">
        <f>VLOOKUP(B134,Base_Clientes!$A:$Z,21,FALSE)</f>
        <v>Alto risco</v>
      </c>
    </row>
    <row r="135" spans="1:8">
      <c r="A135" t="s">
        <v>3784</v>
      </c>
      <c r="B135" t="s">
        <v>903</v>
      </c>
      <c r="C135" s="4">
        <v>45632</v>
      </c>
      <c r="D135" t="s">
        <v>3666</v>
      </c>
      <c r="E135" t="s">
        <v>49</v>
      </c>
      <c r="F135" t="e">
        <f ca="1">_xludf.XLOOKUP(B135,Base_Clientes!$A:$A,Base_Clientes!$G:$G,"Não encontrado")</f>
        <v>#NAME?</v>
      </c>
      <c r="G135" t="e">
        <f ca="1">_xludf.XLOOKUP(B135,Base_Clientes!$A:$A,Base_Clientes!$I:$I,"Não encontrado")</f>
        <v>#NAME?</v>
      </c>
      <c r="H135" t="str">
        <f>VLOOKUP(B135,Base_Clientes!$A:$Z,21,FALSE)</f>
        <v>Alto risco</v>
      </c>
    </row>
    <row r="136" spans="1:8">
      <c r="A136" t="s">
        <v>3785</v>
      </c>
      <c r="B136" t="s">
        <v>904</v>
      </c>
      <c r="C136" s="4">
        <v>45537</v>
      </c>
      <c r="D136" t="s">
        <v>3651</v>
      </c>
      <c r="E136" t="s">
        <v>91</v>
      </c>
      <c r="F136" t="e">
        <f ca="1">_xludf.XLOOKUP(B136,Base_Clientes!$A:$A,Base_Clientes!$G:$G,"Não encontrado")</f>
        <v>#NAME?</v>
      </c>
      <c r="G136" t="e">
        <f ca="1">_xludf.XLOOKUP(B136,Base_Clientes!$A:$A,Base_Clientes!$I:$I,"Não encontrado")</f>
        <v>#NAME?</v>
      </c>
      <c r="H136" t="str">
        <f>VLOOKUP(B136,Base_Clientes!$A:$Z,21,FALSE)</f>
        <v>Alto risco</v>
      </c>
    </row>
    <row r="137" spans="1:8">
      <c r="A137" t="s">
        <v>3786</v>
      </c>
      <c r="B137" t="s">
        <v>913</v>
      </c>
      <c r="C137" s="4">
        <v>46136</v>
      </c>
      <c r="D137" t="s">
        <v>3647</v>
      </c>
      <c r="E137" t="s">
        <v>43</v>
      </c>
      <c r="F137" t="e">
        <f ca="1">_xludf.XLOOKUP(B137,Base_Clientes!$A:$A,Base_Clientes!$G:$G,"Não encontrado")</f>
        <v>#NAME?</v>
      </c>
      <c r="G137" t="e">
        <f ca="1">_xludf.XLOOKUP(B137,Base_Clientes!$A:$A,Base_Clientes!$I:$I,"Não encontrado")</f>
        <v>#NAME?</v>
      </c>
      <c r="H137" t="str">
        <f>VLOOKUP(B137,Base_Clientes!$A:$Z,21,FALSE)</f>
        <v>Alto risco</v>
      </c>
    </row>
    <row r="138" spans="1:8">
      <c r="A138" t="s">
        <v>3787</v>
      </c>
      <c r="B138" t="s">
        <v>915</v>
      </c>
      <c r="C138" s="4">
        <v>46100</v>
      </c>
      <c r="D138" t="s">
        <v>3647</v>
      </c>
      <c r="E138" t="s">
        <v>292</v>
      </c>
      <c r="F138" t="e">
        <f ca="1">_xludf.XLOOKUP(B138,Base_Clientes!$A:$A,Base_Clientes!$G:$G,"Não encontrado")</f>
        <v>#NAME?</v>
      </c>
      <c r="G138" t="e">
        <f ca="1">_xludf.XLOOKUP(B138,Base_Clientes!$A:$A,Base_Clientes!$I:$I,"Não encontrado")</f>
        <v>#NAME?</v>
      </c>
      <c r="H138" t="str">
        <f>VLOOKUP(B138,Base_Clientes!$A:$Z,21,FALSE)</f>
        <v>Alto risco</v>
      </c>
    </row>
    <row r="139" spans="1:8">
      <c r="A139" t="s">
        <v>3788</v>
      </c>
      <c r="B139" t="s">
        <v>920</v>
      </c>
      <c r="C139" s="4">
        <v>46033</v>
      </c>
      <c r="D139" t="s">
        <v>3649</v>
      </c>
      <c r="E139" t="s">
        <v>148</v>
      </c>
      <c r="F139" t="e">
        <f ca="1">_xludf.XLOOKUP(B139,Base_Clientes!$A:$A,Base_Clientes!$G:$G,"Não encontrado")</f>
        <v>#NAME?</v>
      </c>
      <c r="G139" t="e">
        <f ca="1">_xludf.XLOOKUP(B139,Base_Clientes!$A:$A,Base_Clientes!$I:$I,"Não encontrado")</f>
        <v>#NAME?</v>
      </c>
      <c r="H139" t="str">
        <f>VLOOKUP(B139,Base_Clientes!$A:$Z,21,FALSE)</f>
        <v>Alto risco</v>
      </c>
    </row>
    <row r="140" spans="1:8">
      <c r="A140" t="s">
        <v>3789</v>
      </c>
      <c r="B140" t="s">
        <v>923</v>
      </c>
      <c r="C140" s="4">
        <v>45855</v>
      </c>
      <c r="D140" t="s">
        <v>3666</v>
      </c>
      <c r="E140" t="s">
        <v>212</v>
      </c>
      <c r="F140" t="e">
        <f ca="1">_xludf.XLOOKUP(B140,Base_Clientes!$A:$A,Base_Clientes!$G:$G,"Não encontrado")</f>
        <v>#NAME?</v>
      </c>
      <c r="G140" t="e">
        <f ca="1">_xludf.XLOOKUP(B140,Base_Clientes!$A:$A,Base_Clientes!$I:$I,"Não encontrado")</f>
        <v>#NAME?</v>
      </c>
      <c r="H140" t="str">
        <f>VLOOKUP(B140,Base_Clientes!$A:$Z,21,FALSE)</f>
        <v>Alto risco</v>
      </c>
    </row>
    <row r="141" spans="1:8">
      <c r="A141" t="s">
        <v>3790</v>
      </c>
      <c r="B141" t="s">
        <v>924</v>
      </c>
      <c r="C141" s="4">
        <v>45413</v>
      </c>
      <c r="D141" t="s">
        <v>3666</v>
      </c>
      <c r="E141" t="s">
        <v>130</v>
      </c>
      <c r="F141" t="e">
        <f ca="1">_xludf.XLOOKUP(B141,Base_Clientes!$A:$A,Base_Clientes!$G:$G,"Não encontrado")</f>
        <v>#NAME?</v>
      </c>
      <c r="G141" t="e">
        <f ca="1">_xludf.XLOOKUP(B141,Base_Clientes!$A:$A,Base_Clientes!$I:$I,"Não encontrado")</f>
        <v>#NAME?</v>
      </c>
      <c r="H141" t="str">
        <f>VLOOKUP(B141,Base_Clientes!$A:$Z,21,FALSE)</f>
        <v>Alto risco</v>
      </c>
    </row>
    <row r="142" spans="1:8">
      <c r="A142" t="s">
        <v>3791</v>
      </c>
      <c r="B142" t="s">
        <v>925</v>
      </c>
      <c r="C142" s="4">
        <v>45436</v>
      </c>
      <c r="D142" t="s">
        <v>3668</v>
      </c>
      <c r="E142" t="s">
        <v>130</v>
      </c>
      <c r="F142" t="e">
        <f ca="1">_xludf.XLOOKUP(B142,Base_Clientes!$A:$A,Base_Clientes!$G:$G,"Não encontrado")</f>
        <v>#NAME?</v>
      </c>
      <c r="G142" t="e">
        <f ca="1">_xludf.XLOOKUP(B142,Base_Clientes!$A:$A,Base_Clientes!$I:$I,"Não encontrado")</f>
        <v>#NAME?</v>
      </c>
      <c r="H142" t="str">
        <f>VLOOKUP(B142,Base_Clientes!$A:$Z,21,FALSE)</f>
        <v>Alto risco</v>
      </c>
    </row>
    <row r="143" spans="1:8">
      <c r="A143" t="s">
        <v>3792</v>
      </c>
      <c r="B143" t="s">
        <v>929</v>
      </c>
      <c r="C143" s="4">
        <v>46142</v>
      </c>
      <c r="D143" t="s">
        <v>3649</v>
      </c>
      <c r="E143" t="s">
        <v>43</v>
      </c>
      <c r="F143" t="e">
        <f ca="1">_xludf.XLOOKUP(B143,Base_Clientes!$A:$A,Base_Clientes!$G:$G,"Não encontrado")</f>
        <v>#NAME?</v>
      </c>
      <c r="G143" t="e">
        <f ca="1">_xludf.XLOOKUP(B143,Base_Clientes!$A:$A,Base_Clientes!$I:$I,"Não encontrado")</f>
        <v>#NAME?</v>
      </c>
      <c r="H143" t="str">
        <f>VLOOKUP(B143,Base_Clientes!$A:$Z,21,FALSE)</f>
        <v>Alto risco</v>
      </c>
    </row>
    <row r="144" spans="1:8">
      <c r="A144" t="s">
        <v>3793</v>
      </c>
      <c r="B144" t="s">
        <v>932</v>
      </c>
      <c r="C144" s="4">
        <v>45901</v>
      </c>
      <c r="D144" t="s">
        <v>3649</v>
      </c>
      <c r="E144" t="s">
        <v>189</v>
      </c>
      <c r="F144" t="e">
        <f ca="1">_xludf.XLOOKUP(B144,Base_Clientes!$A:$A,Base_Clientes!$G:$G,"Não encontrado")</f>
        <v>#NAME?</v>
      </c>
      <c r="G144" t="e">
        <f ca="1">_xludf.XLOOKUP(B144,Base_Clientes!$A:$A,Base_Clientes!$I:$I,"Não encontrado")</f>
        <v>#NAME?</v>
      </c>
      <c r="H144" t="str">
        <f>VLOOKUP(B144,Base_Clientes!$A:$Z,21,FALSE)</f>
        <v>Alto risco</v>
      </c>
    </row>
    <row r="145" spans="1:8">
      <c r="A145" t="s">
        <v>3794</v>
      </c>
      <c r="B145" t="s">
        <v>935</v>
      </c>
      <c r="C145" s="4">
        <v>46035</v>
      </c>
      <c r="D145" t="s">
        <v>3659</v>
      </c>
      <c r="E145" t="s">
        <v>148</v>
      </c>
      <c r="F145" t="e">
        <f ca="1">_xludf.XLOOKUP(B145,Base_Clientes!$A:$A,Base_Clientes!$G:$G,"Não encontrado")</f>
        <v>#NAME?</v>
      </c>
      <c r="G145" t="e">
        <f ca="1">_xludf.XLOOKUP(B145,Base_Clientes!$A:$A,Base_Clientes!$I:$I,"Não encontrado")</f>
        <v>#NAME?</v>
      </c>
      <c r="H145" t="str">
        <f>VLOOKUP(B145,Base_Clientes!$A:$Z,21,FALSE)</f>
        <v>Médio risco</v>
      </c>
    </row>
    <row r="146" spans="1:8">
      <c r="A146" t="s">
        <v>3795</v>
      </c>
      <c r="B146" t="s">
        <v>942</v>
      </c>
      <c r="C146" s="4">
        <v>46032</v>
      </c>
      <c r="D146" t="s">
        <v>3668</v>
      </c>
      <c r="E146" t="s">
        <v>148</v>
      </c>
      <c r="F146" t="e">
        <f ca="1">_xludf.XLOOKUP(B146,Base_Clientes!$A:$A,Base_Clientes!$G:$G,"Não encontrado")</f>
        <v>#NAME?</v>
      </c>
      <c r="G146" t="e">
        <f ca="1">_xludf.XLOOKUP(B146,Base_Clientes!$A:$A,Base_Clientes!$I:$I,"Não encontrado")</f>
        <v>#NAME?</v>
      </c>
      <c r="H146" t="str">
        <f>VLOOKUP(B146,Base_Clientes!$A:$Z,21,FALSE)</f>
        <v>Alto risco</v>
      </c>
    </row>
    <row r="147" spans="1:8">
      <c r="A147" t="s">
        <v>3796</v>
      </c>
      <c r="B147" t="s">
        <v>958</v>
      </c>
      <c r="C147" s="4">
        <v>46155</v>
      </c>
      <c r="D147" t="s">
        <v>3649</v>
      </c>
      <c r="E147" t="s">
        <v>3676</v>
      </c>
      <c r="F147" t="e">
        <f ca="1">_xludf.XLOOKUP(B147,Base_Clientes!$A:$A,Base_Clientes!$G:$G,"Não encontrado")</f>
        <v>#NAME?</v>
      </c>
      <c r="G147" t="e">
        <f ca="1">_xludf.XLOOKUP(B147,Base_Clientes!$A:$A,Base_Clientes!$I:$I,"Não encontrado")</f>
        <v>#NAME?</v>
      </c>
      <c r="H147" t="str">
        <f>VLOOKUP(B147,Base_Clientes!$A:$Z,21,FALSE)</f>
        <v>Alto risco</v>
      </c>
    </row>
    <row r="148" spans="1:8">
      <c r="A148" t="s">
        <v>3797</v>
      </c>
      <c r="B148" t="s">
        <v>963</v>
      </c>
      <c r="C148" s="4">
        <v>46148</v>
      </c>
      <c r="D148" t="s">
        <v>3666</v>
      </c>
      <c r="E148" t="s">
        <v>3676</v>
      </c>
      <c r="F148" t="e">
        <f ca="1">_xludf.XLOOKUP(B148,Base_Clientes!$A:$A,Base_Clientes!$G:$G,"Não encontrado")</f>
        <v>#NAME?</v>
      </c>
      <c r="G148" t="e">
        <f ca="1">_xludf.XLOOKUP(B148,Base_Clientes!$A:$A,Base_Clientes!$I:$I,"Não encontrado")</f>
        <v>#NAME?</v>
      </c>
      <c r="H148" t="str">
        <f>VLOOKUP(B148,Base_Clientes!$A:$Z,21,FALSE)</f>
        <v>Alto risco</v>
      </c>
    </row>
    <row r="149" spans="1:8">
      <c r="A149" t="s">
        <v>3798</v>
      </c>
      <c r="B149" t="s">
        <v>964</v>
      </c>
      <c r="C149" s="4">
        <v>45644</v>
      </c>
      <c r="D149" t="s">
        <v>3649</v>
      </c>
      <c r="E149" t="s">
        <v>49</v>
      </c>
      <c r="F149" t="e">
        <f ca="1">_xludf.XLOOKUP(B149,Base_Clientes!$A:$A,Base_Clientes!$G:$G,"Não encontrado")</f>
        <v>#NAME?</v>
      </c>
      <c r="G149" t="e">
        <f ca="1">_xludf.XLOOKUP(B149,Base_Clientes!$A:$A,Base_Clientes!$I:$I,"Não encontrado")</f>
        <v>#NAME?</v>
      </c>
      <c r="H149" t="str">
        <f>VLOOKUP(B149,Base_Clientes!$A:$Z,21,FALSE)</f>
        <v>Alto risco</v>
      </c>
    </row>
    <row r="150" spans="1:8">
      <c r="A150" t="s">
        <v>3799</v>
      </c>
      <c r="B150" t="s">
        <v>968</v>
      </c>
      <c r="C150" s="4">
        <v>45316</v>
      </c>
      <c r="D150" t="s">
        <v>3651</v>
      </c>
      <c r="E150" t="s">
        <v>516</v>
      </c>
      <c r="F150" t="e">
        <f ca="1">_xludf.XLOOKUP(B150,Base_Clientes!$A:$A,Base_Clientes!$G:$G,"Não encontrado")</f>
        <v>#NAME?</v>
      </c>
      <c r="G150" t="e">
        <f ca="1">_xludf.XLOOKUP(B150,Base_Clientes!$A:$A,Base_Clientes!$I:$I,"Não encontrado")</f>
        <v>#NAME?</v>
      </c>
      <c r="H150" t="str">
        <f>VLOOKUP(B150,Base_Clientes!$A:$Z,21,FALSE)</f>
        <v>Alto risco</v>
      </c>
    </row>
    <row r="151" spans="1:8">
      <c r="A151" t="s">
        <v>3800</v>
      </c>
      <c r="B151" t="s">
        <v>969</v>
      </c>
      <c r="C151" s="4">
        <v>45835</v>
      </c>
      <c r="D151" t="s">
        <v>3643</v>
      </c>
      <c r="E151" t="s">
        <v>167</v>
      </c>
      <c r="F151" t="e">
        <f ca="1">_xludf.XLOOKUP(B151,Base_Clientes!$A:$A,Base_Clientes!$G:$G,"Não encontrado")</f>
        <v>#NAME?</v>
      </c>
      <c r="G151" t="e">
        <f ca="1">_xludf.XLOOKUP(B151,Base_Clientes!$A:$A,Base_Clientes!$I:$I,"Não encontrado")</f>
        <v>#NAME?</v>
      </c>
      <c r="H151" t="str">
        <f>VLOOKUP(B151,Base_Clientes!$A:$Z,21,FALSE)</f>
        <v>Alto risco</v>
      </c>
    </row>
    <row r="152" spans="1:8">
      <c r="A152" t="s">
        <v>3801</v>
      </c>
      <c r="B152" t="s">
        <v>976</v>
      </c>
      <c r="C152" s="4">
        <v>45843</v>
      </c>
      <c r="D152" t="s">
        <v>3659</v>
      </c>
      <c r="E152" t="s">
        <v>212</v>
      </c>
      <c r="F152" t="e">
        <f ca="1">_xludf.XLOOKUP(B152,Base_Clientes!$A:$A,Base_Clientes!$G:$G,"Não encontrado")</f>
        <v>#NAME?</v>
      </c>
      <c r="G152" t="e">
        <f ca="1">_xludf.XLOOKUP(B152,Base_Clientes!$A:$A,Base_Clientes!$I:$I,"Não encontrado")</f>
        <v>#NAME?</v>
      </c>
      <c r="H152" t="str">
        <f>VLOOKUP(B152,Base_Clientes!$A:$Z,21,FALSE)</f>
        <v>Alto risco</v>
      </c>
    </row>
    <row r="153" spans="1:8">
      <c r="A153" t="s">
        <v>3802</v>
      </c>
      <c r="B153" t="s">
        <v>978</v>
      </c>
      <c r="C153" s="4">
        <v>45272</v>
      </c>
      <c r="D153" t="s">
        <v>3645</v>
      </c>
      <c r="E153" t="s">
        <v>62</v>
      </c>
      <c r="F153" t="e">
        <f ca="1">_xludf.XLOOKUP(B153,Base_Clientes!$A:$A,Base_Clientes!$G:$G,"Não encontrado")</f>
        <v>#NAME?</v>
      </c>
      <c r="G153" t="e">
        <f ca="1">_xludf.XLOOKUP(B153,Base_Clientes!$A:$A,Base_Clientes!$I:$I,"Não encontrado")</f>
        <v>#NAME?</v>
      </c>
      <c r="H153" t="str">
        <f>VLOOKUP(B153,Base_Clientes!$A:$Z,21,FALSE)</f>
        <v>Alto risco</v>
      </c>
    </row>
    <row r="154" spans="1:8">
      <c r="A154" t="s">
        <v>3803</v>
      </c>
      <c r="B154" t="s">
        <v>983</v>
      </c>
      <c r="C154" s="4">
        <v>45359</v>
      </c>
      <c r="D154" t="s">
        <v>3647</v>
      </c>
      <c r="E154" t="s">
        <v>126</v>
      </c>
      <c r="F154" t="e">
        <f ca="1">_xludf.XLOOKUP(B154,Base_Clientes!$A:$A,Base_Clientes!$G:$G,"Não encontrado")</f>
        <v>#NAME?</v>
      </c>
      <c r="G154" t="e">
        <f ca="1">_xludf.XLOOKUP(B154,Base_Clientes!$A:$A,Base_Clientes!$I:$I,"Não encontrado")</f>
        <v>#NAME?</v>
      </c>
      <c r="H154" t="str">
        <f>VLOOKUP(B154,Base_Clientes!$A:$Z,21,FALSE)</f>
        <v>Alto risco</v>
      </c>
    </row>
    <row r="155" spans="1:8">
      <c r="A155" t="s">
        <v>3804</v>
      </c>
      <c r="B155" t="s">
        <v>997</v>
      </c>
      <c r="C155" s="4">
        <v>45925</v>
      </c>
      <c r="D155" t="s">
        <v>3666</v>
      </c>
      <c r="E155" t="s">
        <v>189</v>
      </c>
      <c r="F155" t="e">
        <f ca="1">_xludf.XLOOKUP(B155,Base_Clientes!$A:$A,Base_Clientes!$G:$G,"Não encontrado")</f>
        <v>#NAME?</v>
      </c>
      <c r="G155" t="e">
        <f ca="1">_xludf.XLOOKUP(B155,Base_Clientes!$A:$A,Base_Clientes!$I:$I,"Não encontrado")</f>
        <v>#NAME?</v>
      </c>
      <c r="H155" t="str">
        <f>VLOOKUP(B155,Base_Clientes!$A:$Z,21,FALSE)</f>
        <v>Baixo risco</v>
      </c>
    </row>
    <row r="156" spans="1:8">
      <c r="A156" t="s">
        <v>3805</v>
      </c>
      <c r="B156" t="s">
        <v>998</v>
      </c>
      <c r="C156" s="4">
        <v>45764</v>
      </c>
      <c r="D156" t="s">
        <v>3668</v>
      </c>
      <c r="E156" t="s">
        <v>222</v>
      </c>
      <c r="F156" t="e">
        <f ca="1">_xludf.XLOOKUP(B156,Base_Clientes!$A:$A,Base_Clientes!$G:$G,"Não encontrado")</f>
        <v>#NAME?</v>
      </c>
      <c r="G156" t="e">
        <f ca="1">_xludf.XLOOKUP(B156,Base_Clientes!$A:$A,Base_Clientes!$I:$I,"Não encontrado")</f>
        <v>#NAME?</v>
      </c>
      <c r="H156" t="str">
        <f>VLOOKUP(B156,Base_Clientes!$A:$Z,21,FALSE)</f>
        <v>Baixo risco</v>
      </c>
    </row>
    <row r="157" spans="1:8">
      <c r="A157" t="s">
        <v>3806</v>
      </c>
      <c r="B157" t="s">
        <v>1016</v>
      </c>
      <c r="C157" s="4">
        <v>45898</v>
      </c>
      <c r="D157" t="s">
        <v>3651</v>
      </c>
      <c r="E157" t="s">
        <v>159</v>
      </c>
      <c r="F157" t="e">
        <f ca="1">_xludf.XLOOKUP(B157,Base_Clientes!$A:$A,Base_Clientes!$G:$G,"Não encontrado")</f>
        <v>#NAME?</v>
      </c>
      <c r="G157" t="e">
        <f ca="1">_xludf.XLOOKUP(B157,Base_Clientes!$A:$A,Base_Clientes!$I:$I,"Não encontrado")</f>
        <v>#NAME?</v>
      </c>
      <c r="H157" t="str">
        <f>VLOOKUP(B157,Base_Clientes!$A:$Z,21,FALSE)</f>
        <v>Alto risco</v>
      </c>
    </row>
    <row r="158" spans="1:8">
      <c r="A158" t="s">
        <v>3807</v>
      </c>
      <c r="B158" t="s">
        <v>1019</v>
      </c>
      <c r="C158" s="4">
        <v>45393</v>
      </c>
      <c r="D158" t="s">
        <v>3649</v>
      </c>
      <c r="E158" t="s">
        <v>56</v>
      </c>
      <c r="F158" t="e">
        <f ca="1">_xludf.XLOOKUP(B158,Base_Clientes!$A:$A,Base_Clientes!$G:$G,"Não encontrado")</f>
        <v>#NAME?</v>
      </c>
      <c r="G158" t="e">
        <f ca="1">_xludf.XLOOKUP(B158,Base_Clientes!$A:$A,Base_Clientes!$I:$I,"Não encontrado")</f>
        <v>#NAME?</v>
      </c>
      <c r="H158" t="str">
        <f>VLOOKUP(B158,Base_Clientes!$A:$Z,21,FALSE)</f>
        <v>Alto risco</v>
      </c>
    </row>
    <row r="159" spans="1:8">
      <c r="A159" t="s">
        <v>3808</v>
      </c>
      <c r="B159" t="s">
        <v>1022</v>
      </c>
      <c r="C159" s="4">
        <v>46076</v>
      </c>
      <c r="D159" t="s">
        <v>3651</v>
      </c>
      <c r="E159" t="s">
        <v>74</v>
      </c>
      <c r="F159" t="e">
        <f ca="1">_xludf.XLOOKUP(B159,Base_Clientes!$A:$A,Base_Clientes!$G:$G,"Não encontrado")</f>
        <v>#NAME?</v>
      </c>
      <c r="G159" t="e">
        <f ca="1">_xludf.XLOOKUP(B159,Base_Clientes!$A:$A,Base_Clientes!$I:$I,"Não encontrado")</f>
        <v>#NAME?</v>
      </c>
      <c r="H159" t="str">
        <f>VLOOKUP(B159,Base_Clientes!$A:$Z,21,FALSE)</f>
        <v>Alto risco</v>
      </c>
    </row>
    <row r="160" spans="1:8">
      <c r="A160" t="s">
        <v>3809</v>
      </c>
      <c r="B160" t="s">
        <v>1023</v>
      </c>
      <c r="C160" s="4">
        <v>46059</v>
      </c>
      <c r="D160" t="s">
        <v>3668</v>
      </c>
      <c r="E160" t="s">
        <v>74</v>
      </c>
      <c r="F160" t="e">
        <f ca="1">_xludf.XLOOKUP(B160,Base_Clientes!$A:$A,Base_Clientes!$G:$G,"Não encontrado")</f>
        <v>#NAME?</v>
      </c>
      <c r="G160" t="e">
        <f ca="1">_xludf.XLOOKUP(B160,Base_Clientes!$A:$A,Base_Clientes!$I:$I,"Não encontrado")</f>
        <v>#NAME?</v>
      </c>
      <c r="H160" t="str">
        <f>VLOOKUP(B160,Base_Clientes!$A:$Z,21,FALSE)</f>
        <v>Alto risco</v>
      </c>
    </row>
    <row r="161" spans="1:8">
      <c r="A161" t="s">
        <v>3810</v>
      </c>
      <c r="B161" t="s">
        <v>1039</v>
      </c>
      <c r="C161" s="4">
        <v>45862</v>
      </c>
      <c r="D161" t="s">
        <v>3643</v>
      </c>
      <c r="E161" t="s">
        <v>212</v>
      </c>
      <c r="F161" t="e">
        <f ca="1">_xludf.XLOOKUP(B161,Base_Clientes!$A:$A,Base_Clientes!$G:$G,"Não encontrado")</f>
        <v>#NAME?</v>
      </c>
      <c r="G161" t="e">
        <f ca="1">_xludf.XLOOKUP(B161,Base_Clientes!$A:$A,Base_Clientes!$I:$I,"Não encontrado")</f>
        <v>#NAME?</v>
      </c>
      <c r="H161" t="str">
        <f>VLOOKUP(B161,Base_Clientes!$A:$Z,21,FALSE)</f>
        <v>Alto risco</v>
      </c>
    </row>
    <row r="162" spans="1:8">
      <c r="A162" t="s">
        <v>3811</v>
      </c>
      <c r="B162" t="s">
        <v>1049</v>
      </c>
      <c r="C162" s="4">
        <v>46165</v>
      </c>
      <c r="D162" t="s">
        <v>3649</v>
      </c>
      <c r="E162" t="s">
        <v>3676</v>
      </c>
      <c r="F162" t="e">
        <f ca="1">_xludf.XLOOKUP(B162,Base_Clientes!$A:$A,Base_Clientes!$G:$G,"Não encontrado")</f>
        <v>#NAME?</v>
      </c>
      <c r="G162" t="e">
        <f ca="1">_xludf.XLOOKUP(B162,Base_Clientes!$A:$A,Base_Clientes!$I:$I,"Não encontrado")</f>
        <v>#NAME?</v>
      </c>
      <c r="H162" t="str">
        <f>VLOOKUP(B162,Base_Clientes!$A:$Z,21,FALSE)</f>
        <v>Alto risco</v>
      </c>
    </row>
    <row r="163" spans="1:8">
      <c r="A163" t="s">
        <v>3812</v>
      </c>
      <c r="B163" t="s">
        <v>1051</v>
      </c>
      <c r="C163" s="4">
        <v>45014</v>
      </c>
      <c r="D163" t="s">
        <v>3647</v>
      </c>
      <c r="E163" t="s">
        <v>68</v>
      </c>
      <c r="F163" t="e">
        <f ca="1">_xludf.XLOOKUP(B163,Base_Clientes!$A:$A,Base_Clientes!$G:$G,"Não encontrado")</f>
        <v>#NAME?</v>
      </c>
      <c r="G163" t="e">
        <f ca="1">_xludf.XLOOKUP(B163,Base_Clientes!$A:$A,Base_Clientes!$I:$I,"Não encontrado")</f>
        <v>#NAME?</v>
      </c>
      <c r="H163" t="str">
        <f>VLOOKUP(B163,Base_Clientes!$A:$Z,21,FALSE)</f>
        <v>Alto risco</v>
      </c>
    </row>
    <row r="164" spans="1:8">
      <c r="A164" t="s">
        <v>3813</v>
      </c>
      <c r="B164" t="s">
        <v>1058</v>
      </c>
      <c r="C164" s="4">
        <v>45848</v>
      </c>
      <c r="D164" t="s">
        <v>3666</v>
      </c>
      <c r="E164" t="s">
        <v>212</v>
      </c>
      <c r="F164" t="e">
        <f ca="1">_xludf.XLOOKUP(B164,Base_Clientes!$A:$A,Base_Clientes!$G:$G,"Não encontrado")</f>
        <v>#NAME?</v>
      </c>
      <c r="G164" t="e">
        <f ca="1">_xludf.XLOOKUP(B164,Base_Clientes!$A:$A,Base_Clientes!$I:$I,"Não encontrado")</f>
        <v>#NAME?</v>
      </c>
      <c r="H164" t="str">
        <f>VLOOKUP(B164,Base_Clientes!$A:$Z,21,FALSE)</f>
        <v>Alto risco</v>
      </c>
    </row>
    <row r="165" spans="1:8">
      <c r="A165" t="s">
        <v>3814</v>
      </c>
      <c r="B165" t="s">
        <v>1059</v>
      </c>
      <c r="C165" s="4">
        <v>45959</v>
      </c>
      <c r="D165" t="s">
        <v>3651</v>
      </c>
      <c r="E165" t="s">
        <v>196</v>
      </c>
      <c r="F165" t="e">
        <f ca="1">_xludf.XLOOKUP(B165,Base_Clientes!$A:$A,Base_Clientes!$G:$G,"Não encontrado")</f>
        <v>#NAME?</v>
      </c>
      <c r="G165" t="e">
        <f ca="1">_xludf.XLOOKUP(B165,Base_Clientes!$A:$A,Base_Clientes!$I:$I,"Não encontrado")</f>
        <v>#NAME?</v>
      </c>
      <c r="H165" t="str">
        <f>VLOOKUP(B165,Base_Clientes!$A:$Z,21,FALSE)</f>
        <v>Alto risco</v>
      </c>
    </row>
    <row r="166" spans="1:8">
      <c r="A166" t="s">
        <v>3815</v>
      </c>
      <c r="B166" t="s">
        <v>1060</v>
      </c>
      <c r="C166" s="4">
        <v>46103</v>
      </c>
      <c r="D166" t="s">
        <v>3649</v>
      </c>
      <c r="E166" t="s">
        <v>292</v>
      </c>
      <c r="F166" t="e">
        <f ca="1">_xludf.XLOOKUP(B166,Base_Clientes!$A:$A,Base_Clientes!$G:$G,"Não encontrado")</f>
        <v>#NAME?</v>
      </c>
      <c r="G166" t="e">
        <f ca="1">_xludf.XLOOKUP(B166,Base_Clientes!$A:$A,Base_Clientes!$I:$I,"Não encontrado")</f>
        <v>#NAME?</v>
      </c>
      <c r="H166" t="str">
        <f>VLOOKUP(B166,Base_Clientes!$A:$Z,21,FALSE)</f>
        <v>Alto risco</v>
      </c>
    </row>
    <row r="167" spans="1:8">
      <c r="A167" t="s">
        <v>3816</v>
      </c>
      <c r="B167" t="s">
        <v>1063</v>
      </c>
      <c r="C167" s="4">
        <v>46035</v>
      </c>
      <c r="D167" t="s">
        <v>3649</v>
      </c>
      <c r="E167" t="s">
        <v>148</v>
      </c>
      <c r="F167" t="e">
        <f ca="1">_xludf.XLOOKUP(B167,Base_Clientes!$A:$A,Base_Clientes!$G:$G,"Não encontrado")</f>
        <v>#NAME?</v>
      </c>
      <c r="G167" t="e">
        <f ca="1">_xludf.XLOOKUP(B167,Base_Clientes!$A:$A,Base_Clientes!$I:$I,"Não encontrado")</f>
        <v>#NAME?</v>
      </c>
      <c r="H167" t="str">
        <f>VLOOKUP(B167,Base_Clientes!$A:$Z,21,FALSE)</f>
        <v>Alto risco</v>
      </c>
    </row>
    <row r="168" spans="1:8">
      <c r="A168" t="s">
        <v>3817</v>
      </c>
      <c r="B168" t="s">
        <v>1065</v>
      </c>
      <c r="C168" s="4">
        <v>45827</v>
      </c>
      <c r="D168" t="s">
        <v>3651</v>
      </c>
      <c r="E168" t="s">
        <v>167</v>
      </c>
      <c r="F168" t="e">
        <f ca="1">_xludf.XLOOKUP(B168,Base_Clientes!$A:$A,Base_Clientes!$G:$G,"Não encontrado")</f>
        <v>#NAME?</v>
      </c>
      <c r="G168" t="e">
        <f ca="1">_xludf.XLOOKUP(B168,Base_Clientes!$A:$A,Base_Clientes!$I:$I,"Não encontrado")</f>
        <v>#NAME?</v>
      </c>
      <c r="H168" t="str">
        <f>VLOOKUP(B168,Base_Clientes!$A:$Z,21,FALSE)</f>
        <v>Alto risco</v>
      </c>
    </row>
    <row r="169" spans="1:8">
      <c r="A169" t="s">
        <v>3818</v>
      </c>
      <c r="B169" t="s">
        <v>1069</v>
      </c>
      <c r="C169" s="4">
        <v>45796</v>
      </c>
      <c r="D169" t="s">
        <v>3668</v>
      </c>
      <c r="E169" t="s">
        <v>97</v>
      </c>
      <c r="F169" t="e">
        <f ca="1">_xludf.XLOOKUP(B169,Base_Clientes!$A:$A,Base_Clientes!$G:$G,"Não encontrado")</f>
        <v>#NAME?</v>
      </c>
      <c r="G169" t="e">
        <f ca="1">_xludf.XLOOKUP(B169,Base_Clientes!$A:$A,Base_Clientes!$I:$I,"Não encontrado")</f>
        <v>#NAME?</v>
      </c>
      <c r="H169" t="str">
        <f>VLOOKUP(B169,Base_Clientes!$A:$Z,21,FALSE)</f>
        <v>Alto risco</v>
      </c>
    </row>
    <row r="170" spans="1:8">
      <c r="A170" t="s">
        <v>3819</v>
      </c>
      <c r="B170" t="s">
        <v>1076</v>
      </c>
      <c r="C170" s="4">
        <v>45705</v>
      </c>
      <c r="D170" t="s">
        <v>3666</v>
      </c>
      <c r="E170" t="s">
        <v>289</v>
      </c>
      <c r="F170" t="e">
        <f ca="1">_xludf.XLOOKUP(B170,Base_Clientes!$A:$A,Base_Clientes!$G:$G,"Não encontrado")</f>
        <v>#NAME?</v>
      </c>
      <c r="G170" t="e">
        <f ca="1">_xludf.XLOOKUP(B170,Base_Clientes!$A:$A,Base_Clientes!$I:$I,"Não encontrado")</f>
        <v>#NAME?</v>
      </c>
      <c r="H170" t="str">
        <f>VLOOKUP(B170,Base_Clientes!$A:$Z,21,FALSE)</f>
        <v>Alto risco</v>
      </c>
    </row>
    <row r="171" spans="1:8">
      <c r="A171" t="s">
        <v>3820</v>
      </c>
      <c r="B171" t="s">
        <v>1083</v>
      </c>
      <c r="C171" s="4">
        <v>46113</v>
      </c>
      <c r="D171" t="s">
        <v>3666</v>
      </c>
      <c r="E171" t="s">
        <v>43</v>
      </c>
      <c r="F171" t="e">
        <f ca="1">_xludf.XLOOKUP(B171,Base_Clientes!$A:$A,Base_Clientes!$G:$G,"Não encontrado")</f>
        <v>#NAME?</v>
      </c>
      <c r="G171" t="e">
        <f ca="1">_xludf.XLOOKUP(B171,Base_Clientes!$A:$A,Base_Clientes!$I:$I,"Não encontrado")</f>
        <v>#NAME?</v>
      </c>
      <c r="H171" t="str">
        <f>VLOOKUP(B171,Base_Clientes!$A:$Z,21,FALSE)</f>
        <v>Baixo risco</v>
      </c>
    </row>
    <row r="172" spans="1:8">
      <c r="A172" t="s">
        <v>3821</v>
      </c>
      <c r="B172" t="s">
        <v>1096</v>
      </c>
      <c r="C172" s="4">
        <v>46016</v>
      </c>
      <c r="D172" t="s">
        <v>3651</v>
      </c>
      <c r="E172" t="s">
        <v>170</v>
      </c>
      <c r="F172" t="e">
        <f ca="1">_xludf.XLOOKUP(B172,Base_Clientes!$A:$A,Base_Clientes!$G:$G,"Não encontrado")</f>
        <v>#NAME?</v>
      </c>
      <c r="G172" t="e">
        <f ca="1">_xludf.XLOOKUP(B172,Base_Clientes!$A:$A,Base_Clientes!$I:$I,"Não encontrado")</f>
        <v>#NAME?</v>
      </c>
      <c r="H172" t="str">
        <f>VLOOKUP(B172,Base_Clientes!$A:$Z,21,FALSE)</f>
        <v>Alto risco</v>
      </c>
    </row>
    <row r="173" spans="1:8">
      <c r="A173" t="s">
        <v>3822</v>
      </c>
      <c r="B173" t="s">
        <v>1099</v>
      </c>
      <c r="C173" s="4">
        <v>46134</v>
      </c>
      <c r="D173" t="s">
        <v>3659</v>
      </c>
      <c r="E173" t="s">
        <v>43</v>
      </c>
      <c r="F173" t="e">
        <f ca="1">_xludf.XLOOKUP(B173,Base_Clientes!$A:$A,Base_Clientes!$G:$G,"Não encontrado")</f>
        <v>#NAME?</v>
      </c>
      <c r="G173" t="e">
        <f ca="1">_xludf.XLOOKUP(B173,Base_Clientes!$A:$A,Base_Clientes!$I:$I,"Não encontrado")</f>
        <v>#NAME?</v>
      </c>
      <c r="H173" t="str">
        <f>VLOOKUP(B173,Base_Clientes!$A:$Z,21,FALSE)</f>
        <v>Alto risco</v>
      </c>
    </row>
    <row r="174" spans="1:8">
      <c r="A174" t="s">
        <v>3823</v>
      </c>
      <c r="B174" t="s">
        <v>1101</v>
      </c>
      <c r="C174" s="4">
        <v>46155</v>
      </c>
      <c r="D174" t="s">
        <v>3651</v>
      </c>
      <c r="E174" t="s">
        <v>3676</v>
      </c>
      <c r="F174" t="e">
        <f ca="1">_xludf.XLOOKUP(B174,Base_Clientes!$A:$A,Base_Clientes!$G:$G,"Não encontrado")</f>
        <v>#NAME?</v>
      </c>
      <c r="G174" t="e">
        <f ca="1">_xludf.XLOOKUP(B174,Base_Clientes!$A:$A,Base_Clientes!$I:$I,"Não encontrado")</f>
        <v>#NAME?</v>
      </c>
      <c r="H174" t="str">
        <f>VLOOKUP(B174,Base_Clientes!$A:$Z,21,FALSE)</f>
        <v>Alto risco</v>
      </c>
    </row>
    <row r="175" spans="1:8">
      <c r="A175" t="s">
        <v>3824</v>
      </c>
      <c r="B175" t="s">
        <v>1111</v>
      </c>
      <c r="C175" s="4">
        <v>45243</v>
      </c>
      <c r="D175" t="s">
        <v>3668</v>
      </c>
      <c r="E175" t="s">
        <v>79</v>
      </c>
      <c r="F175" t="e">
        <f ca="1">_xludf.XLOOKUP(B175,Base_Clientes!$A:$A,Base_Clientes!$G:$G,"Não encontrado")</f>
        <v>#NAME?</v>
      </c>
      <c r="G175" t="e">
        <f ca="1">_xludf.XLOOKUP(B175,Base_Clientes!$A:$A,Base_Clientes!$I:$I,"Não encontrado")</f>
        <v>#NAME?</v>
      </c>
      <c r="H175" t="str">
        <f>VLOOKUP(B175,Base_Clientes!$A:$Z,21,FALSE)</f>
        <v>Alto risco</v>
      </c>
    </row>
    <row r="176" spans="1:8">
      <c r="A176" t="s">
        <v>3825</v>
      </c>
      <c r="B176" t="s">
        <v>1113</v>
      </c>
      <c r="C176" s="4">
        <v>45488</v>
      </c>
      <c r="D176" t="s">
        <v>3649</v>
      </c>
      <c r="E176" t="s">
        <v>142</v>
      </c>
      <c r="F176" t="e">
        <f ca="1">_xludf.XLOOKUP(B176,Base_Clientes!$A:$A,Base_Clientes!$G:$G,"Não encontrado")</f>
        <v>#NAME?</v>
      </c>
      <c r="G176" t="e">
        <f ca="1">_xludf.XLOOKUP(B176,Base_Clientes!$A:$A,Base_Clientes!$I:$I,"Não encontrado")</f>
        <v>#NAME?</v>
      </c>
      <c r="H176" t="str">
        <f>VLOOKUP(B176,Base_Clientes!$A:$Z,21,FALSE)</f>
        <v>Alto risco</v>
      </c>
    </row>
    <row r="177" spans="1:8">
      <c r="A177" t="s">
        <v>3826</v>
      </c>
      <c r="B177" t="s">
        <v>1115</v>
      </c>
      <c r="C177" s="4">
        <v>45792</v>
      </c>
      <c r="D177" t="s">
        <v>3651</v>
      </c>
      <c r="E177" t="s">
        <v>97</v>
      </c>
      <c r="F177" t="e">
        <f ca="1">_xludf.XLOOKUP(B177,Base_Clientes!$A:$A,Base_Clientes!$G:$G,"Não encontrado")</f>
        <v>#NAME?</v>
      </c>
      <c r="G177" t="e">
        <f ca="1">_xludf.XLOOKUP(B177,Base_Clientes!$A:$A,Base_Clientes!$I:$I,"Não encontrado")</f>
        <v>#NAME?</v>
      </c>
      <c r="H177" t="str">
        <f>VLOOKUP(B177,Base_Clientes!$A:$Z,21,FALSE)</f>
        <v>Alto risco</v>
      </c>
    </row>
    <row r="178" spans="1:8">
      <c r="A178" t="s">
        <v>3827</v>
      </c>
      <c r="B178" t="s">
        <v>1118</v>
      </c>
      <c r="C178" s="4">
        <v>46141</v>
      </c>
      <c r="D178" t="s">
        <v>3649</v>
      </c>
      <c r="E178" t="s">
        <v>43</v>
      </c>
      <c r="F178" t="e">
        <f ca="1">_xludf.XLOOKUP(B178,Base_Clientes!$A:$A,Base_Clientes!$G:$G,"Não encontrado")</f>
        <v>#NAME?</v>
      </c>
      <c r="G178" t="e">
        <f ca="1">_xludf.XLOOKUP(B178,Base_Clientes!$A:$A,Base_Clientes!$I:$I,"Não encontrado")</f>
        <v>#NAME?</v>
      </c>
      <c r="H178" t="str">
        <f>VLOOKUP(B178,Base_Clientes!$A:$Z,21,FALSE)</f>
        <v>Alto risco</v>
      </c>
    </row>
    <row r="179" spans="1:8">
      <c r="A179" t="s">
        <v>3828</v>
      </c>
      <c r="B179" t="s">
        <v>1122</v>
      </c>
      <c r="C179" s="4">
        <v>46095</v>
      </c>
      <c r="D179" t="s">
        <v>3659</v>
      </c>
      <c r="E179" t="s">
        <v>292</v>
      </c>
      <c r="F179" t="e">
        <f ca="1">_xludf.XLOOKUP(B179,Base_Clientes!$A:$A,Base_Clientes!$G:$G,"Não encontrado")</f>
        <v>#NAME?</v>
      </c>
      <c r="G179" t="e">
        <f ca="1">_xludf.XLOOKUP(B179,Base_Clientes!$A:$A,Base_Clientes!$I:$I,"Não encontrado")</f>
        <v>#NAME?</v>
      </c>
      <c r="H179" t="str">
        <f>VLOOKUP(B179,Base_Clientes!$A:$Z,21,FALSE)</f>
        <v>Médio risco</v>
      </c>
    </row>
    <row r="180" spans="1:8">
      <c r="A180" t="s">
        <v>3829</v>
      </c>
      <c r="B180" t="s">
        <v>1126</v>
      </c>
      <c r="C180" s="4">
        <v>46106</v>
      </c>
      <c r="D180" t="s">
        <v>3651</v>
      </c>
      <c r="E180" t="s">
        <v>292</v>
      </c>
      <c r="F180" t="e">
        <f ca="1">_xludf.XLOOKUP(B180,Base_Clientes!$A:$A,Base_Clientes!$G:$G,"Não encontrado")</f>
        <v>#NAME?</v>
      </c>
      <c r="G180" t="e">
        <f ca="1">_xludf.XLOOKUP(B180,Base_Clientes!$A:$A,Base_Clientes!$I:$I,"Não encontrado")</f>
        <v>#NAME?</v>
      </c>
      <c r="H180" t="str">
        <f>VLOOKUP(B180,Base_Clientes!$A:$Z,21,FALSE)</f>
        <v>Alto risco</v>
      </c>
    </row>
    <row r="181" spans="1:8">
      <c r="A181" t="s">
        <v>3830</v>
      </c>
      <c r="B181" t="s">
        <v>1143</v>
      </c>
      <c r="C181" s="4">
        <v>45719</v>
      </c>
      <c r="D181" t="s">
        <v>3651</v>
      </c>
      <c r="E181" t="s">
        <v>454</v>
      </c>
      <c r="F181" t="e">
        <f ca="1">_xludf.XLOOKUP(B181,Base_Clientes!$A:$A,Base_Clientes!$G:$G,"Não encontrado")</f>
        <v>#NAME?</v>
      </c>
      <c r="G181" t="e">
        <f ca="1">_xludf.XLOOKUP(B181,Base_Clientes!$A:$A,Base_Clientes!$I:$I,"Não encontrado")</f>
        <v>#NAME?</v>
      </c>
      <c r="H181" t="str">
        <f>VLOOKUP(B181,Base_Clientes!$A:$Z,21,FALSE)</f>
        <v>Alto risco</v>
      </c>
    </row>
    <row r="182" spans="1:8">
      <c r="A182" t="s">
        <v>3831</v>
      </c>
      <c r="B182" t="s">
        <v>1145</v>
      </c>
      <c r="C182" s="4">
        <v>46116</v>
      </c>
      <c r="D182" t="s">
        <v>3647</v>
      </c>
      <c r="E182" t="s">
        <v>43</v>
      </c>
      <c r="F182" t="e">
        <f ca="1">_xludf.XLOOKUP(B182,Base_Clientes!$A:$A,Base_Clientes!$G:$G,"Não encontrado")</f>
        <v>#NAME?</v>
      </c>
      <c r="G182" t="e">
        <f ca="1">_xludf.XLOOKUP(B182,Base_Clientes!$A:$A,Base_Clientes!$I:$I,"Não encontrado")</f>
        <v>#NAME?</v>
      </c>
      <c r="H182" t="str">
        <f>VLOOKUP(B182,Base_Clientes!$A:$Z,21,FALSE)</f>
        <v>Alto risco</v>
      </c>
    </row>
    <row r="183" spans="1:8">
      <c r="A183" t="s">
        <v>3832</v>
      </c>
      <c r="B183" t="s">
        <v>1153</v>
      </c>
      <c r="C183" s="4">
        <v>45915</v>
      </c>
      <c r="D183" t="s">
        <v>3668</v>
      </c>
      <c r="E183" t="s">
        <v>189</v>
      </c>
      <c r="F183" t="e">
        <f ca="1">_xludf.XLOOKUP(B183,Base_Clientes!$A:$A,Base_Clientes!$G:$G,"Não encontrado")</f>
        <v>#NAME?</v>
      </c>
      <c r="G183" t="e">
        <f ca="1">_xludf.XLOOKUP(B183,Base_Clientes!$A:$A,Base_Clientes!$I:$I,"Não encontrado")</f>
        <v>#NAME?</v>
      </c>
      <c r="H183" t="str">
        <f>VLOOKUP(B183,Base_Clientes!$A:$Z,21,FALSE)</f>
        <v>Alto risco</v>
      </c>
    </row>
    <row r="184" spans="1:8">
      <c r="A184" t="s">
        <v>3833</v>
      </c>
      <c r="B184" t="s">
        <v>1158</v>
      </c>
      <c r="C184" s="4">
        <v>45599</v>
      </c>
      <c r="D184" t="s">
        <v>3643</v>
      </c>
      <c r="E184" t="s">
        <v>83</v>
      </c>
      <c r="F184" t="e">
        <f ca="1">_xludf.XLOOKUP(B184,Base_Clientes!$A:$A,Base_Clientes!$G:$G,"Não encontrado")</f>
        <v>#NAME?</v>
      </c>
      <c r="G184" t="e">
        <f ca="1">_xludf.XLOOKUP(B184,Base_Clientes!$A:$A,Base_Clientes!$I:$I,"Não encontrado")</f>
        <v>#NAME?</v>
      </c>
      <c r="H184" t="str">
        <f>VLOOKUP(B184,Base_Clientes!$A:$Z,21,FALSE)</f>
        <v>Alto risco</v>
      </c>
    </row>
    <row r="185" spans="1:8">
      <c r="A185" t="s">
        <v>3834</v>
      </c>
      <c r="B185" t="s">
        <v>1159</v>
      </c>
      <c r="C185" s="4">
        <v>46103</v>
      </c>
      <c r="D185" t="s">
        <v>3649</v>
      </c>
      <c r="E185" t="s">
        <v>292</v>
      </c>
      <c r="F185" t="e">
        <f ca="1">_xludf.XLOOKUP(B185,Base_Clientes!$A:$A,Base_Clientes!$G:$G,"Não encontrado")</f>
        <v>#NAME?</v>
      </c>
      <c r="G185" t="e">
        <f ca="1">_xludf.XLOOKUP(B185,Base_Clientes!$A:$A,Base_Clientes!$I:$I,"Não encontrado")</f>
        <v>#NAME?</v>
      </c>
      <c r="H185" t="str">
        <f>VLOOKUP(B185,Base_Clientes!$A:$Z,21,FALSE)</f>
        <v>Alto risco</v>
      </c>
    </row>
    <row r="186" spans="1:8">
      <c r="A186" t="s">
        <v>3835</v>
      </c>
      <c r="B186" t="s">
        <v>1162</v>
      </c>
      <c r="C186" s="4">
        <v>46111</v>
      </c>
      <c r="D186" t="s">
        <v>3668</v>
      </c>
      <c r="E186" t="s">
        <v>292</v>
      </c>
      <c r="F186" t="e">
        <f ca="1">_xludf.XLOOKUP(B186,Base_Clientes!$A:$A,Base_Clientes!$G:$G,"Não encontrado")</f>
        <v>#NAME?</v>
      </c>
      <c r="G186" t="e">
        <f ca="1">_xludf.XLOOKUP(B186,Base_Clientes!$A:$A,Base_Clientes!$I:$I,"Não encontrado")</f>
        <v>#NAME?</v>
      </c>
      <c r="H186" t="str">
        <f>VLOOKUP(B186,Base_Clientes!$A:$Z,21,FALSE)</f>
        <v>Alto risco</v>
      </c>
    </row>
    <row r="187" spans="1:8">
      <c r="A187" t="s">
        <v>3836</v>
      </c>
      <c r="B187" t="s">
        <v>1164</v>
      </c>
      <c r="C187" s="4">
        <v>45828</v>
      </c>
      <c r="D187" t="s">
        <v>3647</v>
      </c>
      <c r="E187" t="s">
        <v>167</v>
      </c>
      <c r="F187" t="e">
        <f ca="1">_xludf.XLOOKUP(B187,Base_Clientes!$A:$A,Base_Clientes!$G:$G,"Não encontrado")</f>
        <v>#NAME?</v>
      </c>
      <c r="G187" t="e">
        <f ca="1">_xludf.XLOOKUP(B187,Base_Clientes!$A:$A,Base_Clientes!$I:$I,"Não encontrado")</f>
        <v>#NAME?</v>
      </c>
      <c r="H187" t="str">
        <f>VLOOKUP(B187,Base_Clientes!$A:$Z,21,FALSE)</f>
        <v>Alto risco</v>
      </c>
    </row>
    <row r="188" spans="1:8">
      <c r="A188" t="s">
        <v>3837</v>
      </c>
      <c r="B188" t="s">
        <v>1166</v>
      </c>
      <c r="C188" s="4">
        <v>45795</v>
      </c>
      <c r="D188" t="s">
        <v>3643</v>
      </c>
      <c r="E188" t="s">
        <v>97</v>
      </c>
      <c r="F188" t="e">
        <f ca="1">_xludf.XLOOKUP(B188,Base_Clientes!$A:$A,Base_Clientes!$G:$G,"Não encontrado")</f>
        <v>#NAME?</v>
      </c>
      <c r="G188" t="e">
        <f ca="1">_xludf.XLOOKUP(B188,Base_Clientes!$A:$A,Base_Clientes!$I:$I,"Não encontrado")</f>
        <v>#NAME?</v>
      </c>
      <c r="H188" t="str">
        <f>VLOOKUP(B188,Base_Clientes!$A:$Z,21,FALSE)</f>
        <v>Alto risco</v>
      </c>
    </row>
    <row r="189" spans="1:8">
      <c r="A189" t="s">
        <v>3838</v>
      </c>
      <c r="B189" t="s">
        <v>1170</v>
      </c>
      <c r="C189" s="4">
        <v>45862</v>
      </c>
      <c r="D189" t="s">
        <v>3649</v>
      </c>
      <c r="E189" t="s">
        <v>212</v>
      </c>
      <c r="F189" t="e">
        <f ca="1">_xludf.XLOOKUP(B189,Base_Clientes!$A:$A,Base_Clientes!$G:$G,"Não encontrado")</f>
        <v>#NAME?</v>
      </c>
      <c r="G189" t="e">
        <f ca="1">_xludf.XLOOKUP(B189,Base_Clientes!$A:$A,Base_Clientes!$I:$I,"Não encontrado")</f>
        <v>#NAME?</v>
      </c>
      <c r="H189" t="str">
        <f>VLOOKUP(B189,Base_Clientes!$A:$Z,21,FALSE)</f>
        <v>Alto risco</v>
      </c>
    </row>
    <row r="190" spans="1:8">
      <c r="A190" t="s">
        <v>3839</v>
      </c>
      <c r="B190" t="s">
        <v>1172</v>
      </c>
      <c r="C190" s="4">
        <v>46038</v>
      </c>
      <c r="D190" t="s">
        <v>3651</v>
      </c>
      <c r="E190" t="s">
        <v>148</v>
      </c>
      <c r="F190" t="e">
        <f ca="1">_xludf.XLOOKUP(B190,Base_Clientes!$A:$A,Base_Clientes!$G:$G,"Não encontrado")</f>
        <v>#NAME?</v>
      </c>
      <c r="G190" t="e">
        <f ca="1">_xludf.XLOOKUP(B190,Base_Clientes!$A:$A,Base_Clientes!$I:$I,"Não encontrado")</f>
        <v>#NAME?</v>
      </c>
      <c r="H190" t="str">
        <f>VLOOKUP(B190,Base_Clientes!$A:$Z,21,FALSE)</f>
        <v>Alto risco</v>
      </c>
    </row>
    <row r="191" spans="1:8">
      <c r="A191" t="s">
        <v>3840</v>
      </c>
      <c r="B191" t="s">
        <v>1173</v>
      </c>
      <c r="C191" s="4">
        <v>46054</v>
      </c>
      <c r="D191" t="s">
        <v>3668</v>
      </c>
      <c r="E191" t="s">
        <v>74</v>
      </c>
      <c r="F191" t="e">
        <f ca="1">_xludf.XLOOKUP(B191,Base_Clientes!$A:$A,Base_Clientes!$G:$G,"Não encontrado")</f>
        <v>#NAME?</v>
      </c>
      <c r="G191" t="e">
        <f ca="1">_xludf.XLOOKUP(B191,Base_Clientes!$A:$A,Base_Clientes!$I:$I,"Não encontrado")</f>
        <v>#NAME?</v>
      </c>
      <c r="H191" t="str">
        <f>VLOOKUP(B191,Base_Clientes!$A:$Z,21,FALSE)</f>
        <v>Alto risco</v>
      </c>
    </row>
    <row r="192" spans="1:8">
      <c r="A192" t="s">
        <v>3841</v>
      </c>
      <c r="B192" t="s">
        <v>1178</v>
      </c>
      <c r="C192" s="4">
        <v>45918</v>
      </c>
      <c r="D192" t="s">
        <v>3647</v>
      </c>
      <c r="E192" t="s">
        <v>189</v>
      </c>
      <c r="F192" t="e">
        <f ca="1">_xludf.XLOOKUP(B192,Base_Clientes!$A:$A,Base_Clientes!$G:$G,"Não encontrado")</f>
        <v>#NAME?</v>
      </c>
      <c r="G192" t="e">
        <f ca="1">_xludf.XLOOKUP(B192,Base_Clientes!$A:$A,Base_Clientes!$I:$I,"Não encontrado")</f>
        <v>#NAME?</v>
      </c>
      <c r="H192" t="str">
        <f>VLOOKUP(B192,Base_Clientes!$A:$Z,21,FALSE)</f>
        <v>Alto risco</v>
      </c>
    </row>
    <row r="193" spans="1:8">
      <c r="A193" t="s">
        <v>3842</v>
      </c>
      <c r="B193" t="s">
        <v>1179</v>
      </c>
      <c r="C193" s="4">
        <v>46102</v>
      </c>
      <c r="D193" t="s">
        <v>3647</v>
      </c>
      <c r="E193" t="s">
        <v>292</v>
      </c>
      <c r="F193" t="e">
        <f ca="1">_xludf.XLOOKUP(B193,Base_Clientes!$A:$A,Base_Clientes!$G:$G,"Não encontrado")</f>
        <v>#NAME?</v>
      </c>
      <c r="G193" t="e">
        <f ca="1">_xludf.XLOOKUP(B193,Base_Clientes!$A:$A,Base_Clientes!$I:$I,"Não encontrado")</f>
        <v>#NAME?</v>
      </c>
      <c r="H193" t="str">
        <f>VLOOKUP(B193,Base_Clientes!$A:$Z,21,FALSE)</f>
        <v>Alto risco</v>
      </c>
    </row>
    <row r="194" spans="1:8">
      <c r="A194" t="s">
        <v>3843</v>
      </c>
      <c r="B194" t="s">
        <v>1187</v>
      </c>
      <c r="C194" s="4">
        <v>46051</v>
      </c>
      <c r="D194" t="s">
        <v>3643</v>
      </c>
      <c r="E194" t="s">
        <v>148</v>
      </c>
      <c r="F194" t="e">
        <f ca="1">_xludf.XLOOKUP(B194,Base_Clientes!$A:$A,Base_Clientes!$G:$G,"Não encontrado")</f>
        <v>#NAME?</v>
      </c>
      <c r="G194" t="e">
        <f ca="1">_xludf.XLOOKUP(B194,Base_Clientes!$A:$A,Base_Clientes!$I:$I,"Não encontrado")</f>
        <v>#NAME?</v>
      </c>
      <c r="H194" t="str">
        <f>VLOOKUP(B194,Base_Clientes!$A:$Z,21,FALSE)</f>
        <v>Alto risco</v>
      </c>
    </row>
    <row r="195" spans="1:8">
      <c r="A195" t="s">
        <v>3844</v>
      </c>
      <c r="B195" t="s">
        <v>1189</v>
      </c>
      <c r="C195" s="4">
        <v>45992</v>
      </c>
      <c r="D195" t="s">
        <v>3668</v>
      </c>
      <c r="E195" t="s">
        <v>170</v>
      </c>
      <c r="F195" t="e">
        <f ca="1">_xludf.XLOOKUP(B195,Base_Clientes!$A:$A,Base_Clientes!$G:$G,"Não encontrado")</f>
        <v>#NAME?</v>
      </c>
      <c r="G195" t="e">
        <f ca="1">_xludf.XLOOKUP(B195,Base_Clientes!$A:$A,Base_Clientes!$I:$I,"Não encontrado")</f>
        <v>#NAME?</v>
      </c>
      <c r="H195" t="str">
        <f>VLOOKUP(B195,Base_Clientes!$A:$Z,21,FALSE)</f>
        <v>Alto risco</v>
      </c>
    </row>
    <row r="196" spans="1:8">
      <c r="A196" t="s">
        <v>3845</v>
      </c>
      <c r="B196" t="s">
        <v>1195</v>
      </c>
      <c r="C196" s="4">
        <v>45830</v>
      </c>
      <c r="D196" t="s">
        <v>3647</v>
      </c>
      <c r="E196" t="s">
        <v>167</v>
      </c>
      <c r="F196" t="e">
        <f ca="1">_xludf.XLOOKUP(B196,Base_Clientes!$A:$A,Base_Clientes!$G:$G,"Não encontrado")</f>
        <v>#NAME?</v>
      </c>
      <c r="G196" t="e">
        <f ca="1">_xludf.XLOOKUP(B196,Base_Clientes!$A:$A,Base_Clientes!$I:$I,"Não encontrado")</f>
        <v>#NAME?</v>
      </c>
      <c r="H196" t="str">
        <f>VLOOKUP(B196,Base_Clientes!$A:$Z,21,FALSE)</f>
        <v>Médio risco</v>
      </c>
    </row>
    <row r="197" spans="1:8">
      <c r="A197" t="s">
        <v>3846</v>
      </c>
      <c r="B197" t="s">
        <v>1202</v>
      </c>
      <c r="C197" s="4">
        <v>46015</v>
      </c>
      <c r="D197" t="s">
        <v>3647</v>
      </c>
      <c r="E197" t="s">
        <v>170</v>
      </c>
      <c r="F197" t="e">
        <f ca="1">_xludf.XLOOKUP(B197,Base_Clientes!$A:$A,Base_Clientes!$G:$G,"Não encontrado")</f>
        <v>#NAME?</v>
      </c>
      <c r="G197" t="e">
        <f ca="1">_xludf.XLOOKUP(B197,Base_Clientes!$A:$A,Base_Clientes!$I:$I,"Não encontrado")</f>
        <v>#NAME?</v>
      </c>
      <c r="H197" t="str">
        <f>VLOOKUP(B197,Base_Clientes!$A:$Z,21,FALSE)</f>
        <v>Médio risco</v>
      </c>
    </row>
    <row r="198" spans="1:8">
      <c r="A198" t="s">
        <v>3847</v>
      </c>
      <c r="B198" t="s">
        <v>1206</v>
      </c>
      <c r="C198" s="4">
        <v>46043</v>
      </c>
      <c r="D198" t="s">
        <v>3645</v>
      </c>
      <c r="E198" t="s">
        <v>148</v>
      </c>
      <c r="F198" t="e">
        <f ca="1">_xludf.XLOOKUP(B198,Base_Clientes!$A:$A,Base_Clientes!$G:$G,"Não encontrado")</f>
        <v>#NAME?</v>
      </c>
      <c r="G198" t="e">
        <f ca="1">_xludf.XLOOKUP(B198,Base_Clientes!$A:$A,Base_Clientes!$I:$I,"Não encontrado")</f>
        <v>#NAME?</v>
      </c>
      <c r="H198" t="str">
        <f>VLOOKUP(B198,Base_Clientes!$A:$Z,21,FALSE)</f>
        <v>Alto risco</v>
      </c>
    </row>
    <row r="199" spans="1:8">
      <c r="A199" t="s">
        <v>3848</v>
      </c>
      <c r="B199" t="s">
        <v>1207</v>
      </c>
      <c r="C199" s="4">
        <v>46168</v>
      </c>
      <c r="D199" t="s">
        <v>3651</v>
      </c>
      <c r="E199" t="s">
        <v>3676</v>
      </c>
      <c r="F199" t="e">
        <f ca="1">_xludf.XLOOKUP(B199,Base_Clientes!$A:$A,Base_Clientes!$G:$G,"Não encontrado")</f>
        <v>#NAME?</v>
      </c>
      <c r="G199" t="e">
        <f ca="1">_xludf.XLOOKUP(B199,Base_Clientes!$A:$A,Base_Clientes!$I:$I,"Não encontrado")</f>
        <v>#NAME?</v>
      </c>
      <c r="H199" t="str">
        <f>VLOOKUP(B199,Base_Clientes!$A:$Z,21,FALSE)</f>
        <v>Baixo risco</v>
      </c>
    </row>
    <row r="200" spans="1:8">
      <c r="A200" t="s">
        <v>3849</v>
      </c>
      <c r="B200" t="s">
        <v>1210</v>
      </c>
      <c r="C200" s="4">
        <v>46159</v>
      </c>
      <c r="D200" t="s">
        <v>3643</v>
      </c>
      <c r="E200" t="s">
        <v>3676</v>
      </c>
      <c r="F200" t="e">
        <f ca="1">_xludf.XLOOKUP(B200,Base_Clientes!$A:$A,Base_Clientes!$G:$G,"Não encontrado")</f>
        <v>#NAME?</v>
      </c>
      <c r="G200" t="e">
        <f ca="1">_xludf.XLOOKUP(B200,Base_Clientes!$A:$A,Base_Clientes!$I:$I,"Não encontrado")</f>
        <v>#NAME?</v>
      </c>
      <c r="H200" t="str">
        <f>VLOOKUP(B200,Base_Clientes!$A:$Z,21,FALSE)</f>
        <v>Alto risco</v>
      </c>
    </row>
    <row r="201" spans="1:8">
      <c r="A201" t="s">
        <v>3850</v>
      </c>
      <c r="B201" t="s">
        <v>1214</v>
      </c>
      <c r="C201" s="4">
        <v>45651</v>
      </c>
      <c r="D201" t="s">
        <v>3651</v>
      </c>
      <c r="E201" t="s">
        <v>49</v>
      </c>
      <c r="F201" t="e">
        <f ca="1">_xludf.XLOOKUP(B201,Base_Clientes!$A:$A,Base_Clientes!$G:$G,"Não encontrado")</f>
        <v>#NAME?</v>
      </c>
      <c r="G201" t="e">
        <f ca="1">_xludf.XLOOKUP(B201,Base_Clientes!$A:$A,Base_Clientes!$I:$I,"Não encontrado")</f>
        <v>#NAME?</v>
      </c>
      <c r="H201" t="str">
        <f>VLOOKUP(B201,Base_Clientes!$A:$Z,21,FALSE)</f>
        <v>Alto risco</v>
      </c>
    </row>
    <row r="202" spans="1:8">
      <c r="A202" t="s">
        <v>3851</v>
      </c>
      <c r="B202" t="s">
        <v>1218</v>
      </c>
      <c r="C202" s="4">
        <v>45759</v>
      </c>
      <c r="D202" t="s">
        <v>3643</v>
      </c>
      <c r="E202" t="s">
        <v>222</v>
      </c>
      <c r="F202" t="e">
        <f ca="1">_xludf.XLOOKUP(B202,Base_Clientes!$A:$A,Base_Clientes!$G:$G,"Não encontrado")</f>
        <v>#NAME?</v>
      </c>
      <c r="G202" t="e">
        <f ca="1">_xludf.XLOOKUP(B202,Base_Clientes!$A:$A,Base_Clientes!$I:$I,"Não encontrado")</f>
        <v>#NAME?</v>
      </c>
      <c r="H202" t="str">
        <f>VLOOKUP(B202,Base_Clientes!$A:$Z,21,FALSE)</f>
        <v>Baixo risco</v>
      </c>
    </row>
    <row r="203" spans="1:8">
      <c r="A203" t="s">
        <v>3852</v>
      </c>
      <c r="B203" t="s">
        <v>1219</v>
      </c>
      <c r="C203" s="4">
        <v>46083</v>
      </c>
      <c r="D203" t="s">
        <v>3643</v>
      </c>
      <c r="E203" t="s">
        <v>292</v>
      </c>
      <c r="F203" t="e">
        <f ca="1">_xludf.XLOOKUP(B203,Base_Clientes!$A:$A,Base_Clientes!$G:$G,"Não encontrado")</f>
        <v>#NAME?</v>
      </c>
      <c r="G203" t="e">
        <f ca="1">_xludf.XLOOKUP(B203,Base_Clientes!$A:$A,Base_Clientes!$I:$I,"Não encontrado")</f>
        <v>#NAME?</v>
      </c>
      <c r="H203" t="str">
        <f>VLOOKUP(B203,Base_Clientes!$A:$Z,21,FALSE)</f>
        <v>Alto risco</v>
      </c>
    </row>
    <row r="204" spans="1:8">
      <c r="A204" t="s">
        <v>3853</v>
      </c>
      <c r="B204" t="s">
        <v>1222</v>
      </c>
      <c r="C204" s="4">
        <v>45261</v>
      </c>
      <c r="D204" t="s">
        <v>3643</v>
      </c>
      <c r="E204" t="s">
        <v>62</v>
      </c>
      <c r="F204" t="e">
        <f ca="1">_xludf.XLOOKUP(B204,Base_Clientes!$A:$A,Base_Clientes!$G:$G,"Não encontrado")</f>
        <v>#NAME?</v>
      </c>
      <c r="G204" t="e">
        <f ca="1">_xludf.XLOOKUP(B204,Base_Clientes!$A:$A,Base_Clientes!$I:$I,"Não encontrado")</f>
        <v>#NAME?</v>
      </c>
      <c r="H204" t="str">
        <f>VLOOKUP(B204,Base_Clientes!$A:$Z,21,FALSE)</f>
        <v>Alto risco</v>
      </c>
    </row>
    <row r="205" spans="1:8">
      <c r="A205" t="s">
        <v>3854</v>
      </c>
      <c r="B205" t="s">
        <v>1227</v>
      </c>
      <c r="C205" s="4">
        <v>45880</v>
      </c>
      <c r="D205" t="s">
        <v>3651</v>
      </c>
      <c r="E205" t="s">
        <v>159</v>
      </c>
      <c r="F205" t="e">
        <f ca="1">_xludf.XLOOKUP(B205,Base_Clientes!$A:$A,Base_Clientes!$G:$G,"Não encontrado")</f>
        <v>#NAME?</v>
      </c>
      <c r="G205" t="e">
        <f ca="1">_xludf.XLOOKUP(B205,Base_Clientes!$A:$A,Base_Clientes!$I:$I,"Não encontrado")</f>
        <v>#NAME?</v>
      </c>
      <c r="H205" t="str">
        <f>VLOOKUP(B205,Base_Clientes!$A:$Z,21,FALSE)</f>
        <v>Alto risco</v>
      </c>
    </row>
    <row r="206" spans="1:8">
      <c r="A206" t="s">
        <v>3855</v>
      </c>
      <c r="B206" t="s">
        <v>1241</v>
      </c>
      <c r="C206" s="4">
        <v>46153</v>
      </c>
      <c r="D206" t="s">
        <v>3647</v>
      </c>
      <c r="E206" t="s">
        <v>3676</v>
      </c>
      <c r="F206" t="e">
        <f ca="1">_xludf.XLOOKUP(B206,Base_Clientes!$A:$A,Base_Clientes!$G:$G,"Não encontrado")</f>
        <v>#NAME?</v>
      </c>
      <c r="G206" t="e">
        <f ca="1">_xludf.XLOOKUP(B206,Base_Clientes!$A:$A,Base_Clientes!$I:$I,"Não encontrado")</f>
        <v>#NAME?</v>
      </c>
      <c r="H206" t="str">
        <f>VLOOKUP(B206,Base_Clientes!$A:$Z,21,FALSE)</f>
        <v>Baixo risco</v>
      </c>
    </row>
    <row r="207" spans="1:8">
      <c r="A207" t="s">
        <v>3856</v>
      </c>
      <c r="B207" t="s">
        <v>1242</v>
      </c>
      <c r="C207" s="4">
        <v>45753</v>
      </c>
      <c r="D207" t="s">
        <v>3666</v>
      </c>
      <c r="E207" t="s">
        <v>222</v>
      </c>
      <c r="F207" t="e">
        <f ca="1">_xludf.XLOOKUP(B207,Base_Clientes!$A:$A,Base_Clientes!$G:$G,"Não encontrado")</f>
        <v>#NAME?</v>
      </c>
      <c r="G207" t="e">
        <f ca="1">_xludf.XLOOKUP(B207,Base_Clientes!$A:$A,Base_Clientes!$I:$I,"Não encontrado")</f>
        <v>#NAME?</v>
      </c>
      <c r="H207" t="str">
        <f>VLOOKUP(B207,Base_Clientes!$A:$Z,21,FALSE)</f>
        <v>Alto risco</v>
      </c>
    </row>
    <row r="208" spans="1:8">
      <c r="A208" t="s">
        <v>3857</v>
      </c>
      <c r="B208" t="s">
        <v>1243</v>
      </c>
      <c r="C208" s="4">
        <v>45775</v>
      </c>
      <c r="D208" t="s">
        <v>3666</v>
      </c>
      <c r="E208" t="s">
        <v>222</v>
      </c>
      <c r="F208" t="e">
        <f ca="1">_xludf.XLOOKUP(B208,Base_Clientes!$A:$A,Base_Clientes!$G:$G,"Não encontrado")</f>
        <v>#NAME?</v>
      </c>
      <c r="G208" t="e">
        <f ca="1">_xludf.XLOOKUP(B208,Base_Clientes!$A:$A,Base_Clientes!$I:$I,"Não encontrado")</f>
        <v>#NAME?</v>
      </c>
      <c r="H208" t="str">
        <f>VLOOKUP(B208,Base_Clientes!$A:$Z,21,FALSE)</f>
        <v>Baixo risco</v>
      </c>
    </row>
    <row r="209" spans="1:8">
      <c r="A209" t="s">
        <v>3858</v>
      </c>
      <c r="B209" t="s">
        <v>1247</v>
      </c>
      <c r="C209" s="4">
        <v>46071</v>
      </c>
      <c r="D209" t="s">
        <v>3659</v>
      </c>
      <c r="E209" t="s">
        <v>74</v>
      </c>
      <c r="F209" t="e">
        <f ca="1">_xludf.XLOOKUP(B209,Base_Clientes!$A:$A,Base_Clientes!$G:$G,"Não encontrado")</f>
        <v>#NAME?</v>
      </c>
      <c r="G209" t="e">
        <f ca="1">_xludf.XLOOKUP(B209,Base_Clientes!$A:$A,Base_Clientes!$I:$I,"Não encontrado")</f>
        <v>#NAME?</v>
      </c>
      <c r="H209" t="str">
        <f>VLOOKUP(B209,Base_Clientes!$A:$Z,21,FALSE)</f>
        <v>Alto risco</v>
      </c>
    </row>
    <row r="210" spans="1:8">
      <c r="A210" t="s">
        <v>3859</v>
      </c>
      <c r="B210" t="s">
        <v>1255</v>
      </c>
      <c r="C210" s="4">
        <v>45991</v>
      </c>
      <c r="D210" t="s">
        <v>3645</v>
      </c>
      <c r="E210" t="s">
        <v>87</v>
      </c>
      <c r="F210" t="e">
        <f ca="1">_xludf.XLOOKUP(B210,Base_Clientes!$A:$A,Base_Clientes!$G:$G,"Não encontrado")</f>
        <v>#NAME?</v>
      </c>
      <c r="G210" t="e">
        <f ca="1">_xludf.XLOOKUP(B210,Base_Clientes!$A:$A,Base_Clientes!$I:$I,"Não encontrado")</f>
        <v>#NAME?</v>
      </c>
      <c r="H210" t="str">
        <f>VLOOKUP(B210,Base_Clientes!$A:$Z,21,FALSE)</f>
        <v>Alto risco</v>
      </c>
    </row>
    <row r="211" spans="1:8">
      <c r="A211" t="s">
        <v>3860</v>
      </c>
      <c r="B211" t="s">
        <v>1256</v>
      </c>
      <c r="C211" s="4">
        <v>46085</v>
      </c>
      <c r="D211" t="s">
        <v>3645</v>
      </c>
      <c r="E211" t="s">
        <v>292</v>
      </c>
      <c r="F211" t="e">
        <f ca="1">_xludf.XLOOKUP(B211,Base_Clientes!$A:$A,Base_Clientes!$G:$G,"Não encontrado")</f>
        <v>#NAME?</v>
      </c>
      <c r="G211" t="e">
        <f ca="1">_xludf.XLOOKUP(B211,Base_Clientes!$A:$A,Base_Clientes!$I:$I,"Não encontrado")</f>
        <v>#NAME?</v>
      </c>
      <c r="H211" t="str">
        <f>VLOOKUP(B211,Base_Clientes!$A:$Z,21,FALSE)</f>
        <v>Alto risco</v>
      </c>
    </row>
    <row r="212" spans="1:8">
      <c r="A212" t="s">
        <v>3861</v>
      </c>
      <c r="B212" t="s">
        <v>1262</v>
      </c>
      <c r="C212" s="4">
        <v>45555</v>
      </c>
      <c r="D212" t="s">
        <v>3645</v>
      </c>
      <c r="E212" t="s">
        <v>91</v>
      </c>
      <c r="F212" t="e">
        <f ca="1">_xludf.XLOOKUP(B212,Base_Clientes!$A:$A,Base_Clientes!$G:$G,"Não encontrado")</f>
        <v>#NAME?</v>
      </c>
      <c r="G212" t="e">
        <f ca="1">_xludf.XLOOKUP(B212,Base_Clientes!$A:$A,Base_Clientes!$I:$I,"Não encontrado")</f>
        <v>#NAME?</v>
      </c>
      <c r="H212" t="str">
        <f>VLOOKUP(B212,Base_Clientes!$A:$Z,21,FALSE)</f>
        <v>Alto risco</v>
      </c>
    </row>
    <row r="213" spans="1:8">
      <c r="A213" t="s">
        <v>3862</v>
      </c>
      <c r="B213" t="s">
        <v>1269</v>
      </c>
      <c r="C213" s="4">
        <v>46131</v>
      </c>
      <c r="D213" t="s">
        <v>3649</v>
      </c>
      <c r="E213" t="s">
        <v>43</v>
      </c>
      <c r="F213" t="e">
        <f ca="1">_xludf.XLOOKUP(B213,Base_Clientes!$A:$A,Base_Clientes!$G:$G,"Não encontrado")</f>
        <v>#NAME?</v>
      </c>
      <c r="G213" t="e">
        <f ca="1">_xludf.XLOOKUP(B213,Base_Clientes!$A:$A,Base_Clientes!$I:$I,"Não encontrado")</f>
        <v>#NAME?</v>
      </c>
      <c r="H213" t="str">
        <f>VLOOKUP(B213,Base_Clientes!$A:$Z,21,FALSE)</f>
        <v>Alto risco</v>
      </c>
    </row>
    <row r="214" spans="1:8">
      <c r="A214" t="s">
        <v>3863</v>
      </c>
      <c r="B214" t="s">
        <v>1272</v>
      </c>
      <c r="C214" s="4">
        <v>46168</v>
      </c>
      <c r="D214" t="s">
        <v>3649</v>
      </c>
      <c r="E214" t="s">
        <v>3676</v>
      </c>
      <c r="F214" t="e">
        <f ca="1">_xludf.XLOOKUP(B214,Base_Clientes!$A:$A,Base_Clientes!$G:$G,"Não encontrado")</f>
        <v>#NAME?</v>
      </c>
      <c r="G214" t="e">
        <f ca="1">_xludf.XLOOKUP(B214,Base_Clientes!$A:$A,Base_Clientes!$I:$I,"Não encontrado")</f>
        <v>#NAME?</v>
      </c>
      <c r="H214" t="str">
        <f>VLOOKUP(B214,Base_Clientes!$A:$Z,21,FALSE)</f>
        <v>Alto risco</v>
      </c>
    </row>
    <row r="215" spans="1:8">
      <c r="A215" t="s">
        <v>3864</v>
      </c>
      <c r="B215" t="s">
        <v>1276</v>
      </c>
      <c r="C215" s="4">
        <v>46059</v>
      </c>
      <c r="D215" t="s">
        <v>3651</v>
      </c>
      <c r="E215" t="s">
        <v>74</v>
      </c>
      <c r="F215" t="e">
        <f ca="1">_xludf.XLOOKUP(B215,Base_Clientes!$A:$A,Base_Clientes!$G:$G,"Não encontrado")</f>
        <v>#NAME?</v>
      </c>
      <c r="G215" t="e">
        <f ca="1">_xludf.XLOOKUP(B215,Base_Clientes!$A:$A,Base_Clientes!$I:$I,"Não encontrado")</f>
        <v>#NAME?</v>
      </c>
      <c r="H215" t="str">
        <f>VLOOKUP(B215,Base_Clientes!$A:$Z,21,FALSE)</f>
        <v>Alto risco</v>
      </c>
    </row>
    <row r="216" spans="1:8">
      <c r="A216" t="s">
        <v>3865</v>
      </c>
      <c r="B216" t="s">
        <v>1278</v>
      </c>
      <c r="C216" s="4">
        <v>46072</v>
      </c>
      <c r="D216" t="s">
        <v>3651</v>
      </c>
      <c r="E216" t="s">
        <v>74</v>
      </c>
      <c r="F216" t="e">
        <f ca="1">_xludf.XLOOKUP(B216,Base_Clientes!$A:$A,Base_Clientes!$G:$G,"Não encontrado")</f>
        <v>#NAME?</v>
      </c>
      <c r="G216" t="e">
        <f ca="1">_xludf.XLOOKUP(B216,Base_Clientes!$A:$A,Base_Clientes!$I:$I,"Não encontrado")</f>
        <v>#NAME?</v>
      </c>
      <c r="H216" t="str">
        <f>VLOOKUP(B216,Base_Clientes!$A:$Z,21,FALSE)</f>
        <v>Alto risco</v>
      </c>
    </row>
    <row r="217" spans="1:8">
      <c r="A217" t="s">
        <v>3866</v>
      </c>
      <c r="B217" t="s">
        <v>1281</v>
      </c>
      <c r="C217" s="4">
        <v>46038</v>
      </c>
      <c r="D217" t="s">
        <v>3647</v>
      </c>
      <c r="E217" t="s">
        <v>148</v>
      </c>
      <c r="F217" t="e">
        <f ca="1">_xludf.XLOOKUP(B217,Base_Clientes!$A:$A,Base_Clientes!$G:$G,"Não encontrado")</f>
        <v>#NAME?</v>
      </c>
      <c r="G217" t="e">
        <f ca="1">_xludf.XLOOKUP(B217,Base_Clientes!$A:$A,Base_Clientes!$I:$I,"Não encontrado")</f>
        <v>#NAME?</v>
      </c>
      <c r="H217" t="str">
        <f>VLOOKUP(B217,Base_Clientes!$A:$Z,21,FALSE)</f>
        <v>Alto risco</v>
      </c>
    </row>
    <row r="218" spans="1:8">
      <c r="A218" t="s">
        <v>3867</v>
      </c>
      <c r="B218" t="s">
        <v>1283</v>
      </c>
      <c r="C218" s="4">
        <v>46058</v>
      </c>
      <c r="D218" t="s">
        <v>3649</v>
      </c>
      <c r="E218" t="s">
        <v>74</v>
      </c>
      <c r="F218" t="e">
        <f ca="1">_xludf.XLOOKUP(B218,Base_Clientes!$A:$A,Base_Clientes!$G:$G,"Não encontrado")</f>
        <v>#NAME?</v>
      </c>
      <c r="G218" t="e">
        <f ca="1">_xludf.XLOOKUP(B218,Base_Clientes!$A:$A,Base_Clientes!$I:$I,"Não encontrado")</f>
        <v>#NAME?</v>
      </c>
      <c r="H218" t="str">
        <f>VLOOKUP(B218,Base_Clientes!$A:$Z,21,FALSE)</f>
        <v>Alto risco</v>
      </c>
    </row>
    <row r="219" spans="1:8">
      <c r="A219" t="s">
        <v>3868</v>
      </c>
      <c r="B219" t="s">
        <v>1293</v>
      </c>
      <c r="C219" s="4">
        <v>46151</v>
      </c>
      <c r="D219" t="s">
        <v>3645</v>
      </c>
      <c r="E219" t="s">
        <v>3676</v>
      </c>
      <c r="F219" t="e">
        <f ca="1">_xludf.XLOOKUP(B219,Base_Clientes!$A:$A,Base_Clientes!$G:$G,"Não encontrado")</f>
        <v>#NAME?</v>
      </c>
      <c r="G219" t="e">
        <f ca="1">_xludf.XLOOKUP(B219,Base_Clientes!$A:$A,Base_Clientes!$I:$I,"Não encontrado")</f>
        <v>#NAME?</v>
      </c>
      <c r="H219" t="str">
        <f>VLOOKUP(B219,Base_Clientes!$A:$Z,21,FALSE)</f>
        <v>Médio risco</v>
      </c>
    </row>
    <row r="220" spans="1:8">
      <c r="A220" t="s">
        <v>3869</v>
      </c>
      <c r="B220" t="s">
        <v>1296</v>
      </c>
      <c r="C220" s="4">
        <v>45331</v>
      </c>
      <c r="D220" t="s">
        <v>3666</v>
      </c>
      <c r="E220" t="s">
        <v>297</v>
      </c>
      <c r="F220" t="e">
        <f ca="1">_xludf.XLOOKUP(B220,Base_Clientes!$A:$A,Base_Clientes!$G:$G,"Não encontrado")</f>
        <v>#NAME?</v>
      </c>
      <c r="G220" t="e">
        <f ca="1">_xludf.XLOOKUP(B220,Base_Clientes!$A:$A,Base_Clientes!$I:$I,"Não encontrado")</f>
        <v>#NAME?</v>
      </c>
      <c r="H220" t="str">
        <f>VLOOKUP(B220,Base_Clientes!$A:$Z,21,FALSE)</f>
        <v>Alto risco</v>
      </c>
    </row>
    <row r="221" spans="1:8">
      <c r="A221" t="s">
        <v>3870</v>
      </c>
      <c r="B221" t="s">
        <v>1299</v>
      </c>
      <c r="C221" s="4">
        <v>46067</v>
      </c>
      <c r="D221" t="s">
        <v>3647</v>
      </c>
      <c r="E221" t="s">
        <v>74</v>
      </c>
      <c r="F221" t="e">
        <f ca="1">_xludf.XLOOKUP(B221,Base_Clientes!$A:$A,Base_Clientes!$G:$G,"Não encontrado")</f>
        <v>#NAME?</v>
      </c>
      <c r="G221" t="e">
        <f ca="1">_xludf.XLOOKUP(B221,Base_Clientes!$A:$A,Base_Clientes!$I:$I,"Não encontrado")</f>
        <v>#NAME?</v>
      </c>
      <c r="H221" t="str">
        <f>VLOOKUP(B221,Base_Clientes!$A:$Z,21,FALSE)</f>
        <v>Alto risco</v>
      </c>
    </row>
    <row r="222" spans="1:8">
      <c r="A222" t="s">
        <v>3871</v>
      </c>
      <c r="B222" t="s">
        <v>1300</v>
      </c>
      <c r="C222" s="4">
        <v>46158</v>
      </c>
      <c r="D222" t="s">
        <v>3649</v>
      </c>
      <c r="E222" t="s">
        <v>3676</v>
      </c>
      <c r="F222" t="e">
        <f ca="1">_xludf.XLOOKUP(B222,Base_Clientes!$A:$A,Base_Clientes!$G:$G,"Não encontrado")</f>
        <v>#NAME?</v>
      </c>
      <c r="G222" t="e">
        <f ca="1">_xludf.XLOOKUP(B222,Base_Clientes!$A:$A,Base_Clientes!$I:$I,"Não encontrado")</f>
        <v>#NAME?</v>
      </c>
      <c r="H222" t="str">
        <f>VLOOKUP(B222,Base_Clientes!$A:$Z,21,FALSE)</f>
        <v>Alto risco</v>
      </c>
    </row>
    <row r="223" spans="1:8">
      <c r="A223" t="s">
        <v>3872</v>
      </c>
      <c r="B223" t="s">
        <v>1301</v>
      </c>
      <c r="C223" s="4">
        <v>45410</v>
      </c>
      <c r="D223" t="s">
        <v>3649</v>
      </c>
      <c r="E223" t="s">
        <v>56</v>
      </c>
      <c r="F223" t="e">
        <f ca="1">_xludf.XLOOKUP(B223,Base_Clientes!$A:$A,Base_Clientes!$G:$G,"Não encontrado")</f>
        <v>#NAME?</v>
      </c>
      <c r="G223" t="e">
        <f ca="1">_xludf.XLOOKUP(B223,Base_Clientes!$A:$A,Base_Clientes!$I:$I,"Não encontrado")</f>
        <v>#NAME?</v>
      </c>
      <c r="H223" t="str">
        <f>VLOOKUP(B223,Base_Clientes!$A:$Z,21,FALSE)</f>
        <v>Baixo risco</v>
      </c>
    </row>
    <row r="224" spans="1:8">
      <c r="A224" t="s">
        <v>3873</v>
      </c>
      <c r="B224" t="s">
        <v>1304</v>
      </c>
      <c r="C224" s="4">
        <v>45853</v>
      </c>
      <c r="D224" t="s">
        <v>3643</v>
      </c>
      <c r="E224" t="s">
        <v>212</v>
      </c>
      <c r="F224" t="e">
        <f ca="1">_xludf.XLOOKUP(B224,Base_Clientes!$A:$A,Base_Clientes!$G:$G,"Não encontrado")</f>
        <v>#NAME?</v>
      </c>
      <c r="G224" t="e">
        <f ca="1">_xludf.XLOOKUP(B224,Base_Clientes!$A:$A,Base_Clientes!$I:$I,"Não encontrado")</f>
        <v>#NAME?</v>
      </c>
      <c r="H224" t="str">
        <f>VLOOKUP(B224,Base_Clientes!$A:$Z,21,FALSE)</f>
        <v>Alto risco</v>
      </c>
    </row>
    <row r="225" spans="1:8">
      <c r="A225" t="s">
        <v>3874</v>
      </c>
      <c r="B225" t="s">
        <v>1306</v>
      </c>
      <c r="C225" s="4">
        <v>46034</v>
      </c>
      <c r="D225" t="s">
        <v>3645</v>
      </c>
      <c r="E225" t="s">
        <v>148</v>
      </c>
      <c r="F225" t="e">
        <f ca="1">_xludf.XLOOKUP(B225,Base_Clientes!$A:$A,Base_Clientes!$G:$G,"Não encontrado")</f>
        <v>#NAME?</v>
      </c>
      <c r="G225" t="e">
        <f ca="1">_xludf.XLOOKUP(B225,Base_Clientes!$A:$A,Base_Clientes!$I:$I,"Não encontrado")</f>
        <v>#NAME?</v>
      </c>
      <c r="H225" t="str">
        <f>VLOOKUP(B225,Base_Clientes!$A:$Z,21,FALSE)</f>
        <v>Médio risco</v>
      </c>
    </row>
    <row r="226" spans="1:8">
      <c r="A226" t="s">
        <v>3875</v>
      </c>
      <c r="B226" t="s">
        <v>1307</v>
      </c>
      <c r="C226" s="4">
        <v>46096</v>
      </c>
      <c r="D226" t="s">
        <v>3668</v>
      </c>
      <c r="E226" t="s">
        <v>292</v>
      </c>
      <c r="F226" t="e">
        <f ca="1">_xludf.XLOOKUP(B226,Base_Clientes!$A:$A,Base_Clientes!$G:$G,"Não encontrado")</f>
        <v>#NAME?</v>
      </c>
      <c r="G226" t="e">
        <f ca="1">_xludf.XLOOKUP(B226,Base_Clientes!$A:$A,Base_Clientes!$I:$I,"Não encontrado")</f>
        <v>#NAME?</v>
      </c>
      <c r="H226" t="str">
        <f>VLOOKUP(B226,Base_Clientes!$A:$Z,21,FALSE)</f>
        <v>Baixo risco</v>
      </c>
    </row>
    <row r="227" spans="1:8">
      <c r="A227" t="s">
        <v>3876</v>
      </c>
      <c r="B227" t="s">
        <v>1309</v>
      </c>
      <c r="C227" s="4">
        <v>45968</v>
      </c>
      <c r="D227" t="s">
        <v>3651</v>
      </c>
      <c r="E227" t="s">
        <v>87</v>
      </c>
      <c r="F227" t="e">
        <f ca="1">_xludf.XLOOKUP(B227,Base_Clientes!$A:$A,Base_Clientes!$G:$G,"Não encontrado")</f>
        <v>#NAME?</v>
      </c>
      <c r="G227" t="e">
        <f ca="1">_xludf.XLOOKUP(B227,Base_Clientes!$A:$A,Base_Clientes!$I:$I,"Não encontrado")</f>
        <v>#NAME?</v>
      </c>
      <c r="H227" t="str">
        <f>VLOOKUP(B227,Base_Clientes!$A:$Z,21,FALSE)</f>
        <v>Alto risco</v>
      </c>
    </row>
    <row r="228" spans="1:8">
      <c r="A228" t="s">
        <v>3877</v>
      </c>
      <c r="B228" t="s">
        <v>1311</v>
      </c>
      <c r="C228" s="4">
        <v>45680</v>
      </c>
      <c r="D228" t="s">
        <v>3645</v>
      </c>
      <c r="E228" t="s">
        <v>261</v>
      </c>
      <c r="F228" t="e">
        <f ca="1">_xludf.XLOOKUP(B228,Base_Clientes!$A:$A,Base_Clientes!$G:$G,"Não encontrado")</f>
        <v>#NAME?</v>
      </c>
      <c r="G228" t="e">
        <f ca="1">_xludf.XLOOKUP(B228,Base_Clientes!$A:$A,Base_Clientes!$I:$I,"Não encontrado")</f>
        <v>#NAME?</v>
      </c>
      <c r="H228" t="str">
        <f>VLOOKUP(B228,Base_Clientes!$A:$Z,21,FALSE)</f>
        <v>Alto risco</v>
      </c>
    </row>
    <row r="229" spans="1:8">
      <c r="A229" t="s">
        <v>3878</v>
      </c>
      <c r="B229" t="s">
        <v>1313</v>
      </c>
      <c r="C229" s="4">
        <v>45863</v>
      </c>
      <c r="D229" t="s">
        <v>3649</v>
      </c>
      <c r="E229" t="s">
        <v>212</v>
      </c>
      <c r="F229" t="e">
        <f ca="1">_xludf.XLOOKUP(B229,Base_Clientes!$A:$A,Base_Clientes!$G:$G,"Não encontrado")</f>
        <v>#NAME?</v>
      </c>
      <c r="G229" t="e">
        <f ca="1">_xludf.XLOOKUP(B229,Base_Clientes!$A:$A,Base_Clientes!$I:$I,"Não encontrado")</f>
        <v>#NAME?</v>
      </c>
      <c r="H229" t="str">
        <f>VLOOKUP(B229,Base_Clientes!$A:$Z,21,FALSE)</f>
        <v>Alto risco</v>
      </c>
    </row>
    <row r="230" spans="1:8">
      <c r="A230" t="s">
        <v>3879</v>
      </c>
      <c r="B230" t="s">
        <v>1316</v>
      </c>
      <c r="C230" s="4">
        <v>46153</v>
      </c>
      <c r="D230" t="s">
        <v>3645</v>
      </c>
      <c r="E230" t="s">
        <v>3676</v>
      </c>
      <c r="F230" t="e">
        <f ca="1">_xludf.XLOOKUP(B230,Base_Clientes!$A:$A,Base_Clientes!$G:$G,"Não encontrado")</f>
        <v>#NAME?</v>
      </c>
      <c r="G230" t="e">
        <f ca="1">_xludf.XLOOKUP(B230,Base_Clientes!$A:$A,Base_Clientes!$I:$I,"Não encontrado")</f>
        <v>#NAME?</v>
      </c>
      <c r="H230" t="str">
        <f>VLOOKUP(B230,Base_Clientes!$A:$Z,21,FALSE)</f>
        <v>Alto risco</v>
      </c>
    </row>
    <row r="231" spans="1:8">
      <c r="A231" t="s">
        <v>3880</v>
      </c>
      <c r="B231" t="s">
        <v>1323</v>
      </c>
      <c r="C231" s="4">
        <v>45735</v>
      </c>
      <c r="D231" t="s">
        <v>3668</v>
      </c>
      <c r="E231" t="s">
        <v>454</v>
      </c>
      <c r="F231" t="e">
        <f ca="1">_xludf.XLOOKUP(B231,Base_Clientes!$A:$A,Base_Clientes!$G:$G,"Não encontrado")</f>
        <v>#NAME?</v>
      </c>
      <c r="G231" t="e">
        <f ca="1">_xludf.XLOOKUP(B231,Base_Clientes!$A:$A,Base_Clientes!$I:$I,"Não encontrado")</f>
        <v>#NAME?</v>
      </c>
      <c r="H231" t="str">
        <f>VLOOKUP(B231,Base_Clientes!$A:$Z,21,FALSE)</f>
        <v>Alto risco</v>
      </c>
    </row>
    <row r="232" spans="1:8">
      <c r="A232" t="s">
        <v>3881</v>
      </c>
      <c r="B232" t="s">
        <v>1330</v>
      </c>
      <c r="C232" s="4">
        <v>45352</v>
      </c>
      <c r="D232" t="s">
        <v>3651</v>
      </c>
      <c r="E232" t="s">
        <v>126</v>
      </c>
      <c r="F232" t="e">
        <f ca="1">_xludf.XLOOKUP(B232,Base_Clientes!$A:$A,Base_Clientes!$G:$G,"Não encontrado")</f>
        <v>#NAME?</v>
      </c>
      <c r="G232" t="e">
        <f ca="1">_xludf.XLOOKUP(B232,Base_Clientes!$A:$A,Base_Clientes!$I:$I,"Não encontrado")</f>
        <v>#NAME?</v>
      </c>
      <c r="H232" t="str">
        <f>VLOOKUP(B232,Base_Clientes!$A:$Z,21,FALSE)</f>
        <v>Alto risco</v>
      </c>
    </row>
    <row r="233" spans="1:8">
      <c r="A233" t="s">
        <v>3882</v>
      </c>
      <c r="B233" t="s">
        <v>1334</v>
      </c>
      <c r="C233" s="4">
        <v>46072</v>
      </c>
      <c r="D233" t="s">
        <v>3645</v>
      </c>
      <c r="E233" t="s">
        <v>74</v>
      </c>
      <c r="F233" t="e">
        <f ca="1">_xludf.XLOOKUP(B233,Base_Clientes!$A:$A,Base_Clientes!$G:$G,"Não encontrado")</f>
        <v>#NAME?</v>
      </c>
      <c r="G233" t="e">
        <f ca="1">_xludf.XLOOKUP(B233,Base_Clientes!$A:$A,Base_Clientes!$I:$I,"Não encontrado")</f>
        <v>#NAME?</v>
      </c>
      <c r="H233" t="str">
        <f>VLOOKUP(B233,Base_Clientes!$A:$Z,21,FALSE)</f>
        <v>Alto risco</v>
      </c>
    </row>
    <row r="234" spans="1:8">
      <c r="A234" t="s">
        <v>3883</v>
      </c>
      <c r="B234" t="s">
        <v>1338</v>
      </c>
      <c r="C234" s="4">
        <v>45837</v>
      </c>
      <c r="D234" t="s">
        <v>3643</v>
      </c>
      <c r="E234" t="s">
        <v>167</v>
      </c>
      <c r="F234" t="e">
        <f ca="1">_xludf.XLOOKUP(B234,Base_Clientes!$A:$A,Base_Clientes!$G:$G,"Não encontrado")</f>
        <v>#NAME?</v>
      </c>
      <c r="G234" t="e">
        <f ca="1">_xludf.XLOOKUP(B234,Base_Clientes!$A:$A,Base_Clientes!$I:$I,"Não encontrado")</f>
        <v>#NAME?</v>
      </c>
      <c r="H234" t="str">
        <f>VLOOKUP(B234,Base_Clientes!$A:$Z,21,FALSE)</f>
        <v>Alto risco</v>
      </c>
    </row>
    <row r="235" spans="1:8">
      <c r="A235" t="s">
        <v>3884</v>
      </c>
      <c r="B235" t="s">
        <v>1349</v>
      </c>
      <c r="C235" s="4">
        <v>45441</v>
      </c>
      <c r="D235" t="s">
        <v>3649</v>
      </c>
      <c r="E235" t="s">
        <v>130</v>
      </c>
      <c r="F235" t="e">
        <f ca="1">_xludf.XLOOKUP(B235,Base_Clientes!$A:$A,Base_Clientes!$G:$G,"Não encontrado")</f>
        <v>#NAME?</v>
      </c>
      <c r="G235" t="e">
        <f ca="1">_xludf.XLOOKUP(B235,Base_Clientes!$A:$A,Base_Clientes!$I:$I,"Não encontrado")</f>
        <v>#NAME?</v>
      </c>
      <c r="H235" t="str">
        <f>VLOOKUP(B235,Base_Clientes!$A:$Z,21,FALSE)</f>
        <v>Alto risco</v>
      </c>
    </row>
    <row r="236" spans="1:8">
      <c r="A236" t="s">
        <v>3885</v>
      </c>
      <c r="B236" t="s">
        <v>1352</v>
      </c>
      <c r="C236" s="4">
        <v>45868</v>
      </c>
      <c r="D236" t="s">
        <v>3668</v>
      </c>
      <c r="E236" t="s">
        <v>212</v>
      </c>
      <c r="F236" t="e">
        <f ca="1">_xludf.XLOOKUP(B236,Base_Clientes!$A:$A,Base_Clientes!$G:$G,"Não encontrado")</f>
        <v>#NAME?</v>
      </c>
      <c r="G236" t="e">
        <f ca="1">_xludf.XLOOKUP(B236,Base_Clientes!$A:$A,Base_Clientes!$I:$I,"Não encontrado")</f>
        <v>#NAME?</v>
      </c>
      <c r="H236" t="str">
        <f>VLOOKUP(B236,Base_Clientes!$A:$Z,21,FALSE)</f>
        <v>Médio risco</v>
      </c>
    </row>
    <row r="237" spans="1:8">
      <c r="A237" t="s">
        <v>3886</v>
      </c>
      <c r="B237" t="s">
        <v>1357</v>
      </c>
      <c r="C237" s="4">
        <v>45826</v>
      </c>
      <c r="D237" t="s">
        <v>3643</v>
      </c>
      <c r="E237" t="s">
        <v>167</v>
      </c>
      <c r="F237" t="e">
        <f ca="1">_xludf.XLOOKUP(B237,Base_Clientes!$A:$A,Base_Clientes!$G:$G,"Não encontrado")</f>
        <v>#NAME?</v>
      </c>
      <c r="G237" t="e">
        <f ca="1">_xludf.XLOOKUP(B237,Base_Clientes!$A:$A,Base_Clientes!$I:$I,"Não encontrado")</f>
        <v>#NAME?</v>
      </c>
      <c r="H237" t="str">
        <f>VLOOKUP(B237,Base_Clientes!$A:$Z,21,FALSE)</f>
        <v>Alto risco</v>
      </c>
    </row>
    <row r="238" spans="1:8">
      <c r="A238" t="s">
        <v>3887</v>
      </c>
      <c r="B238" t="s">
        <v>1371</v>
      </c>
      <c r="C238" s="4">
        <v>45501</v>
      </c>
      <c r="D238" t="s">
        <v>3668</v>
      </c>
      <c r="E238" t="s">
        <v>142</v>
      </c>
      <c r="F238" t="e">
        <f ca="1">_xludf.XLOOKUP(B238,Base_Clientes!$A:$A,Base_Clientes!$G:$G,"Não encontrado")</f>
        <v>#NAME?</v>
      </c>
      <c r="G238" t="e">
        <f ca="1">_xludf.XLOOKUP(B238,Base_Clientes!$A:$A,Base_Clientes!$I:$I,"Não encontrado")</f>
        <v>#NAME?</v>
      </c>
      <c r="H238" t="str">
        <f>VLOOKUP(B238,Base_Clientes!$A:$Z,21,FALSE)</f>
        <v>Alto risco</v>
      </c>
    </row>
    <row r="239" spans="1:8">
      <c r="A239" t="s">
        <v>3888</v>
      </c>
      <c r="B239" t="s">
        <v>1372</v>
      </c>
      <c r="C239" s="4">
        <v>45206</v>
      </c>
      <c r="D239" t="s">
        <v>3643</v>
      </c>
      <c r="E239" t="s">
        <v>215</v>
      </c>
      <c r="F239" t="e">
        <f ca="1">_xludf.XLOOKUP(B239,Base_Clientes!$A:$A,Base_Clientes!$G:$G,"Não encontrado")</f>
        <v>#NAME?</v>
      </c>
      <c r="G239" t="e">
        <f ca="1">_xludf.XLOOKUP(B239,Base_Clientes!$A:$A,Base_Clientes!$I:$I,"Não encontrado")</f>
        <v>#NAME?</v>
      </c>
      <c r="H239" t="str">
        <f>VLOOKUP(B239,Base_Clientes!$A:$Z,21,FALSE)</f>
        <v>Alto risco</v>
      </c>
    </row>
    <row r="240" spans="1:8">
      <c r="A240" t="s">
        <v>3889</v>
      </c>
      <c r="B240" t="s">
        <v>1376</v>
      </c>
      <c r="C240" s="4">
        <v>45181</v>
      </c>
      <c r="D240" t="s">
        <v>3643</v>
      </c>
      <c r="E240" t="s">
        <v>105</v>
      </c>
      <c r="F240" t="e">
        <f ca="1">_xludf.XLOOKUP(B240,Base_Clientes!$A:$A,Base_Clientes!$G:$G,"Não encontrado")</f>
        <v>#NAME?</v>
      </c>
      <c r="G240" t="e">
        <f ca="1">_xludf.XLOOKUP(B240,Base_Clientes!$A:$A,Base_Clientes!$I:$I,"Não encontrado")</f>
        <v>#NAME?</v>
      </c>
      <c r="H240" t="str">
        <f>VLOOKUP(B240,Base_Clientes!$A:$Z,21,FALSE)</f>
        <v>Baixo risco</v>
      </c>
    </row>
    <row r="241" spans="1:8">
      <c r="A241" t="s">
        <v>3890</v>
      </c>
      <c r="B241" t="s">
        <v>1377</v>
      </c>
      <c r="C241" s="4">
        <v>46086</v>
      </c>
      <c r="D241" t="s">
        <v>3649</v>
      </c>
      <c r="E241" t="s">
        <v>292</v>
      </c>
      <c r="F241" t="e">
        <f ca="1">_xludf.XLOOKUP(B241,Base_Clientes!$A:$A,Base_Clientes!$G:$G,"Não encontrado")</f>
        <v>#NAME?</v>
      </c>
      <c r="G241" t="e">
        <f ca="1">_xludf.XLOOKUP(B241,Base_Clientes!$A:$A,Base_Clientes!$I:$I,"Não encontrado")</f>
        <v>#NAME?</v>
      </c>
      <c r="H241" t="str">
        <f>VLOOKUP(B241,Base_Clientes!$A:$Z,21,FALSE)</f>
        <v>Alto risco</v>
      </c>
    </row>
    <row r="242" spans="1:8">
      <c r="A242" t="s">
        <v>3891</v>
      </c>
      <c r="B242" t="s">
        <v>1379</v>
      </c>
      <c r="C242" s="4">
        <v>45766</v>
      </c>
      <c r="D242" t="s">
        <v>3643</v>
      </c>
      <c r="E242" t="s">
        <v>222</v>
      </c>
      <c r="F242" t="e">
        <f ca="1">_xludf.XLOOKUP(B242,Base_Clientes!$A:$A,Base_Clientes!$G:$G,"Não encontrado")</f>
        <v>#NAME?</v>
      </c>
      <c r="G242" t="e">
        <f ca="1">_xludf.XLOOKUP(B242,Base_Clientes!$A:$A,Base_Clientes!$I:$I,"Não encontrado")</f>
        <v>#NAME?</v>
      </c>
      <c r="H242" t="str">
        <f>VLOOKUP(B242,Base_Clientes!$A:$Z,21,FALSE)</f>
        <v>Alto risco</v>
      </c>
    </row>
    <row r="243" spans="1:8">
      <c r="A243" t="s">
        <v>3892</v>
      </c>
      <c r="B243" t="s">
        <v>1382</v>
      </c>
      <c r="C243" s="4">
        <v>45742</v>
      </c>
      <c r="D243" t="s">
        <v>3649</v>
      </c>
      <c r="E243" t="s">
        <v>454</v>
      </c>
      <c r="F243" t="e">
        <f ca="1">_xludf.XLOOKUP(B243,Base_Clientes!$A:$A,Base_Clientes!$G:$G,"Não encontrado")</f>
        <v>#NAME?</v>
      </c>
      <c r="G243" t="e">
        <f ca="1">_xludf.XLOOKUP(B243,Base_Clientes!$A:$A,Base_Clientes!$I:$I,"Não encontrado")</f>
        <v>#NAME?</v>
      </c>
      <c r="H243" t="str">
        <f>VLOOKUP(B243,Base_Clientes!$A:$Z,21,FALSE)</f>
        <v>Alto risco</v>
      </c>
    </row>
    <row r="244" spans="1:8">
      <c r="A244" t="s">
        <v>3893</v>
      </c>
      <c r="B244" t="s">
        <v>1391</v>
      </c>
      <c r="C244" s="4">
        <v>45637</v>
      </c>
      <c r="D244" t="s">
        <v>3645</v>
      </c>
      <c r="E244" t="s">
        <v>49</v>
      </c>
      <c r="F244" t="e">
        <f ca="1">_xludf.XLOOKUP(B244,Base_Clientes!$A:$A,Base_Clientes!$G:$G,"Não encontrado")</f>
        <v>#NAME?</v>
      </c>
      <c r="G244" t="e">
        <f ca="1">_xludf.XLOOKUP(B244,Base_Clientes!$A:$A,Base_Clientes!$I:$I,"Não encontrado")</f>
        <v>#NAME?</v>
      </c>
      <c r="H244" t="str">
        <f>VLOOKUP(B244,Base_Clientes!$A:$Z,21,FALSE)</f>
        <v>Alto risco</v>
      </c>
    </row>
    <row r="245" spans="1:8">
      <c r="A245" t="s">
        <v>3894</v>
      </c>
      <c r="B245" t="s">
        <v>1398</v>
      </c>
      <c r="C245" s="4">
        <v>46047</v>
      </c>
      <c r="D245" t="s">
        <v>3643</v>
      </c>
      <c r="E245" t="s">
        <v>148</v>
      </c>
      <c r="F245" t="e">
        <f ca="1">_xludf.XLOOKUP(B245,Base_Clientes!$A:$A,Base_Clientes!$G:$G,"Não encontrado")</f>
        <v>#NAME?</v>
      </c>
      <c r="G245" t="e">
        <f ca="1">_xludf.XLOOKUP(B245,Base_Clientes!$A:$A,Base_Clientes!$I:$I,"Não encontrado")</f>
        <v>#NAME?</v>
      </c>
      <c r="H245" t="str">
        <f>VLOOKUP(B245,Base_Clientes!$A:$Z,21,FALSE)</f>
        <v>Alto risco</v>
      </c>
    </row>
    <row r="246" spans="1:8">
      <c r="A246" t="s">
        <v>3895</v>
      </c>
      <c r="B246" t="s">
        <v>1401</v>
      </c>
      <c r="C246" s="4">
        <v>46109</v>
      </c>
      <c r="D246" t="s">
        <v>3649</v>
      </c>
      <c r="E246" t="s">
        <v>292</v>
      </c>
      <c r="F246" t="e">
        <f ca="1">_xludf.XLOOKUP(B246,Base_Clientes!$A:$A,Base_Clientes!$G:$G,"Não encontrado")</f>
        <v>#NAME?</v>
      </c>
      <c r="G246" t="e">
        <f ca="1">_xludf.XLOOKUP(B246,Base_Clientes!$A:$A,Base_Clientes!$I:$I,"Não encontrado")</f>
        <v>#NAME?</v>
      </c>
      <c r="H246" t="str">
        <f>VLOOKUP(B246,Base_Clientes!$A:$Z,21,FALSE)</f>
        <v>Alto risco</v>
      </c>
    </row>
    <row r="247" spans="1:8">
      <c r="A247" t="s">
        <v>3896</v>
      </c>
      <c r="B247" t="s">
        <v>1406</v>
      </c>
      <c r="C247" s="4">
        <v>46115</v>
      </c>
      <c r="D247" t="s">
        <v>3668</v>
      </c>
      <c r="E247" t="s">
        <v>43</v>
      </c>
      <c r="F247" t="e">
        <f ca="1">_xludf.XLOOKUP(B247,Base_Clientes!$A:$A,Base_Clientes!$G:$G,"Não encontrado")</f>
        <v>#NAME?</v>
      </c>
      <c r="G247" t="e">
        <f ca="1">_xludf.XLOOKUP(B247,Base_Clientes!$A:$A,Base_Clientes!$I:$I,"Não encontrado")</f>
        <v>#NAME?</v>
      </c>
      <c r="H247" t="str">
        <f>VLOOKUP(B247,Base_Clientes!$A:$Z,21,FALSE)</f>
        <v>Alto risco</v>
      </c>
    </row>
    <row r="248" spans="1:8">
      <c r="A248" t="s">
        <v>3897</v>
      </c>
      <c r="B248" t="s">
        <v>1416</v>
      </c>
      <c r="C248" s="4">
        <v>45865</v>
      </c>
      <c r="D248" t="s">
        <v>3651</v>
      </c>
      <c r="E248" t="s">
        <v>212</v>
      </c>
      <c r="F248" t="e">
        <f ca="1">_xludf.XLOOKUP(B248,Base_Clientes!$A:$A,Base_Clientes!$G:$G,"Não encontrado")</f>
        <v>#NAME?</v>
      </c>
      <c r="G248" t="e">
        <f ca="1">_xludf.XLOOKUP(B248,Base_Clientes!$A:$A,Base_Clientes!$I:$I,"Não encontrado")</f>
        <v>#NAME?</v>
      </c>
      <c r="H248" t="str">
        <f>VLOOKUP(B248,Base_Clientes!$A:$Z,21,FALSE)</f>
        <v>Alto risco</v>
      </c>
    </row>
    <row r="249" spans="1:8">
      <c r="A249" t="s">
        <v>3898</v>
      </c>
      <c r="B249" t="s">
        <v>1423</v>
      </c>
      <c r="C249" s="4">
        <v>45755</v>
      </c>
      <c r="D249" t="s">
        <v>3651</v>
      </c>
      <c r="E249" t="s">
        <v>222</v>
      </c>
      <c r="F249" t="e">
        <f ca="1">_xludf.XLOOKUP(B249,Base_Clientes!$A:$A,Base_Clientes!$G:$G,"Não encontrado")</f>
        <v>#NAME?</v>
      </c>
      <c r="G249" t="e">
        <f ca="1">_xludf.XLOOKUP(B249,Base_Clientes!$A:$A,Base_Clientes!$I:$I,"Não encontrado")</f>
        <v>#NAME?</v>
      </c>
      <c r="H249" t="str">
        <f>VLOOKUP(B249,Base_Clientes!$A:$Z,21,FALSE)</f>
        <v>Alto risco</v>
      </c>
    </row>
    <row r="250" spans="1:8">
      <c r="A250" t="s">
        <v>3899</v>
      </c>
      <c r="B250" t="s">
        <v>1425</v>
      </c>
      <c r="C250" s="4">
        <v>46064</v>
      </c>
      <c r="D250" t="s">
        <v>3649</v>
      </c>
      <c r="E250" t="s">
        <v>74</v>
      </c>
      <c r="F250" t="e">
        <f ca="1">_xludf.XLOOKUP(B250,Base_Clientes!$A:$A,Base_Clientes!$G:$G,"Não encontrado")</f>
        <v>#NAME?</v>
      </c>
      <c r="G250" t="e">
        <f ca="1">_xludf.XLOOKUP(B250,Base_Clientes!$A:$A,Base_Clientes!$I:$I,"Não encontrado")</f>
        <v>#NAME?</v>
      </c>
      <c r="H250" t="str">
        <f>VLOOKUP(B250,Base_Clientes!$A:$Z,21,FALSE)</f>
        <v>Alto risco</v>
      </c>
    </row>
    <row r="251" spans="1:8">
      <c r="A251" t="s">
        <v>3900</v>
      </c>
      <c r="B251" t="s">
        <v>1426</v>
      </c>
      <c r="C251" s="4">
        <v>46168</v>
      </c>
      <c r="D251" t="s">
        <v>3666</v>
      </c>
      <c r="E251" t="s">
        <v>3676</v>
      </c>
      <c r="F251" t="e">
        <f ca="1">_xludf.XLOOKUP(B251,Base_Clientes!$A:$A,Base_Clientes!$G:$G,"Não encontrado")</f>
        <v>#NAME?</v>
      </c>
      <c r="G251" t="e">
        <f ca="1">_xludf.XLOOKUP(B251,Base_Clientes!$A:$A,Base_Clientes!$I:$I,"Não encontrado")</f>
        <v>#NAME?</v>
      </c>
      <c r="H251" t="str">
        <f>VLOOKUP(B251,Base_Clientes!$A:$Z,21,FALSE)</f>
        <v>Alto risco</v>
      </c>
    </row>
    <row r="252" spans="1:8">
      <c r="A252" t="s">
        <v>3901</v>
      </c>
      <c r="B252" t="s">
        <v>1427</v>
      </c>
      <c r="C252" s="4">
        <v>46157</v>
      </c>
      <c r="D252" t="s">
        <v>3649</v>
      </c>
      <c r="E252" t="s">
        <v>3676</v>
      </c>
      <c r="F252" t="e">
        <f ca="1">_xludf.XLOOKUP(B252,Base_Clientes!$A:$A,Base_Clientes!$G:$G,"Não encontrado")</f>
        <v>#NAME?</v>
      </c>
      <c r="G252" t="e">
        <f ca="1">_xludf.XLOOKUP(B252,Base_Clientes!$A:$A,Base_Clientes!$I:$I,"Não encontrado")</f>
        <v>#NAME?</v>
      </c>
      <c r="H252" t="str">
        <f>VLOOKUP(B252,Base_Clientes!$A:$Z,21,FALSE)</f>
        <v>Alto risco</v>
      </c>
    </row>
    <row r="253" spans="1:8">
      <c r="A253" t="s">
        <v>3902</v>
      </c>
      <c r="B253" t="s">
        <v>1430</v>
      </c>
      <c r="C253" s="4">
        <v>46062</v>
      </c>
      <c r="D253" t="s">
        <v>3649</v>
      </c>
      <c r="E253" t="s">
        <v>74</v>
      </c>
      <c r="F253" t="e">
        <f ca="1">_xludf.XLOOKUP(B253,Base_Clientes!$A:$A,Base_Clientes!$G:$G,"Não encontrado")</f>
        <v>#NAME?</v>
      </c>
      <c r="G253" t="e">
        <f ca="1">_xludf.XLOOKUP(B253,Base_Clientes!$A:$A,Base_Clientes!$I:$I,"Não encontrado")</f>
        <v>#NAME?</v>
      </c>
      <c r="H253" t="str">
        <f>VLOOKUP(B253,Base_Clientes!$A:$Z,21,FALSE)</f>
        <v>Alto risco</v>
      </c>
    </row>
    <row r="254" spans="1:8">
      <c r="A254" t="s">
        <v>3903</v>
      </c>
      <c r="B254" t="s">
        <v>1432</v>
      </c>
      <c r="C254" s="4">
        <v>45597</v>
      </c>
      <c r="D254" t="s">
        <v>3651</v>
      </c>
      <c r="E254" t="s">
        <v>83</v>
      </c>
      <c r="F254" t="e">
        <f ca="1">_xludf.XLOOKUP(B254,Base_Clientes!$A:$A,Base_Clientes!$G:$G,"Não encontrado")</f>
        <v>#NAME?</v>
      </c>
      <c r="G254" t="e">
        <f ca="1">_xludf.XLOOKUP(B254,Base_Clientes!$A:$A,Base_Clientes!$I:$I,"Não encontrado")</f>
        <v>#NAME?</v>
      </c>
      <c r="H254" t="str">
        <f>VLOOKUP(B254,Base_Clientes!$A:$Z,21,FALSE)</f>
        <v>Alto risco</v>
      </c>
    </row>
    <row r="255" spans="1:8">
      <c r="A255" t="s">
        <v>3904</v>
      </c>
      <c r="B255" t="s">
        <v>1438</v>
      </c>
      <c r="C255" s="4">
        <v>45184</v>
      </c>
      <c r="D255" t="s">
        <v>3651</v>
      </c>
      <c r="E255" t="s">
        <v>105</v>
      </c>
      <c r="F255" t="e">
        <f ca="1">_xludf.XLOOKUP(B255,Base_Clientes!$A:$A,Base_Clientes!$G:$G,"Não encontrado")</f>
        <v>#NAME?</v>
      </c>
      <c r="G255" t="e">
        <f ca="1">_xludf.XLOOKUP(B255,Base_Clientes!$A:$A,Base_Clientes!$I:$I,"Não encontrado")</f>
        <v>#NAME?</v>
      </c>
      <c r="H255" t="str">
        <f>VLOOKUP(B255,Base_Clientes!$A:$Z,21,FALSE)</f>
        <v>Alto risco</v>
      </c>
    </row>
    <row r="256" spans="1:8">
      <c r="A256" t="s">
        <v>3905</v>
      </c>
      <c r="B256" t="s">
        <v>1439</v>
      </c>
      <c r="C256" s="4">
        <v>45713</v>
      </c>
      <c r="D256" t="s">
        <v>3666</v>
      </c>
      <c r="E256" t="s">
        <v>289</v>
      </c>
      <c r="F256" t="e">
        <f ca="1">_xludf.XLOOKUP(B256,Base_Clientes!$A:$A,Base_Clientes!$G:$G,"Não encontrado")</f>
        <v>#NAME?</v>
      </c>
      <c r="G256" t="e">
        <f ca="1">_xludf.XLOOKUP(B256,Base_Clientes!$A:$A,Base_Clientes!$I:$I,"Não encontrado")</f>
        <v>#NAME?</v>
      </c>
      <c r="H256" t="str">
        <f>VLOOKUP(B256,Base_Clientes!$A:$Z,21,FALSE)</f>
        <v>Alto risco</v>
      </c>
    </row>
    <row r="257" spans="1:8">
      <c r="A257" t="s">
        <v>3906</v>
      </c>
      <c r="B257" t="s">
        <v>1441</v>
      </c>
      <c r="C257" s="4">
        <v>46150</v>
      </c>
      <c r="D257" t="s">
        <v>3651</v>
      </c>
      <c r="E257" t="s">
        <v>3676</v>
      </c>
      <c r="F257" t="e">
        <f ca="1">_xludf.XLOOKUP(B257,Base_Clientes!$A:$A,Base_Clientes!$G:$G,"Não encontrado")</f>
        <v>#NAME?</v>
      </c>
      <c r="G257" t="e">
        <f ca="1">_xludf.XLOOKUP(B257,Base_Clientes!$A:$A,Base_Clientes!$I:$I,"Não encontrado")</f>
        <v>#NAME?</v>
      </c>
      <c r="H257" t="str">
        <f>VLOOKUP(B257,Base_Clientes!$A:$Z,21,FALSE)</f>
        <v>Alto risco</v>
      </c>
    </row>
    <row r="258" spans="1:8">
      <c r="A258" t="s">
        <v>3907</v>
      </c>
      <c r="B258" t="s">
        <v>1444</v>
      </c>
      <c r="C258" s="4">
        <v>46163</v>
      </c>
      <c r="D258" t="s">
        <v>3643</v>
      </c>
      <c r="E258" t="s">
        <v>3676</v>
      </c>
      <c r="F258" t="e">
        <f ca="1">_xludf.XLOOKUP(B258,Base_Clientes!$A:$A,Base_Clientes!$G:$G,"Não encontrado")</f>
        <v>#NAME?</v>
      </c>
      <c r="G258" t="e">
        <f ca="1">_xludf.XLOOKUP(B258,Base_Clientes!$A:$A,Base_Clientes!$I:$I,"Não encontrado")</f>
        <v>#NAME?</v>
      </c>
      <c r="H258" t="str">
        <f>VLOOKUP(B258,Base_Clientes!$A:$Z,21,FALSE)</f>
        <v>Alto risco</v>
      </c>
    </row>
    <row r="259" spans="1:8">
      <c r="A259" t="s">
        <v>3908</v>
      </c>
      <c r="B259" t="s">
        <v>1449</v>
      </c>
      <c r="C259" s="4">
        <v>46034</v>
      </c>
      <c r="D259" t="s">
        <v>3651</v>
      </c>
      <c r="E259" t="s">
        <v>148</v>
      </c>
      <c r="F259" t="e">
        <f ca="1">_xludf.XLOOKUP(B259,Base_Clientes!$A:$A,Base_Clientes!$G:$G,"Não encontrado")</f>
        <v>#NAME?</v>
      </c>
      <c r="G259" t="e">
        <f ca="1">_xludf.XLOOKUP(B259,Base_Clientes!$A:$A,Base_Clientes!$I:$I,"Não encontrado")</f>
        <v>#NAME?</v>
      </c>
      <c r="H259" t="str">
        <f>VLOOKUP(B259,Base_Clientes!$A:$Z,21,FALSE)</f>
        <v>Alto risco</v>
      </c>
    </row>
    <row r="260" spans="1:8">
      <c r="A260" t="s">
        <v>3909</v>
      </c>
      <c r="B260" t="s">
        <v>1463</v>
      </c>
      <c r="C260" s="4">
        <v>46156</v>
      </c>
      <c r="D260" t="s">
        <v>3645</v>
      </c>
      <c r="E260" t="s">
        <v>3676</v>
      </c>
      <c r="F260" t="e">
        <f ca="1">_xludf.XLOOKUP(B260,Base_Clientes!$A:$A,Base_Clientes!$G:$G,"Não encontrado")</f>
        <v>#NAME?</v>
      </c>
      <c r="G260" t="e">
        <f ca="1">_xludf.XLOOKUP(B260,Base_Clientes!$A:$A,Base_Clientes!$I:$I,"Não encontrado")</f>
        <v>#NAME?</v>
      </c>
      <c r="H260" t="str">
        <f>VLOOKUP(B260,Base_Clientes!$A:$Z,21,FALSE)</f>
        <v>Alto risco</v>
      </c>
    </row>
    <row r="261" spans="1:8">
      <c r="A261" t="s">
        <v>3910</v>
      </c>
      <c r="B261" t="s">
        <v>1467</v>
      </c>
      <c r="C261" s="4">
        <v>46050</v>
      </c>
      <c r="D261" t="s">
        <v>3666</v>
      </c>
      <c r="E261" t="s">
        <v>148</v>
      </c>
      <c r="F261" t="e">
        <f ca="1">_xludf.XLOOKUP(B261,Base_Clientes!$A:$A,Base_Clientes!$G:$G,"Não encontrado")</f>
        <v>#NAME?</v>
      </c>
      <c r="G261" t="e">
        <f ca="1">_xludf.XLOOKUP(B261,Base_Clientes!$A:$A,Base_Clientes!$I:$I,"Não encontrado")</f>
        <v>#NAME?</v>
      </c>
      <c r="H261" t="str">
        <f>VLOOKUP(B261,Base_Clientes!$A:$Z,21,FALSE)</f>
        <v>Alto risco</v>
      </c>
    </row>
    <row r="262" spans="1:8">
      <c r="A262" t="s">
        <v>3911</v>
      </c>
      <c r="B262" t="s">
        <v>1478</v>
      </c>
      <c r="C262" s="4">
        <v>45795</v>
      </c>
      <c r="D262" t="s">
        <v>3647</v>
      </c>
      <c r="E262" t="s">
        <v>97</v>
      </c>
      <c r="F262" t="e">
        <f ca="1">_xludf.XLOOKUP(B262,Base_Clientes!$A:$A,Base_Clientes!$G:$G,"Não encontrado")</f>
        <v>#NAME?</v>
      </c>
      <c r="G262" t="e">
        <f ca="1">_xludf.XLOOKUP(B262,Base_Clientes!$A:$A,Base_Clientes!$I:$I,"Não encontrado")</f>
        <v>#NAME?</v>
      </c>
      <c r="H262" t="str">
        <f>VLOOKUP(B262,Base_Clientes!$A:$Z,21,FALSE)</f>
        <v>Alto risco</v>
      </c>
    </row>
    <row r="263" spans="1:8">
      <c r="A263" t="s">
        <v>3912</v>
      </c>
      <c r="B263" t="s">
        <v>1489</v>
      </c>
      <c r="C263" s="4">
        <v>45988</v>
      </c>
      <c r="D263" t="s">
        <v>3651</v>
      </c>
      <c r="E263" t="s">
        <v>87</v>
      </c>
      <c r="F263" t="e">
        <f ca="1">_xludf.XLOOKUP(B263,Base_Clientes!$A:$A,Base_Clientes!$G:$G,"Não encontrado")</f>
        <v>#NAME?</v>
      </c>
      <c r="G263" t="e">
        <f ca="1">_xludf.XLOOKUP(B263,Base_Clientes!$A:$A,Base_Clientes!$I:$I,"Não encontrado")</f>
        <v>#NAME?</v>
      </c>
      <c r="H263" t="str">
        <f>VLOOKUP(B263,Base_Clientes!$A:$Z,21,FALSE)</f>
        <v>Alto risco</v>
      </c>
    </row>
    <row r="264" spans="1:8">
      <c r="A264" t="s">
        <v>3913</v>
      </c>
      <c r="B264" t="s">
        <v>1490</v>
      </c>
      <c r="C264" s="4">
        <v>45261</v>
      </c>
      <c r="D264" t="s">
        <v>3643</v>
      </c>
      <c r="E264" t="s">
        <v>62</v>
      </c>
      <c r="F264" t="e">
        <f ca="1">_xludf.XLOOKUP(B264,Base_Clientes!$A:$A,Base_Clientes!$G:$G,"Não encontrado")</f>
        <v>#NAME?</v>
      </c>
      <c r="G264" t="e">
        <f ca="1">_xludf.XLOOKUP(B264,Base_Clientes!$A:$A,Base_Clientes!$I:$I,"Não encontrado")</f>
        <v>#NAME?</v>
      </c>
      <c r="H264" t="str">
        <f>VLOOKUP(B264,Base_Clientes!$A:$Z,21,FALSE)</f>
        <v>Médio risco</v>
      </c>
    </row>
    <row r="265" spans="1:8">
      <c r="A265" t="s">
        <v>3914</v>
      </c>
      <c r="B265" t="s">
        <v>1502</v>
      </c>
      <c r="C265" s="4">
        <v>46047</v>
      </c>
      <c r="D265" t="s">
        <v>3645</v>
      </c>
      <c r="E265" t="s">
        <v>148</v>
      </c>
      <c r="F265" t="e">
        <f ca="1">_xludf.XLOOKUP(B265,Base_Clientes!$A:$A,Base_Clientes!$G:$G,"Não encontrado")</f>
        <v>#NAME?</v>
      </c>
      <c r="G265" t="e">
        <f ca="1">_xludf.XLOOKUP(B265,Base_Clientes!$A:$A,Base_Clientes!$I:$I,"Não encontrado")</f>
        <v>#NAME?</v>
      </c>
      <c r="H265" t="str">
        <f>VLOOKUP(B265,Base_Clientes!$A:$Z,21,FALSE)</f>
        <v>Alto risco</v>
      </c>
    </row>
    <row r="266" spans="1:8">
      <c r="A266" t="s">
        <v>3915</v>
      </c>
      <c r="B266" t="s">
        <v>1504</v>
      </c>
      <c r="C266" s="4">
        <v>46008</v>
      </c>
      <c r="D266" t="s">
        <v>3668</v>
      </c>
      <c r="E266" t="s">
        <v>170</v>
      </c>
      <c r="F266" t="e">
        <f ca="1">_xludf.XLOOKUP(B266,Base_Clientes!$A:$A,Base_Clientes!$G:$G,"Não encontrado")</f>
        <v>#NAME?</v>
      </c>
      <c r="G266" t="e">
        <f ca="1">_xludf.XLOOKUP(B266,Base_Clientes!$A:$A,Base_Clientes!$I:$I,"Não encontrado")</f>
        <v>#NAME?</v>
      </c>
      <c r="H266" t="str">
        <f>VLOOKUP(B266,Base_Clientes!$A:$Z,21,FALSE)</f>
        <v>Alto risco</v>
      </c>
    </row>
    <row r="267" spans="1:8">
      <c r="A267" t="s">
        <v>3916</v>
      </c>
      <c r="B267" t="s">
        <v>1506</v>
      </c>
      <c r="C267" s="4">
        <v>45944</v>
      </c>
      <c r="D267" t="s">
        <v>3645</v>
      </c>
      <c r="E267" t="s">
        <v>196</v>
      </c>
      <c r="F267" t="e">
        <f ca="1">_xludf.XLOOKUP(B267,Base_Clientes!$A:$A,Base_Clientes!$G:$G,"Não encontrado")</f>
        <v>#NAME?</v>
      </c>
      <c r="G267" t="e">
        <f ca="1">_xludf.XLOOKUP(B267,Base_Clientes!$A:$A,Base_Clientes!$I:$I,"Não encontrado")</f>
        <v>#NAME?</v>
      </c>
      <c r="H267" t="str">
        <f>VLOOKUP(B267,Base_Clientes!$A:$Z,21,FALSE)</f>
        <v>Baixo risco</v>
      </c>
    </row>
    <row r="268" spans="1:8">
      <c r="A268" t="s">
        <v>3917</v>
      </c>
      <c r="B268" t="s">
        <v>1514</v>
      </c>
      <c r="C268" s="4">
        <v>45528</v>
      </c>
      <c r="D268" t="s">
        <v>3651</v>
      </c>
      <c r="E268" t="s">
        <v>156</v>
      </c>
      <c r="F268" t="e">
        <f ca="1">_xludf.XLOOKUP(B268,Base_Clientes!$A:$A,Base_Clientes!$G:$G,"Não encontrado")</f>
        <v>#NAME?</v>
      </c>
      <c r="G268" t="e">
        <f ca="1">_xludf.XLOOKUP(B268,Base_Clientes!$A:$A,Base_Clientes!$I:$I,"Não encontrado")</f>
        <v>#NAME?</v>
      </c>
      <c r="H268" t="str">
        <f>VLOOKUP(B268,Base_Clientes!$A:$Z,21,FALSE)</f>
        <v>Baixo risco</v>
      </c>
    </row>
    <row r="269" spans="1:8">
      <c r="A269" t="s">
        <v>3918</v>
      </c>
      <c r="B269" t="s">
        <v>1517</v>
      </c>
      <c r="C269" s="4">
        <v>45609</v>
      </c>
      <c r="D269" t="s">
        <v>3666</v>
      </c>
      <c r="E269" t="s">
        <v>83</v>
      </c>
      <c r="F269" t="e">
        <f ca="1">_xludf.XLOOKUP(B269,Base_Clientes!$A:$A,Base_Clientes!$G:$G,"Não encontrado")</f>
        <v>#NAME?</v>
      </c>
      <c r="G269" t="e">
        <f ca="1">_xludf.XLOOKUP(B269,Base_Clientes!$A:$A,Base_Clientes!$I:$I,"Não encontrado")</f>
        <v>#NAME?</v>
      </c>
      <c r="H269" t="str">
        <f>VLOOKUP(B269,Base_Clientes!$A:$Z,21,FALSE)</f>
        <v>Alto risco</v>
      </c>
    </row>
    <row r="270" spans="1:8">
      <c r="A270" t="s">
        <v>3919</v>
      </c>
      <c r="B270" t="s">
        <v>1519</v>
      </c>
      <c r="C270" s="4">
        <v>45961</v>
      </c>
      <c r="D270" t="s">
        <v>3659</v>
      </c>
      <c r="E270" t="s">
        <v>196</v>
      </c>
      <c r="F270" t="e">
        <f ca="1">_xludf.XLOOKUP(B270,Base_Clientes!$A:$A,Base_Clientes!$G:$G,"Não encontrado")</f>
        <v>#NAME?</v>
      </c>
      <c r="G270" t="e">
        <f ca="1">_xludf.XLOOKUP(B270,Base_Clientes!$A:$A,Base_Clientes!$I:$I,"Não encontrado")</f>
        <v>#NAME?</v>
      </c>
      <c r="H270" t="str">
        <f>VLOOKUP(B270,Base_Clientes!$A:$Z,21,FALSE)</f>
        <v>Alto risco</v>
      </c>
    </row>
    <row r="271" spans="1:8">
      <c r="A271" t="s">
        <v>3920</v>
      </c>
      <c r="B271" t="s">
        <v>1522</v>
      </c>
      <c r="C271" s="4">
        <v>45878</v>
      </c>
      <c r="D271" t="s">
        <v>3668</v>
      </c>
      <c r="E271" t="s">
        <v>159</v>
      </c>
      <c r="F271" t="e">
        <f ca="1">_xludf.XLOOKUP(B271,Base_Clientes!$A:$A,Base_Clientes!$G:$G,"Não encontrado")</f>
        <v>#NAME?</v>
      </c>
      <c r="G271" t="e">
        <f ca="1">_xludf.XLOOKUP(B271,Base_Clientes!$A:$A,Base_Clientes!$I:$I,"Não encontrado")</f>
        <v>#NAME?</v>
      </c>
      <c r="H271" t="str">
        <f>VLOOKUP(B271,Base_Clientes!$A:$Z,21,FALSE)</f>
        <v>Alto risco</v>
      </c>
    </row>
    <row r="272" spans="1:8">
      <c r="A272" t="s">
        <v>3921</v>
      </c>
      <c r="B272" t="s">
        <v>1526</v>
      </c>
      <c r="C272" s="4">
        <v>46078</v>
      </c>
      <c r="D272" t="s">
        <v>3645</v>
      </c>
      <c r="E272" t="s">
        <v>74</v>
      </c>
      <c r="F272" t="e">
        <f ca="1">_xludf.XLOOKUP(B272,Base_Clientes!$A:$A,Base_Clientes!$G:$G,"Não encontrado")</f>
        <v>#NAME?</v>
      </c>
      <c r="G272" t="e">
        <f ca="1">_xludf.XLOOKUP(B272,Base_Clientes!$A:$A,Base_Clientes!$I:$I,"Não encontrado")</f>
        <v>#NAME?</v>
      </c>
      <c r="H272" t="str">
        <f>VLOOKUP(B272,Base_Clientes!$A:$Z,21,FALSE)</f>
        <v>Baixo risco</v>
      </c>
    </row>
    <row r="273" spans="1:8">
      <c r="A273" t="s">
        <v>3922</v>
      </c>
      <c r="B273" t="s">
        <v>1532</v>
      </c>
      <c r="C273" s="4">
        <v>45589</v>
      </c>
      <c r="D273" t="s">
        <v>3651</v>
      </c>
      <c r="E273" t="s">
        <v>123</v>
      </c>
      <c r="F273" t="e">
        <f ca="1">_xludf.XLOOKUP(B273,Base_Clientes!$A:$A,Base_Clientes!$G:$G,"Não encontrado")</f>
        <v>#NAME?</v>
      </c>
      <c r="G273" t="e">
        <f ca="1">_xludf.XLOOKUP(B273,Base_Clientes!$A:$A,Base_Clientes!$I:$I,"Não encontrado")</f>
        <v>#NAME?</v>
      </c>
      <c r="H273" t="str">
        <f>VLOOKUP(B273,Base_Clientes!$A:$Z,21,FALSE)</f>
        <v>Alto risco</v>
      </c>
    </row>
    <row r="274" spans="1:8">
      <c r="A274" t="s">
        <v>3923</v>
      </c>
      <c r="B274" t="s">
        <v>1535</v>
      </c>
      <c r="C274" s="4">
        <v>46135</v>
      </c>
      <c r="D274" t="s">
        <v>3651</v>
      </c>
      <c r="E274" t="s">
        <v>43</v>
      </c>
      <c r="F274" t="e">
        <f ca="1">_xludf.XLOOKUP(B274,Base_Clientes!$A:$A,Base_Clientes!$G:$G,"Não encontrado")</f>
        <v>#NAME?</v>
      </c>
      <c r="G274" t="e">
        <f ca="1">_xludf.XLOOKUP(B274,Base_Clientes!$A:$A,Base_Clientes!$I:$I,"Não encontrado")</f>
        <v>#NAME?</v>
      </c>
      <c r="H274" t="str">
        <f>VLOOKUP(B274,Base_Clientes!$A:$Z,21,FALSE)</f>
        <v>Alto risco</v>
      </c>
    </row>
    <row r="275" spans="1:8">
      <c r="A275" t="s">
        <v>3924</v>
      </c>
      <c r="B275" t="s">
        <v>1538</v>
      </c>
      <c r="C275" s="4">
        <v>46022</v>
      </c>
      <c r="D275" t="s">
        <v>3659</v>
      </c>
      <c r="E275" t="s">
        <v>170</v>
      </c>
      <c r="F275" t="e">
        <f ca="1">_xludf.XLOOKUP(B275,Base_Clientes!$A:$A,Base_Clientes!$G:$G,"Não encontrado")</f>
        <v>#NAME?</v>
      </c>
      <c r="G275" t="e">
        <f ca="1">_xludf.XLOOKUP(B275,Base_Clientes!$A:$A,Base_Clientes!$I:$I,"Não encontrado")</f>
        <v>#NAME?</v>
      </c>
      <c r="H275" t="str">
        <f>VLOOKUP(B275,Base_Clientes!$A:$Z,21,FALSE)</f>
        <v>Alto risco</v>
      </c>
    </row>
    <row r="276" spans="1:8">
      <c r="A276" t="s">
        <v>3925</v>
      </c>
      <c r="B276" t="s">
        <v>1540</v>
      </c>
      <c r="C276" s="4">
        <v>45600</v>
      </c>
      <c r="D276" t="s">
        <v>3647</v>
      </c>
      <c r="E276" t="s">
        <v>83</v>
      </c>
      <c r="F276" t="e">
        <f ca="1">_xludf.XLOOKUP(B276,Base_Clientes!$A:$A,Base_Clientes!$G:$G,"Não encontrado")</f>
        <v>#NAME?</v>
      </c>
      <c r="G276" t="e">
        <f ca="1">_xludf.XLOOKUP(B276,Base_Clientes!$A:$A,Base_Clientes!$I:$I,"Não encontrado")</f>
        <v>#NAME?</v>
      </c>
      <c r="H276" t="str">
        <f>VLOOKUP(B276,Base_Clientes!$A:$Z,21,FALSE)</f>
        <v>Alto risco</v>
      </c>
    </row>
    <row r="277" spans="1:8">
      <c r="A277" t="s">
        <v>3926</v>
      </c>
      <c r="B277" t="s">
        <v>1542</v>
      </c>
      <c r="C277" s="4">
        <v>45895</v>
      </c>
      <c r="D277" t="s">
        <v>3647</v>
      </c>
      <c r="E277" t="s">
        <v>159</v>
      </c>
      <c r="F277" t="e">
        <f ca="1">_xludf.XLOOKUP(B277,Base_Clientes!$A:$A,Base_Clientes!$G:$G,"Não encontrado")</f>
        <v>#NAME?</v>
      </c>
      <c r="G277" t="e">
        <f ca="1">_xludf.XLOOKUP(B277,Base_Clientes!$A:$A,Base_Clientes!$I:$I,"Não encontrado")</f>
        <v>#NAME?</v>
      </c>
      <c r="H277" t="str">
        <f>VLOOKUP(B277,Base_Clientes!$A:$Z,21,FALSE)</f>
        <v>Alto risco</v>
      </c>
    </row>
    <row r="278" spans="1:8">
      <c r="A278" t="s">
        <v>3927</v>
      </c>
      <c r="B278" t="s">
        <v>1546</v>
      </c>
      <c r="C278" s="4">
        <v>45838</v>
      </c>
      <c r="D278" t="s">
        <v>3649</v>
      </c>
      <c r="E278" t="s">
        <v>167</v>
      </c>
      <c r="F278" t="e">
        <f ca="1">_xludf.XLOOKUP(B278,Base_Clientes!$A:$A,Base_Clientes!$G:$G,"Não encontrado")</f>
        <v>#NAME?</v>
      </c>
      <c r="G278" t="e">
        <f ca="1">_xludf.XLOOKUP(B278,Base_Clientes!$A:$A,Base_Clientes!$I:$I,"Não encontrado")</f>
        <v>#NAME?</v>
      </c>
      <c r="H278" t="str">
        <f>VLOOKUP(B278,Base_Clientes!$A:$Z,21,FALSE)</f>
        <v>Alto risco</v>
      </c>
    </row>
    <row r="279" spans="1:8">
      <c r="A279" t="s">
        <v>3928</v>
      </c>
      <c r="B279" t="s">
        <v>1552</v>
      </c>
      <c r="C279" s="4">
        <v>46085</v>
      </c>
      <c r="D279" t="s">
        <v>3643</v>
      </c>
      <c r="E279" t="s">
        <v>292</v>
      </c>
      <c r="F279" t="e">
        <f ca="1">_xludf.XLOOKUP(B279,Base_Clientes!$A:$A,Base_Clientes!$G:$G,"Não encontrado")</f>
        <v>#NAME?</v>
      </c>
      <c r="G279" t="e">
        <f ca="1">_xludf.XLOOKUP(B279,Base_Clientes!$A:$A,Base_Clientes!$I:$I,"Não encontrado")</f>
        <v>#NAME?</v>
      </c>
      <c r="H279" t="str">
        <f>VLOOKUP(B279,Base_Clientes!$A:$Z,21,FALSE)</f>
        <v>Médio risco</v>
      </c>
    </row>
    <row r="280" spans="1:8">
      <c r="A280" t="s">
        <v>3929</v>
      </c>
      <c r="B280" t="s">
        <v>1553</v>
      </c>
      <c r="C280" s="4">
        <v>46030</v>
      </c>
      <c r="D280" t="s">
        <v>3666</v>
      </c>
      <c r="E280" t="s">
        <v>148</v>
      </c>
      <c r="F280" t="e">
        <f ca="1">_xludf.XLOOKUP(B280,Base_Clientes!$A:$A,Base_Clientes!$G:$G,"Não encontrado")</f>
        <v>#NAME?</v>
      </c>
      <c r="G280" t="e">
        <f ca="1">_xludf.XLOOKUP(B280,Base_Clientes!$A:$A,Base_Clientes!$I:$I,"Não encontrado")</f>
        <v>#NAME?</v>
      </c>
      <c r="H280" t="str">
        <f>VLOOKUP(B280,Base_Clientes!$A:$Z,21,FALSE)</f>
        <v>Alto risco</v>
      </c>
    </row>
    <row r="281" spans="1:8">
      <c r="A281" t="s">
        <v>3930</v>
      </c>
      <c r="B281" t="s">
        <v>1554</v>
      </c>
      <c r="C281" s="4">
        <v>46077</v>
      </c>
      <c r="D281" t="s">
        <v>3666</v>
      </c>
      <c r="E281" t="s">
        <v>74</v>
      </c>
      <c r="F281" t="e">
        <f ca="1">_xludf.XLOOKUP(B281,Base_Clientes!$A:$A,Base_Clientes!$G:$G,"Não encontrado")</f>
        <v>#NAME?</v>
      </c>
      <c r="G281" t="e">
        <f ca="1">_xludf.XLOOKUP(B281,Base_Clientes!$A:$A,Base_Clientes!$I:$I,"Não encontrado")</f>
        <v>#NAME?</v>
      </c>
      <c r="H281" t="str">
        <f>VLOOKUP(B281,Base_Clientes!$A:$Z,21,FALSE)</f>
        <v>Alto risco</v>
      </c>
    </row>
    <row r="282" spans="1:8">
      <c r="A282" t="s">
        <v>3931</v>
      </c>
      <c r="B282" t="s">
        <v>1555</v>
      </c>
      <c r="C282" s="4">
        <v>46158</v>
      </c>
      <c r="D282" t="s">
        <v>3649</v>
      </c>
      <c r="E282" t="s">
        <v>3676</v>
      </c>
      <c r="F282" t="e">
        <f ca="1">_xludf.XLOOKUP(B282,Base_Clientes!$A:$A,Base_Clientes!$G:$G,"Não encontrado")</f>
        <v>#NAME?</v>
      </c>
      <c r="G282" t="e">
        <f ca="1">_xludf.XLOOKUP(B282,Base_Clientes!$A:$A,Base_Clientes!$I:$I,"Não encontrado")</f>
        <v>#NAME?</v>
      </c>
      <c r="H282" t="str">
        <f>VLOOKUP(B282,Base_Clientes!$A:$Z,21,FALSE)</f>
        <v>Baixo risco</v>
      </c>
    </row>
    <row r="283" spans="1:8">
      <c r="A283" t="s">
        <v>3932</v>
      </c>
      <c r="B283" t="s">
        <v>1556</v>
      </c>
      <c r="C283" s="4">
        <v>45972</v>
      </c>
      <c r="D283" t="s">
        <v>3643</v>
      </c>
      <c r="E283" t="s">
        <v>87</v>
      </c>
      <c r="F283" t="e">
        <f ca="1">_xludf.XLOOKUP(B283,Base_Clientes!$A:$A,Base_Clientes!$G:$G,"Não encontrado")</f>
        <v>#NAME?</v>
      </c>
      <c r="G283" t="e">
        <f ca="1">_xludf.XLOOKUP(B283,Base_Clientes!$A:$A,Base_Clientes!$I:$I,"Não encontrado")</f>
        <v>#NAME?</v>
      </c>
      <c r="H283" t="str">
        <f>VLOOKUP(B283,Base_Clientes!$A:$Z,21,FALSE)</f>
        <v>Baixo risco</v>
      </c>
    </row>
    <row r="284" spans="1:8">
      <c r="A284" t="s">
        <v>3933</v>
      </c>
      <c r="B284" t="s">
        <v>1565</v>
      </c>
      <c r="C284" s="4">
        <v>45386</v>
      </c>
      <c r="D284" t="s">
        <v>3643</v>
      </c>
      <c r="E284" t="s">
        <v>56</v>
      </c>
      <c r="F284" t="e">
        <f ca="1">_xludf.XLOOKUP(B284,Base_Clientes!$A:$A,Base_Clientes!$G:$G,"Não encontrado")</f>
        <v>#NAME?</v>
      </c>
      <c r="G284" t="e">
        <f ca="1">_xludf.XLOOKUP(B284,Base_Clientes!$A:$A,Base_Clientes!$I:$I,"Não encontrado")</f>
        <v>#NAME?</v>
      </c>
      <c r="H284" t="str">
        <f>VLOOKUP(B284,Base_Clientes!$A:$Z,21,FALSE)</f>
        <v>Alto risco</v>
      </c>
    </row>
    <row r="285" spans="1:8">
      <c r="A285" t="s">
        <v>3934</v>
      </c>
      <c r="B285" t="s">
        <v>1568</v>
      </c>
      <c r="C285" s="4">
        <v>45367</v>
      </c>
      <c r="D285" t="s">
        <v>3659</v>
      </c>
      <c r="E285" t="s">
        <v>126</v>
      </c>
      <c r="F285" t="e">
        <f ca="1">_xludf.XLOOKUP(B285,Base_Clientes!$A:$A,Base_Clientes!$G:$G,"Não encontrado")</f>
        <v>#NAME?</v>
      </c>
      <c r="G285" t="e">
        <f ca="1">_xludf.XLOOKUP(B285,Base_Clientes!$A:$A,Base_Clientes!$I:$I,"Não encontrado")</f>
        <v>#NAME?</v>
      </c>
      <c r="H285" t="str">
        <f>VLOOKUP(B285,Base_Clientes!$A:$Z,21,FALSE)</f>
        <v>Alto risco</v>
      </c>
    </row>
    <row r="286" spans="1:8">
      <c r="A286" t="s">
        <v>3935</v>
      </c>
      <c r="B286" t="s">
        <v>1570</v>
      </c>
      <c r="C286" s="4">
        <v>46154</v>
      </c>
      <c r="D286" t="s">
        <v>3647</v>
      </c>
      <c r="E286" t="s">
        <v>3676</v>
      </c>
      <c r="F286" t="e">
        <f ca="1">_xludf.XLOOKUP(B286,Base_Clientes!$A:$A,Base_Clientes!$G:$G,"Não encontrado")</f>
        <v>#NAME?</v>
      </c>
      <c r="G286" t="e">
        <f ca="1">_xludf.XLOOKUP(B286,Base_Clientes!$A:$A,Base_Clientes!$I:$I,"Não encontrado")</f>
        <v>#NAME?</v>
      </c>
      <c r="H286" t="str">
        <f>VLOOKUP(B286,Base_Clientes!$A:$Z,21,FALSE)</f>
        <v>Alto risco</v>
      </c>
    </row>
    <row r="287" spans="1:8">
      <c r="A287" t="s">
        <v>3936</v>
      </c>
      <c r="B287" t="s">
        <v>1572</v>
      </c>
      <c r="C287" s="4">
        <v>46131</v>
      </c>
      <c r="D287" t="s">
        <v>3647</v>
      </c>
      <c r="E287" t="s">
        <v>43</v>
      </c>
      <c r="F287" t="e">
        <f ca="1">_xludf.XLOOKUP(B287,Base_Clientes!$A:$A,Base_Clientes!$G:$G,"Não encontrado")</f>
        <v>#NAME?</v>
      </c>
      <c r="G287" t="e">
        <f ca="1">_xludf.XLOOKUP(B287,Base_Clientes!$A:$A,Base_Clientes!$I:$I,"Não encontrado")</f>
        <v>#NAME?</v>
      </c>
      <c r="H287" t="str">
        <f>VLOOKUP(B287,Base_Clientes!$A:$Z,21,FALSE)</f>
        <v>Alto risco</v>
      </c>
    </row>
    <row r="288" spans="1:8">
      <c r="A288" t="s">
        <v>3937</v>
      </c>
      <c r="B288" t="s">
        <v>1581</v>
      </c>
      <c r="C288" s="4">
        <v>45998</v>
      </c>
      <c r="D288" t="s">
        <v>3643</v>
      </c>
      <c r="E288" t="s">
        <v>170</v>
      </c>
      <c r="F288" t="e">
        <f ca="1">_xludf.XLOOKUP(B288,Base_Clientes!$A:$A,Base_Clientes!$G:$G,"Não encontrado")</f>
        <v>#NAME?</v>
      </c>
      <c r="G288" t="e">
        <f ca="1">_xludf.XLOOKUP(B288,Base_Clientes!$A:$A,Base_Clientes!$I:$I,"Não encontrado")</f>
        <v>#NAME?</v>
      </c>
      <c r="H288" t="str">
        <f>VLOOKUP(B288,Base_Clientes!$A:$Z,21,FALSE)</f>
        <v>Alto risco</v>
      </c>
    </row>
    <row r="289" spans="1:8">
      <c r="A289" t="s">
        <v>3938</v>
      </c>
      <c r="B289" t="s">
        <v>1582</v>
      </c>
      <c r="C289" s="4">
        <v>45708</v>
      </c>
      <c r="D289" t="s">
        <v>3666</v>
      </c>
      <c r="E289" t="s">
        <v>289</v>
      </c>
      <c r="F289" t="e">
        <f ca="1">_xludf.XLOOKUP(B289,Base_Clientes!$A:$A,Base_Clientes!$G:$G,"Não encontrado")</f>
        <v>#NAME?</v>
      </c>
      <c r="G289" t="e">
        <f ca="1">_xludf.XLOOKUP(B289,Base_Clientes!$A:$A,Base_Clientes!$I:$I,"Não encontrado")</f>
        <v>#NAME?</v>
      </c>
      <c r="H289" t="str">
        <f>VLOOKUP(B289,Base_Clientes!$A:$Z,21,FALSE)</f>
        <v>Baixo risco</v>
      </c>
    </row>
    <row r="290" spans="1:8">
      <c r="A290" t="s">
        <v>3939</v>
      </c>
      <c r="B290" t="s">
        <v>1589</v>
      </c>
      <c r="C290" s="4">
        <v>45274</v>
      </c>
      <c r="D290" t="s">
        <v>3651</v>
      </c>
      <c r="E290" t="s">
        <v>62</v>
      </c>
      <c r="F290" t="e">
        <f ca="1">_xludf.XLOOKUP(B290,Base_Clientes!$A:$A,Base_Clientes!$G:$G,"Não encontrado")</f>
        <v>#NAME?</v>
      </c>
      <c r="G290" t="e">
        <f ca="1">_xludf.XLOOKUP(B290,Base_Clientes!$A:$A,Base_Clientes!$I:$I,"Não encontrado")</f>
        <v>#NAME?</v>
      </c>
      <c r="H290" t="str">
        <f>VLOOKUP(B290,Base_Clientes!$A:$Z,21,FALSE)</f>
        <v>Alto risco</v>
      </c>
    </row>
    <row r="291" spans="1:8">
      <c r="A291" t="s">
        <v>3940</v>
      </c>
      <c r="B291" t="s">
        <v>1592</v>
      </c>
      <c r="C291" s="4">
        <v>45923</v>
      </c>
      <c r="D291" t="s">
        <v>3645</v>
      </c>
      <c r="E291" t="s">
        <v>189</v>
      </c>
      <c r="F291" t="e">
        <f ca="1">_xludf.XLOOKUP(B291,Base_Clientes!$A:$A,Base_Clientes!$G:$G,"Não encontrado")</f>
        <v>#NAME?</v>
      </c>
      <c r="G291" t="e">
        <f ca="1">_xludf.XLOOKUP(B291,Base_Clientes!$A:$A,Base_Clientes!$I:$I,"Não encontrado")</f>
        <v>#NAME?</v>
      </c>
      <c r="H291" t="str">
        <f>VLOOKUP(B291,Base_Clientes!$A:$Z,21,FALSE)</f>
        <v>Alto risco</v>
      </c>
    </row>
    <row r="292" spans="1:8">
      <c r="A292" t="s">
        <v>3941</v>
      </c>
      <c r="B292" t="s">
        <v>1593</v>
      </c>
      <c r="C292" s="4">
        <v>46045</v>
      </c>
      <c r="D292" t="s">
        <v>3643</v>
      </c>
      <c r="E292" t="s">
        <v>148</v>
      </c>
      <c r="F292" t="e">
        <f ca="1">_xludf.XLOOKUP(B292,Base_Clientes!$A:$A,Base_Clientes!$G:$G,"Não encontrado")</f>
        <v>#NAME?</v>
      </c>
      <c r="G292" t="e">
        <f ca="1">_xludf.XLOOKUP(B292,Base_Clientes!$A:$A,Base_Clientes!$I:$I,"Não encontrado")</f>
        <v>#NAME?</v>
      </c>
      <c r="H292" t="str">
        <f>VLOOKUP(B292,Base_Clientes!$A:$Z,21,FALSE)</f>
        <v>Alto risco</v>
      </c>
    </row>
    <row r="293" spans="1:8">
      <c r="A293" t="s">
        <v>3942</v>
      </c>
      <c r="B293" t="s">
        <v>1595</v>
      </c>
      <c r="C293" s="4">
        <v>46034</v>
      </c>
      <c r="D293" t="s">
        <v>3666</v>
      </c>
      <c r="E293" t="s">
        <v>148</v>
      </c>
      <c r="F293" t="e">
        <f ca="1">_xludf.XLOOKUP(B293,Base_Clientes!$A:$A,Base_Clientes!$G:$G,"Não encontrado")</f>
        <v>#NAME?</v>
      </c>
      <c r="G293" t="e">
        <f ca="1">_xludf.XLOOKUP(B293,Base_Clientes!$A:$A,Base_Clientes!$I:$I,"Não encontrado")</f>
        <v>#NAME?</v>
      </c>
      <c r="H293" t="str">
        <f>VLOOKUP(B293,Base_Clientes!$A:$Z,21,FALSE)</f>
        <v>Alto risco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zoomScaleNormal="100" zoomScaleSheetLayoutView="100" workbookViewId="0">
      <selection activeCell="B9" sqref="B9"/>
    </sheetView>
  </sheetViews>
  <sheetFormatPr defaultRowHeight="15"/>
  <cols>
    <col min="1" max="1" width="73.75" customWidth="1"/>
    <col min="2" max="2" width="24.25" customWidth="1"/>
    <col min="3" max="3" width="55" customWidth="1"/>
  </cols>
  <sheetData>
    <row r="1" spans="1:8">
      <c r="A1" s="13" t="s">
        <v>3943</v>
      </c>
      <c r="B1" s="13"/>
      <c r="C1" s="13"/>
      <c r="D1" s="13"/>
      <c r="E1" s="13"/>
      <c r="F1" s="13"/>
      <c r="G1" s="13"/>
      <c r="H1" s="13"/>
    </row>
    <row r="3" spans="1:8">
      <c r="A3" t="s">
        <v>3944</v>
      </c>
      <c r="B3" t="s">
        <v>26</v>
      </c>
    </row>
    <row r="5" spans="1:8">
      <c r="A5" s="1" t="s">
        <v>3945</v>
      </c>
      <c r="B5" s="1" t="s">
        <v>3946</v>
      </c>
    </row>
    <row r="6" spans="1:8">
      <c r="A6" t="s">
        <v>3947</v>
      </c>
      <c r="B6" t="str">
        <f>_xlfn.XLOOKUP($B$3,Base_Clientes!$A:$A,Base_Clientes!$B:$B,"Não encontrado")</f>
        <v>Valentina Souza</v>
      </c>
    </row>
    <row r="7" spans="1:8">
      <c r="A7" t="s">
        <v>12</v>
      </c>
      <c r="B7" t="str">
        <f>_xlfn.XLOOKUP($B$3,Base_Clientes!$A:$A,Base_Clientes!$H:$H,"Não encontrado")</f>
        <v>P001</v>
      </c>
    </row>
    <row r="8" spans="1:8" ht="16.5">
      <c r="A8" t="s">
        <v>3948</v>
      </c>
      <c r="B8" s="8" t="str">
        <f>_xlfn.XLOOKUP(B7,Base_Planos!A:A,Base_Planos!B:B,"Não encontrado")</f>
        <v>Basic Mensal</v>
      </c>
    </row>
    <row r="9" spans="1:8">
      <c r="A9" t="s">
        <v>3949</v>
      </c>
      <c r="B9" s="2">
        <f>VLOOKUP($B$3,Base_Clientes!$A:$Z,10,FALSE)</f>
        <v>39.9</v>
      </c>
    </row>
    <row r="10" spans="1:8">
      <c r="A10" t="s">
        <v>3950</v>
      </c>
      <c r="B10">
        <f>_xlfn.XLOOKUP($B$3,Base_Clientes!$A:$A,Base_Clientes!$W:$W,"Não encontrado")</f>
        <v>21</v>
      </c>
    </row>
    <row r="11" spans="1:8">
      <c r="A11" t="s">
        <v>3951</v>
      </c>
      <c r="B11" t="str">
        <f>_xlfn.XLOOKUP($B$3,Base_Clientes!$A:$A,Base_Clientes!$Z:$Z,"Não encontrado")</f>
        <v>Médio</v>
      </c>
    </row>
    <row r="13" spans="1:8">
      <c r="A13" s="6" t="s">
        <v>3952</v>
      </c>
      <c r="B13" s="6"/>
      <c r="C13" s="6"/>
      <c r="D13" s="6"/>
      <c r="E13" s="6"/>
      <c r="F13" s="6"/>
      <c r="G13" s="6"/>
      <c r="H13" s="6"/>
    </row>
    <row r="14" spans="1:8">
      <c r="A14" s="1" t="s">
        <v>3953</v>
      </c>
      <c r="B14" s="1" t="s">
        <v>3954</v>
      </c>
      <c r="C14" s="1" t="s">
        <v>3955</v>
      </c>
    </row>
    <row r="15" spans="1:8">
      <c r="A15" t="s">
        <v>3956</v>
      </c>
      <c r="B15" t="s">
        <v>3957</v>
      </c>
      <c r="C15" t="s">
        <v>3958</v>
      </c>
    </row>
    <row r="16" spans="1:8">
      <c r="A16" t="s">
        <v>3959</v>
      </c>
      <c r="B16" t="s">
        <v>3960</v>
      </c>
      <c r="C16" t="s">
        <v>3961</v>
      </c>
    </row>
    <row r="17" spans="1:3">
      <c r="A17" t="s">
        <v>3962</v>
      </c>
      <c r="B17" t="s">
        <v>3963</v>
      </c>
      <c r="C17" t="s">
        <v>3964</v>
      </c>
    </row>
    <row r="18" spans="1:3">
      <c r="A18" t="s">
        <v>3965</v>
      </c>
      <c r="B18" t="s">
        <v>3966</v>
      </c>
      <c r="C18" t="s">
        <v>3967</v>
      </c>
    </row>
    <row r="19" spans="1:3">
      <c r="A19" t="s">
        <v>3968</v>
      </c>
      <c r="B19" t="s">
        <v>3969</v>
      </c>
      <c r="C19" t="s">
        <v>3970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zoomScaleNormal="100" zoomScaleSheetLayoutView="100" workbookViewId="0"/>
  </sheetViews>
  <sheetFormatPr defaultRowHeight="15"/>
  <cols>
    <col min="1" max="1" width="69.875" customWidth="1"/>
    <col min="2" max="2" width="15.5" customWidth="1"/>
    <col min="4" max="4" width="32.75" customWidth="1"/>
    <col min="5" max="5" width="55" customWidth="1"/>
  </cols>
  <sheetData>
    <row r="1" spans="1:8">
      <c r="A1" s="13" t="s">
        <v>3971</v>
      </c>
      <c r="B1" s="13"/>
      <c r="C1" s="13"/>
      <c r="D1" s="13"/>
      <c r="E1" s="13"/>
      <c r="F1" s="13"/>
      <c r="G1" s="13"/>
      <c r="H1" s="13"/>
    </row>
    <row r="3" spans="1:8">
      <c r="A3" s="1" t="s">
        <v>3972</v>
      </c>
      <c r="B3" s="1" t="s">
        <v>3946</v>
      </c>
      <c r="D3" s="1" t="s">
        <v>3973</v>
      </c>
      <c r="E3" s="1"/>
    </row>
    <row r="4" spans="1:8">
      <c r="A4" t="s">
        <v>3974</v>
      </c>
      <c r="B4">
        <f>COUNTA(Base_Clientes!$A$2:$A$1001)</f>
        <v>1000</v>
      </c>
      <c r="D4" t="s">
        <v>3975</v>
      </c>
      <c r="E4" t="s">
        <v>3976</v>
      </c>
    </row>
    <row r="5" spans="1:8">
      <c r="A5" t="s">
        <v>3977</v>
      </c>
      <c r="B5">
        <f>COUNTIF(Base_Clientes!$M$2:$M$1001,"Ativo")</f>
        <v>708</v>
      </c>
      <c r="D5" t="s">
        <v>3978</v>
      </c>
      <c r="E5" t="s">
        <v>3979</v>
      </c>
    </row>
    <row r="6" spans="1:8">
      <c r="A6" t="s">
        <v>3980</v>
      </c>
      <c r="B6">
        <f>COUNTIF(Base_Clientes!$M$2:$M$1001,"Cancelado")</f>
        <v>292</v>
      </c>
      <c r="D6" t="s">
        <v>3981</v>
      </c>
      <c r="E6" t="s">
        <v>3982</v>
      </c>
    </row>
    <row r="7" spans="1:8">
      <c r="A7" t="s">
        <v>3983</v>
      </c>
      <c r="B7" s="7">
        <f>B6/B4</f>
        <v>0.29199999999999998</v>
      </c>
      <c r="D7" t="s">
        <v>3984</v>
      </c>
      <c r="E7" t="s">
        <v>3985</v>
      </c>
    </row>
    <row r="8" spans="1:8">
      <c r="A8" t="s">
        <v>3986</v>
      </c>
      <c r="B8" s="2">
        <f>AVERAGE(Base_Clientes!$X$2:$X$1001)</f>
        <v>87.453209999999899</v>
      </c>
      <c r="D8" t="s">
        <v>3987</v>
      </c>
      <c r="E8" t="s">
        <v>3988</v>
      </c>
    </row>
    <row r="9" spans="1:8">
      <c r="A9" t="s">
        <v>3989</v>
      </c>
      <c r="B9" s="5">
        <f>AVERAGE(Base_Clientes!$R$2:$R$1001)</f>
        <v>5.1059999999999999</v>
      </c>
      <c r="D9" t="s">
        <v>3990</v>
      </c>
      <c r="E9" t="s">
        <v>3991</v>
      </c>
    </row>
    <row r="10" spans="1:8">
      <c r="A10" t="s">
        <v>3992</v>
      </c>
      <c r="B10" s="5">
        <f>AVERAGE(Base_Clientes!$W$2:$W$1001)</f>
        <v>54.423999999999999</v>
      </c>
      <c r="D10" t="s">
        <v>3993</v>
      </c>
      <c r="E10" t="s">
        <v>3994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2026-05-27T19:59:21Z</dcterms:created>
  <dcterms:modified xsi:type="dcterms:W3CDTF">2026-05-27T19:59:21Z</dcterms:modified>
  <cp:category/>
  <cp:contentStatus/>
</cp:coreProperties>
</file>